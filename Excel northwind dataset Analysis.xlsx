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\Desktop\CV\Новая папка\"/>
    </mc:Choice>
  </mc:AlternateContent>
  <xr:revisionPtr revIDLastSave="0" documentId="13_ncr:1_{60BFFEBC-BED8-43AF-8194-74D3B4DF2C75}" xr6:coauthVersionLast="47" xr6:coauthVersionMax="47" xr10:uidLastSave="{00000000-0000-0000-0000-000000000000}"/>
  <bookViews>
    <workbookView xWindow="-120" yWindow="-120" windowWidth="29040" windowHeight="15840" activeTab="2" xr2:uid="{E1F54D9B-B364-4BA7-9802-013DFBDD0CFC}"/>
  </bookViews>
  <sheets>
    <sheet name="northwind_orders" sheetId="3" r:id="rId1"/>
    <sheet name="northwind_order_details" sheetId="2" r:id="rId2"/>
    <sheet name="Price Validation" sheetId="5" r:id="rId3"/>
  </sheets>
  <definedNames>
    <definedName name="_xlnm._FilterDatabase" localSheetId="2" hidden="1">'Price Validation'!$A$1:$B$2028</definedName>
    <definedName name="ExternalData_1" localSheetId="1" hidden="1">northwind_order_details!$A$1:$E$2028</definedName>
    <definedName name="ExternalData_1" localSheetId="0" hidden="1">northwind_orders!$A$1:$N$791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3" l="1"/>
  <c r="R22" i="2"/>
  <c r="Q22" i="2"/>
  <c r="S2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I47" i="2" s="1"/>
  <c r="K47" i="2" s="1"/>
  <c r="H48" i="2"/>
  <c r="I48" i="2" s="1"/>
  <c r="K48" i="2" s="1"/>
  <c r="H49" i="2"/>
  <c r="I49" i="2" s="1"/>
  <c r="K49" i="2" s="1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I95" i="2" s="1"/>
  <c r="K95" i="2" s="1"/>
  <c r="H96" i="2"/>
  <c r="I96" i="2" s="1"/>
  <c r="K96" i="2" s="1"/>
  <c r="H97" i="2"/>
  <c r="I97" i="2" s="1"/>
  <c r="K97" i="2" s="1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I139" i="2" s="1"/>
  <c r="K139" i="2" s="1"/>
  <c r="H140" i="2"/>
  <c r="I140" i="2" s="1"/>
  <c r="K140" i="2" s="1"/>
  <c r="H141" i="2"/>
  <c r="I141" i="2" s="1"/>
  <c r="K141" i="2" s="1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I182" i="2" s="1"/>
  <c r="K182" i="2" s="1"/>
  <c r="H183" i="2"/>
  <c r="I183" i="2" s="1"/>
  <c r="K183" i="2" s="1"/>
  <c r="H184" i="2"/>
  <c r="I184" i="2" s="1"/>
  <c r="K184" i="2" s="1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I226" i="2" s="1"/>
  <c r="K226" i="2" s="1"/>
  <c r="H227" i="2"/>
  <c r="I227" i="2" s="1"/>
  <c r="K227" i="2" s="1"/>
  <c r="H228" i="2"/>
  <c r="I228" i="2" s="1"/>
  <c r="K228" i="2" s="1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I274" i="2" s="1"/>
  <c r="K274" i="2" s="1"/>
  <c r="H275" i="2"/>
  <c r="I275" i="2" s="1"/>
  <c r="K275" i="2" s="1"/>
  <c r="H276" i="2"/>
  <c r="I276" i="2" s="1"/>
  <c r="K276" i="2" s="1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I322" i="2" s="1"/>
  <c r="K322" i="2" s="1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I364" i="2" s="1"/>
  <c r="K364" i="2" s="1"/>
  <c r="H365" i="2"/>
  <c r="I365" i="2" s="1"/>
  <c r="K365" i="2" s="1"/>
  <c r="H366" i="2"/>
  <c r="I366" i="2" s="1"/>
  <c r="K366" i="2" s="1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I412" i="2" s="1"/>
  <c r="K412" i="2" s="1"/>
  <c r="H413" i="2"/>
  <c r="I413" i="2" s="1"/>
  <c r="K413" i="2" s="1"/>
  <c r="H414" i="2"/>
  <c r="I414" i="2" s="1"/>
  <c r="K414" i="2" s="1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I460" i="2" s="1"/>
  <c r="K460" i="2" s="1"/>
  <c r="H461" i="2"/>
  <c r="I461" i="2" s="1"/>
  <c r="K461" i="2" s="1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I506" i="2" s="1"/>
  <c r="K506" i="2" s="1"/>
  <c r="H507" i="2"/>
  <c r="I507" i="2" s="1"/>
  <c r="K507" i="2" s="1"/>
  <c r="H508" i="2"/>
  <c r="I508" i="2" s="1"/>
  <c r="K508" i="2" s="1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I555" i="2" s="1"/>
  <c r="K555" i="2" s="1"/>
  <c r="H556" i="2"/>
  <c r="I556" i="2" s="1"/>
  <c r="K556" i="2" s="1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I694" i="2" s="1"/>
  <c r="K694" i="2" s="1"/>
  <c r="H695" i="2"/>
  <c r="I695" i="2" s="1"/>
  <c r="K695" i="2" s="1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I742" i="2" s="1"/>
  <c r="K742" i="2" s="1"/>
  <c r="H743" i="2"/>
  <c r="I743" i="2" s="1"/>
  <c r="K743" i="2" s="1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I883" i="2" s="1"/>
  <c r="K883" i="2" s="1"/>
  <c r="H884" i="2"/>
  <c r="I884" i="2" s="1"/>
  <c r="K884" i="2" s="1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I930" i="2" s="1"/>
  <c r="K930" i="2" s="1"/>
  <c r="H931" i="2"/>
  <c r="I931" i="2" s="1"/>
  <c r="K931" i="2" s="1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I999" i="2" s="1"/>
  <c r="K999" i="2" s="1"/>
  <c r="H1000" i="2"/>
  <c r="I1000" i="2" s="1"/>
  <c r="K1000" i="2" s="1"/>
  <c r="H1001" i="2"/>
  <c r="H1002" i="2"/>
  <c r="H1003" i="2"/>
  <c r="H1004" i="2"/>
  <c r="H1005" i="2"/>
  <c r="H1006" i="2"/>
  <c r="H1007" i="2"/>
  <c r="H1008" i="2"/>
  <c r="H1009" i="2"/>
  <c r="H1010" i="2"/>
  <c r="H1011" i="2"/>
  <c r="I1011" i="2" s="1"/>
  <c r="K1011" i="2" s="1"/>
  <c r="H1012" i="2"/>
  <c r="I1012" i="2" s="1"/>
  <c r="K1012" i="2" s="1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I1043" i="2" s="1"/>
  <c r="K1043" i="2" s="1"/>
  <c r="H1044" i="2"/>
  <c r="I1044" i="2" s="1"/>
  <c r="K1044" i="2" s="1"/>
  <c r="H1045" i="2"/>
  <c r="H1046" i="2"/>
  <c r="H1047" i="2"/>
  <c r="H1048" i="2"/>
  <c r="H1049" i="2"/>
  <c r="H1050" i="2"/>
  <c r="H1051" i="2"/>
  <c r="H1052" i="2"/>
  <c r="H1053" i="2"/>
  <c r="H1054" i="2"/>
  <c r="H1055" i="2"/>
  <c r="I1055" i="2" s="1"/>
  <c r="K1055" i="2" s="1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I1089" i="2" s="1"/>
  <c r="K1089" i="2" s="1"/>
  <c r="H1090" i="2"/>
  <c r="I1090" i="2" s="1"/>
  <c r="K1090" i="2" s="1"/>
  <c r="H1091" i="2"/>
  <c r="H1092" i="2"/>
  <c r="H1093" i="2"/>
  <c r="H1094" i="2"/>
  <c r="H1095" i="2"/>
  <c r="H1096" i="2"/>
  <c r="H1097" i="2"/>
  <c r="H1098" i="2"/>
  <c r="H1099" i="2"/>
  <c r="H1100" i="2"/>
  <c r="H1101" i="2"/>
  <c r="I1101" i="2" s="1"/>
  <c r="K1101" i="2" s="1"/>
  <c r="H1102" i="2"/>
  <c r="I1102" i="2" s="1"/>
  <c r="K1102" i="2" s="1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I1134" i="2" s="1"/>
  <c r="K1134" i="2" s="1"/>
  <c r="H1135" i="2"/>
  <c r="I1135" i="2" s="1"/>
  <c r="K1135" i="2" s="1"/>
  <c r="H1136" i="2"/>
  <c r="H1137" i="2"/>
  <c r="H1138" i="2"/>
  <c r="H1139" i="2"/>
  <c r="H1140" i="2"/>
  <c r="H1141" i="2"/>
  <c r="H1142" i="2"/>
  <c r="H1143" i="2"/>
  <c r="H1144" i="2"/>
  <c r="H1145" i="2"/>
  <c r="H1146" i="2"/>
  <c r="I1146" i="2" s="1"/>
  <c r="K1146" i="2" s="1"/>
  <c r="H1147" i="2"/>
  <c r="I1147" i="2" s="1"/>
  <c r="K1147" i="2" s="1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I1179" i="2" s="1"/>
  <c r="K1179" i="2" s="1"/>
  <c r="H1180" i="2"/>
  <c r="I1180" i="2" s="1"/>
  <c r="K1180" i="2" s="1"/>
  <c r="H1181" i="2"/>
  <c r="H1182" i="2"/>
  <c r="H1183" i="2"/>
  <c r="H1184" i="2"/>
  <c r="H1185" i="2"/>
  <c r="H1186" i="2"/>
  <c r="H1187" i="2"/>
  <c r="H1188" i="2"/>
  <c r="H1189" i="2"/>
  <c r="I1189" i="2" s="1"/>
  <c r="K1189" i="2" s="1"/>
  <c r="H1190" i="2"/>
  <c r="I1190" i="2" s="1"/>
  <c r="K1190" i="2" s="1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I1225" i="2" s="1"/>
  <c r="K1225" i="2" s="1"/>
  <c r="H1226" i="2"/>
  <c r="I1226" i="2" s="1"/>
  <c r="K1226" i="2" s="1"/>
  <c r="H1227" i="2"/>
  <c r="H1228" i="2"/>
  <c r="H1229" i="2"/>
  <c r="H1230" i="2"/>
  <c r="H1231" i="2"/>
  <c r="H1232" i="2"/>
  <c r="H1233" i="2"/>
  <c r="H1234" i="2"/>
  <c r="H1235" i="2"/>
  <c r="H1236" i="2"/>
  <c r="H1237" i="2"/>
  <c r="I1237" i="2" s="1"/>
  <c r="K1237" i="2" s="1"/>
  <c r="H1238" i="2"/>
  <c r="I1238" i="2" s="1"/>
  <c r="K1238" i="2" s="1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I1271" i="2" s="1"/>
  <c r="K1271" i="2" s="1"/>
  <c r="H1272" i="2"/>
  <c r="I1272" i="2" s="1"/>
  <c r="K1272" i="2" s="1"/>
  <c r="H1273" i="2"/>
  <c r="H1274" i="2"/>
  <c r="H1275" i="2"/>
  <c r="H1276" i="2"/>
  <c r="H1277" i="2"/>
  <c r="H1278" i="2"/>
  <c r="H1279" i="2"/>
  <c r="H1280" i="2"/>
  <c r="H1281" i="2"/>
  <c r="H1282" i="2"/>
  <c r="H1283" i="2"/>
  <c r="I1283" i="2" s="1"/>
  <c r="K1283" i="2" s="1"/>
  <c r="H1284" i="2"/>
  <c r="I1284" i="2" s="1"/>
  <c r="K1284" i="2" s="1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I1319" i="2" s="1"/>
  <c r="K1319" i="2" s="1"/>
  <c r="H1320" i="2"/>
  <c r="I1320" i="2" s="1"/>
  <c r="K1320" i="2" s="1"/>
  <c r="H1321" i="2"/>
  <c r="H1322" i="2"/>
  <c r="H1323" i="2"/>
  <c r="H1324" i="2"/>
  <c r="H1325" i="2"/>
  <c r="H1326" i="2"/>
  <c r="H1327" i="2"/>
  <c r="H1328" i="2"/>
  <c r="H1329" i="2"/>
  <c r="H1330" i="2"/>
  <c r="H1331" i="2"/>
  <c r="I1331" i="2" s="1"/>
  <c r="K1331" i="2" s="1"/>
  <c r="H1332" i="2"/>
  <c r="I1332" i="2" s="1"/>
  <c r="K1332" i="2" s="1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I1367" i="2" s="1"/>
  <c r="K1367" i="2" s="1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I1379" i="2" s="1"/>
  <c r="K1379" i="2" s="1"/>
  <c r="H1380" i="2"/>
  <c r="I1380" i="2" s="1"/>
  <c r="K1380" i="2" s="1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I1415" i="2" s="1"/>
  <c r="K1415" i="2" s="1"/>
  <c r="H1416" i="2"/>
  <c r="I1416" i="2" s="1"/>
  <c r="K1416" i="2" s="1"/>
  <c r="H1417" i="2"/>
  <c r="H1418" i="2"/>
  <c r="H1419" i="2"/>
  <c r="H1420" i="2"/>
  <c r="H1421" i="2"/>
  <c r="H1422" i="2"/>
  <c r="H1423" i="2"/>
  <c r="I1423" i="2" s="1"/>
  <c r="K1423" i="2" s="1"/>
  <c r="H1424" i="2"/>
  <c r="H1425" i="2"/>
  <c r="H1426" i="2"/>
  <c r="I1426" i="2" s="1"/>
  <c r="K1426" i="2" s="1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I1438" i="2" s="1"/>
  <c r="K1438" i="2" s="1"/>
  <c r="H1439" i="2"/>
  <c r="I1439" i="2" s="1"/>
  <c r="K1439" i="2" s="1"/>
  <c r="H1440" i="2"/>
  <c r="H1441" i="2"/>
  <c r="I1441" i="2" s="1"/>
  <c r="K1441" i="2" s="1"/>
  <c r="H1442" i="2"/>
  <c r="I1442" i="2" s="1"/>
  <c r="K1442" i="2" s="1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I1454" i="2" s="1"/>
  <c r="K1454" i="2" s="1"/>
  <c r="H1455" i="2"/>
  <c r="H1456" i="2"/>
  <c r="H1457" i="2"/>
  <c r="H1458" i="2"/>
  <c r="I1458" i="2" s="1"/>
  <c r="K1458" i="2" s="1"/>
  <c r="H1459" i="2"/>
  <c r="H1460" i="2"/>
  <c r="I1460" i="2" s="1"/>
  <c r="K1460" i="2" s="1"/>
  <c r="H1461" i="2"/>
  <c r="H1462" i="2"/>
  <c r="I1462" i="2" s="1"/>
  <c r="K1462" i="2" s="1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I1474" i="2" s="1"/>
  <c r="K1474" i="2" s="1"/>
  <c r="H1475" i="2"/>
  <c r="I1475" i="2" s="1"/>
  <c r="K1475" i="2" s="1"/>
  <c r="H1476" i="2"/>
  <c r="H1477" i="2"/>
  <c r="I1477" i="2" s="1"/>
  <c r="K1477" i="2" s="1"/>
  <c r="H1478" i="2"/>
  <c r="I1478" i="2" s="1"/>
  <c r="K1478" i="2" s="1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I1490" i="2" s="1"/>
  <c r="K1490" i="2" s="1"/>
  <c r="H1491" i="2"/>
  <c r="H1492" i="2"/>
  <c r="H1493" i="2"/>
  <c r="H1494" i="2"/>
  <c r="I1494" i="2" s="1"/>
  <c r="K1494" i="2" s="1"/>
  <c r="H1495" i="2"/>
  <c r="H1496" i="2"/>
  <c r="I1496" i="2" s="1"/>
  <c r="K1496" i="2" s="1"/>
  <c r="H1497" i="2"/>
  <c r="H1498" i="2"/>
  <c r="I1498" i="2" s="1"/>
  <c r="K1498" i="2" s="1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I1510" i="2" s="1"/>
  <c r="K1510" i="2" s="1"/>
  <c r="H1511" i="2"/>
  <c r="I1511" i="2" s="1"/>
  <c r="K1511" i="2" s="1"/>
  <c r="H1512" i="2"/>
  <c r="H1513" i="2"/>
  <c r="I1513" i="2" s="1"/>
  <c r="K1513" i="2" s="1"/>
  <c r="H1514" i="2"/>
  <c r="I1514" i="2" s="1"/>
  <c r="K1514" i="2" s="1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I1526" i="2" s="1"/>
  <c r="K1526" i="2" s="1"/>
  <c r="H1527" i="2"/>
  <c r="H1528" i="2"/>
  <c r="H1529" i="2"/>
  <c r="H1530" i="2"/>
  <c r="I1530" i="2" s="1"/>
  <c r="K1530" i="2" s="1"/>
  <c r="H1531" i="2"/>
  <c r="H1532" i="2"/>
  <c r="I1532" i="2" s="1"/>
  <c r="K1532" i="2" s="1"/>
  <c r="H1533" i="2"/>
  <c r="H1534" i="2"/>
  <c r="I1534" i="2" s="1"/>
  <c r="K1534" i="2" s="1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I1546" i="2" s="1"/>
  <c r="K1546" i="2" s="1"/>
  <c r="H1547" i="2"/>
  <c r="I1547" i="2" s="1"/>
  <c r="K1547" i="2" s="1"/>
  <c r="H1548" i="2"/>
  <c r="H1549" i="2"/>
  <c r="I1549" i="2" s="1"/>
  <c r="K1549" i="2" s="1"/>
  <c r="H1550" i="2"/>
  <c r="I1550" i="2" s="1"/>
  <c r="K1550" i="2" s="1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I1562" i="2" s="1"/>
  <c r="K1562" i="2" s="1"/>
  <c r="H1563" i="2"/>
  <c r="H1564" i="2"/>
  <c r="H1565" i="2"/>
  <c r="H1566" i="2"/>
  <c r="I1566" i="2" s="1"/>
  <c r="K1566" i="2" s="1"/>
  <c r="H1567" i="2"/>
  <c r="H1568" i="2"/>
  <c r="I1568" i="2" s="1"/>
  <c r="K1568" i="2" s="1"/>
  <c r="H1569" i="2"/>
  <c r="H1570" i="2"/>
  <c r="I1570" i="2" s="1"/>
  <c r="K1570" i="2" s="1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I1582" i="2" s="1"/>
  <c r="K1582" i="2" s="1"/>
  <c r="H1583" i="2"/>
  <c r="I1583" i="2" s="1"/>
  <c r="K1583" i="2" s="1"/>
  <c r="H1584" i="2"/>
  <c r="H1585" i="2"/>
  <c r="I1585" i="2" s="1"/>
  <c r="K1585" i="2" s="1"/>
  <c r="H1586" i="2"/>
  <c r="I1586" i="2" s="1"/>
  <c r="K1586" i="2" s="1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I1598" i="2" s="1"/>
  <c r="K1598" i="2" s="1"/>
  <c r="H1599" i="2"/>
  <c r="H1600" i="2"/>
  <c r="H1601" i="2"/>
  <c r="H1602" i="2"/>
  <c r="I1602" i="2" s="1"/>
  <c r="K1602" i="2" s="1"/>
  <c r="H1603" i="2"/>
  <c r="H1604" i="2"/>
  <c r="I1604" i="2" s="1"/>
  <c r="K1604" i="2" s="1"/>
  <c r="H1605" i="2"/>
  <c r="H1606" i="2"/>
  <c r="I1606" i="2" s="1"/>
  <c r="K1606" i="2" s="1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I1618" i="2" s="1"/>
  <c r="K1618" i="2" s="1"/>
  <c r="H1619" i="2"/>
  <c r="I1619" i="2" s="1"/>
  <c r="K1619" i="2" s="1"/>
  <c r="H1620" i="2"/>
  <c r="H1621" i="2"/>
  <c r="I1621" i="2" s="1"/>
  <c r="K1621" i="2" s="1"/>
  <c r="H1622" i="2"/>
  <c r="I1622" i="2" s="1"/>
  <c r="K1622" i="2" s="1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I1634" i="2" s="1"/>
  <c r="K1634" i="2" s="1"/>
  <c r="H1635" i="2"/>
  <c r="H1636" i="2"/>
  <c r="H1637" i="2"/>
  <c r="H1638" i="2"/>
  <c r="I1638" i="2" s="1"/>
  <c r="K1638" i="2" s="1"/>
  <c r="H1639" i="2"/>
  <c r="H1640" i="2"/>
  <c r="I1640" i="2" s="1"/>
  <c r="K1640" i="2" s="1"/>
  <c r="H1641" i="2"/>
  <c r="H1642" i="2"/>
  <c r="I1642" i="2" s="1"/>
  <c r="K1642" i="2" s="1"/>
  <c r="H1643" i="2"/>
  <c r="I1643" i="2" s="1"/>
  <c r="K1643" i="2" s="1"/>
  <c r="H1644" i="2"/>
  <c r="H1645" i="2"/>
  <c r="H1646" i="2"/>
  <c r="H1647" i="2"/>
  <c r="H1648" i="2"/>
  <c r="H1649" i="2"/>
  <c r="H1650" i="2"/>
  <c r="H1651" i="2"/>
  <c r="H1652" i="2"/>
  <c r="H1653" i="2"/>
  <c r="H1654" i="2"/>
  <c r="I1654" i="2" s="1"/>
  <c r="K1654" i="2" s="1"/>
  <c r="H1655" i="2"/>
  <c r="I1655" i="2" s="1"/>
  <c r="K1655" i="2" s="1"/>
  <c r="H1656" i="2"/>
  <c r="I1656" i="2" s="1"/>
  <c r="K1656" i="2" s="1"/>
  <c r="H1657" i="2"/>
  <c r="H1658" i="2"/>
  <c r="H1659" i="2"/>
  <c r="H1660" i="2"/>
  <c r="H1661" i="2"/>
  <c r="H1662" i="2"/>
  <c r="I1662" i="2" s="1"/>
  <c r="K1662" i="2" s="1"/>
  <c r="H1663" i="2"/>
  <c r="H1664" i="2"/>
  <c r="H1665" i="2"/>
  <c r="H1666" i="2"/>
  <c r="H1667" i="2"/>
  <c r="H1668" i="2"/>
  <c r="I1668" i="2" s="1"/>
  <c r="K1668" i="2" s="1"/>
  <c r="H1669" i="2"/>
  <c r="H1670" i="2"/>
  <c r="H1671" i="2"/>
  <c r="H1672" i="2"/>
  <c r="I1672" i="2" s="1"/>
  <c r="K1672" i="2" s="1"/>
  <c r="H1673" i="2"/>
  <c r="H1674" i="2"/>
  <c r="I1674" i="2" s="1"/>
  <c r="K1674" i="2" s="1"/>
  <c r="H1675" i="2"/>
  <c r="I1675" i="2" s="1"/>
  <c r="K1675" i="2" s="1"/>
  <c r="H1676" i="2"/>
  <c r="H1677" i="2"/>
  <c r="H1678" i="2"/>
  <c r="H1679" i="2"/>
  <c r="H1680" i="2"/>
  <c r="H1681" i="2"/>
  <c r="H1682" i="2"/>
  <c r="H1683" i="2"/>
  <c r="H1684" i="2"/>
  <c r="I1684" i="2" s="1"/>
  <c r="K1684" i="2" s="1"/>
  <c r="H1685" i="2"/>
  <c r="I1685" i="2" s="1"/>
  <c r="K1685" i="2" s="1"/>
  <c r="H1686" i="2"/>
  <c r="H1687" i="2"/>
  <c r="I1687" i="2" s="1"/>
  <c r="K1687" i="2" s="1"/>
  <c r="H1688" i="2"/>
  <c r="I1688" i="2" s="1"/>
  <c r="K1688" i="2" s="1"/>
  <c r="H1689" i="2"/>
  <c r="H1690" i="2"/>
  <c r="H1691" i="2"/>
  <c r="H1692" i="2"/>
  <c r="H1693" i="2"/>
  <c r="H1694" i="2"/>
  <c r="H1695" i="2"/>
  <c r="H1696" i="2"/>
  <c r="H1697" i="2"/>
  <c r="H1698" i="2"/>
  <c r="H1699" i="2"/>
  <c r="I1699" i="2" s="1"/>
  <c r="K1699" i="2" s="1"/>
  <c r="H1700" i="2"/>
  <c r="H1701" i="2"/>
  <c r="H1702" i="2"/>
  <c r="I1702" i="2" s="1"/>
  <c r="K1702" i="2" s="1"/>
  <c r="H1703" i="2"/>
  <c r="H1704" i="2"/>
  <c r="H1705" i="2"/>
  <c r="I1705" i="2" s="1"/>
  <c r="K1705" i="2" s="1"/>
  <c r="H1706" i="2"/>
  <c r="H1707" i="2"/>
  <c r="H1708" i="2"/>
  <c r="H1709" i="2"/>
  <c r="H1710" i="2"/>
  <c r="H1711" i="2"/>
  <c r="H1712" i="2"/>
  <c r="H1713" i="2"/>
  <c r="I1713" i="2" s="1"/>
  <c r="K1713" i="2" s="1"/>
  <c r="H1714" i="2"/>
  <c r="I1714" i="2" s="1"/>
  <c r="K1714" i="2" s="1"/>
  <c r="H1715" i="2"/>
  <c r="H1716" i="2"/>
  <c r="H1717" i="2"/>
  <c r="I1717" i="2" s="1"/>
  <c r="K1717" i="2" s="1"/>
  <c r="H1718" i="2"/>
  <c r="I1718" i="2" s="1"/>
  <c r="K1718" i="2" s="1"/>
  <c r="H1719" i="2"/>
  <c r="H1720" i="2"/>
  <c r="H1721" i="2"/>
  <c r="H1722" i="2"/>
  <c r="I1722" i="2" s="1"/>
  <c r="K1722" i="2" s="1"/>
  <c r="H1723" i="2"/>
  <c r="H1724" i="2"/>
  <c r="H1725" i="2"/>
  <c r="H1726" i="2"/>
  <c r="I1726" i="2" s="1"/>
  <c r="K1726" i="2" s="1"/>
  <c r="H1727" i="2"/>
  <c r="I1727" i="2" s="1"/>
  <c r="K1727" i="2" s="1"/>
  <c r="H1728" i="2"/>
  <c r="H1729" i="2"/>
  <c r="I1729" i="2" s="1"/>
  <c r="K1729" i="2" s="1"/>
  <c r="H1730" i="2"/>
  <c r="I1730" i="2" s="1"/>
  <c r="K1730" i="2" s="1"/>
  <c r="H1731" i="2"/>
  <c r="H1732" i="2"/>
  <c r="H1733" i="2"/>
  <c r="H1734" i="2"/>
  <c r="H1735" i="2"/>
  <c r="H1736" i="2"/>
  <c r="H1737" i="2"/>
  <c r="H1738" i="2"/>
  <c r="I1738" i="2" s="1"/>
  <c r="K1738" i="2" s="1"/>
  <c r="H1739" i="2"/>
  <c r="I1739" i="2" s="1"/>
  <c r="K1739" i="2" s="1"/>
  <c r="H1740" i="2"/>
  <c r="H1741" i="2"/>
  <c r="I1741" i="2" s="1"/>
  <c r="K1741" i="2" s="1"/>
  <c r="H1742" i="2"/>
  <c r="I1742" i="2" s="1"/>
  <c r="K1742" i="2" s="1"/>
  <c r="H1743" i="2"/>
  <c r="H1744" i="2"/>
  <c r="H1745" i="2"/>
  <c r="H1746" i="2"/>
  <c r="H1747" i="2"/>
  <c r="H1748" i="2"/>
  <c r="H1749" i="2"/>
  <c r="H1750" i="2"/>
  <c r="I1750" i="2" s="1"/>
  <c r="K1750" i="2" s="1"/>
  <c r="H1751" i="2"/>
  <c r="I1751" i="2" s="1"/>
  <c r="K1751" i="2" s="1"/>
  <c r="H1752" i="2"/>
  <c r="H1753" i="2"/>
  <c r="I1753" i="2" s="1"/>
  <c r="K1753" i="2" s="1"/>
  <c r="H1754" i="2"/>
  <c r="I1754" i="2" s="1"/>
  <c r="K1754" i="2" s="1"/>
  <c r="H1755" i="2"/>
  <c r="H1756" i="2"/>
  <c r="H1757" i="2"/>
  <c r="H1758" i="2"/>
  <c r="H1759" i="2"/>
  <c r="H1760" i="2"/>
  <c r="H1761" i="2"/>
  <c r="H1762" i="2"/>
  <c r="I1762" i="2" s="1"/>
  <c r="K1762" i="2" s="1"/>
  <c r="H1763" i="2"/>
  <c r="I1763" i="2" s="1"/>
  <c r="K1763" i="2" s="1"/>
  <c r="H1764" i="2"/>
  <c r="H1765" i="2"/>
  <c r="I1765" i="2" s="1"/>
  <c r="K1765" i="2" s="1"/>
  <c r="H1766" i="2"/>
  <c r="I1766" i="2" s="1"/>
  <c r="K1766" i="2" s="1"/>
  <c r="H1767" i="2"/>
  <c r="H1768" i="2"/>
  <c r="H1769" i="2"/>
  <c r="H1770" i="2"/>
  <c r="H1771" i="2"/>
  <c r="H1772" i="2"/>
  <c r="H1773" i="2"/>
  <c r="H1774" i="2"/>
  <c r="I1774" i="2" s="1"/>
  <c r="K1774" i="2" s="1"/>
  <c r="H1775" i="2"/>
  <c r="I1775" i="2" s="1"/>
  <c r="K1775" i="2" s="1"/>
  <c r="H1776" i="2"/>
  <c r="H1777" i="2"/>
  <c r="I1777" i="2" s="1"/>
  <c r="K1777" i="2" s="1"/>
  <c r="H1778" i="2"/>
  <c r="I1778" i="2" s="1"/>
  <c r="K1778" i="2" s="1"/>
  <c r="H1779" i="2"/>
  <c r="H1780" i="2"/>
  <c r="H1781" i="2"/>
  <c r="H1782" i="2"/>
  <c r="H1783" i="2"/>
  <c r="H1784" i="2"/>
  <c r="H1785" i="2"/>
  <c r="H1786" i="2"/>
  <c r="I1786" i="2" s="1"/>
  <c r="K1786" i="2" s="1"/>
  <c r="H1787" i="2"/>
  <c r="I1787" i="2" s="1"/>
  <c r="K1787" i="2" s="1"/>
  <c r="H1788" i="2"/>
  <c r="H1789" i="2"/>
  <c r="I1789" i="2" s="1"/>
  <c r="K1789" i="2" s="1"/>
  <c r="H1790" i="2"/>
  <c r="I1790" i="2" s="1"/>
  <c r="K1790" i="2" s="1"/>
  <c r="H1791" i="2"/>
  <c r="H1792" i="2"/>
  <c r="H1793" i="2"/>
  <c r="H1794" i="2"/>
  <c r="H1795" i="2"/>
  <c r="H1796" i="2"/>
  <c r="H1797" i="2"/>
  <c r="H1798" i="2"/>
  <c r="I1798" i="2" s="1"/>
  <c r="K1798" i="2" s="1"/>
  <c r="H1799" i="2"/>
  <c r="I1799" i="2" s="1"/>
  <c r="K1799" i="2" s="1"/>
  <c r="H1800" i="2"/>
  <c r="H1801" i="2"/>
  <c r="I1801" i="2" s="1"/>
  <c r="K1801" i="2" s="1"/>
  <c r="H1802" i="2"/>
  <c r="I1802" i="2" s="1"/>
  <c r="K1802" i="2" s="1"/>
  <c r="H1803" i="2"/>
  <c r="H1804" i="2"/>
  <c r="H1805" i="2"/>
  <c r="H1806" i="2"/>
  <c r="H1807" i="2"/>
  <c r="H1808" i="2"/>
  <c r="H1809" i="2"/>
  <c r="H1810" i="2"/>
  <c r="I1810" i="2" s="1"/>
  <c r="K1810" i="2" s="1"/>
  <c r="H1811" i="2"/>
  <c r="I1811" i="2" s="1"/>
  <c r="K1811" i="2" s="1"/>
  <c r="H1812" i="2"/>
  <c r="H1813" i="2"/>
  <c r="I1813" i="2" s="1"/>
  <c r="K1813" i="2" s="1"/>
  <c r="H1814" i="2"/>
  <c r="I1814" i="2" s="1"/>
  <c r="K1814" i="2" s="1"/>
  <c r="H1815" i="2"/>
  <c r="H1816" i="2"/>
  <c r="H1817" i="2"/>
  <c r="H1818" i="2"/>
  <c r="H1819" i="2"/>
  <c r="H1820" i="2"/>
  <c r="H1821" i="2"/>
  <c r="H1822" i="2"/>
  <c r="I1822" i="2" s="1"/>
  <c r="K1822" i="2" s="1"/>
  <c r="H1823" i="2"/>
  <c r="I1823" i="2" s="1"/>
  <c r="K1823" i="2" s="1"/>
  <c r="H1824" i="2"/>
  <c r="H1825" i="2"/>
  <c r="I1825" i="2" s="1"/>
  <c r="K1825" i="2" s="1"/>
  <c r="H1826" i="2"/>
  <c r="I1826" i="2" s="1"/>
  <c r="K1826" i="2" s="1"/>
  <c r="H1827" i="2"/>
  <c r="H1828" i="2"/>
  <c r="H1829" i="2"/>
  <c r="H1830" i="2"/>
  <c r="H1831" i="2"/>
  <c r="H1832" i="2"/>
  <c r="H1833" i="2"/>
  <c r="H1834" i="2"/>
  <c r="I1834" i="2" s="1"/>
  <c r="K1834" i="2" s="1"/>
  <c r="H1835" i="2"/>
  <c r="I1835" i="2" s="1"/>
  <c r="K1835" i="2" s="1"/>
  <c r="H1836" i="2"/>
  <c r="H1837" i="2"/>
  <c r="I1837" i="2" s="1"/>
  <c r="K1837" i="2" s="1"/>
  <c r="H1838" i="2"/>
  <c r="I1838" i="2" s="1"/>
  <c r="K1838" i="2" s="1"/>
  <c r="H1839" i="2"/>
  <c r="H1840" i="2"/>
  <c r="H1841" i="2"/>
  <c r="H1842" i="2"/>
  <c r="H1843" i="2"/>
  <c r="H1844" i="2"/>
  <c r="H1845" i="2"/>
  <c r="H1846" i="2"/>
  <c r="I1846" i="2" s="1"/>
  <c r="K1846" i="2" s="1"/>
  <c r="H1847" i="2"/>
  <c r="I1847" i="2" s="1"/>
  <c r="K1847" i="2" s="1"/>
  <c r="H1848" i="2"/>
  <c r="H1849" i="2"/>
  <c r="I1849" i="2" s="1"/>
  <c r="K1849" i="2" s="1"/>
  <c r="H1850" i="2"/>
  <c r="I1850" i="2" s="1"/>
  <c r="K1850" i="2" s="1"/>
  <c r="H1851" i="2"/>
  <c r="H1852" i="2"/>
  <c r="H1853" i="2"/>
  <c r="H1854" i="2"/>
  <c r="H1855" i="2"/>
  <c r="I1855" i="2" s="1"/>
  <c r="K1855" i="2" s="1"/>
  <c r="H1856" i="2"/>
  <c r="I1856" i="2" s="1"/>
  <c r="K1856" i="2" s="1"/>
  <c r="H1857" i="2"/>
  <c r="H1858" i="2"/>
  <c r="I1858" i="2" s="1"/>
  <c r="K1858" i="2" s="1"/>
  <c r="H1859" i="2"/>
  <c r="I1859" i="2" s="1"/>
  <c r="K1859" i="2" s="1"/>
  <c r="H1860" i="2"/>
  <c r="H1861" i="2"/>
  <c r="H1862" i="2"/>
  <c r="H1863" i="2"/>
  <c r="H1864" i="2"/>
  <c r="H1865" i="2"/>
  <c r="H1866" i="2"/>
  <c r="H1867" i="2"/>
  <c r="I1867" i="2" s="1"/>
  <c r="K1867" i="2" s="1"/>
  <c r="H1868" i="2"/>
  <c r="I1868" i="2" s="1"/>
  <c r="K1868" i="2" s="1"/>
  <c r="H1869" i="2"/>
  <c r="H1870" i="2"/>
  <c r="I1870" i="2" s="1"/>
  <c r="K1870" i="2" s="1"/>
  <c r="H1871" i="2"/>
  <c r="I1871" i="2" s="1"/>
  <c r="K1871" i="2" s="1"/>
  <c r="H1872" i="2"/>
  <c r="H1873" i="2"/>
  <c r="H1874" i="2"/>
  <c r="H1875" i="2"/>
  <c r="H1876" i="2"/>
  <c r="H1877" i="2"/>
  <c r="H1878" i="2"/>
  <c r="H1879" i="2"/>
  <c r="I1879" i="2" s="1"/>
  <c r="K1879" i="2" s="1"/>
  <c r="H1880" i="2"/>
  <c r="I1880" i="2" s="1"/>
  <c r="K1880" i="2" s="1"/>
  <c r="H1881" i="2"/>
  <c r="H1882" i="2"/>
  <c r="I1882" i="2" s="1"/>
  <c r="K1882" i="2" s="1"/>
  <c r="H1883" i="2"/>
  <c r="I1883" i="2" s="1"/>
  <c r="K1883" i="2" s="1"/>
  <c r="H1884" i="2"/>
  <c r="H1885" i="2"/>
  <c r="H1886" i="2"/>
  <c r="H1887" i="2"/>
  <c r="H1888" i="2"/>
  <c r="H1889" i="2"/>
  <c r="H1890" i="2"/>
  <c r="H1891" i="2"/>
  <c r="I1891" i="2" s="1"/>
  <c r="K1891" i="2" s="1"/>
  <c r="H1892" i="2"/>
  <c r="I1892" i="2" s="1"/>
  <c r="K1892" i="2" s="1"/>
  <c r="H1893" i="2"/>
  <c r="H1894" i="2"/>
  <c r="I1894" i="2" s="1"/>
  <c r="K1894" i="2" s="1"/>
  <c r="H1895" i="2"/>
  <c r="I1895" i="2" s="1"/>
  <c r="K1895" i="2" s="1"/>
  <c r="H1896" i="2"/>
  <c r="H1897" i="2"/>
  <c r="H1898" i="2"/>
  <c r="H1899" i="2"/>
  <c r="H1900" i="2"/>
  <c r="H1901" i="2"/>
  <c r="H1902" i="2"/>
  <c r="H1903" i="2"/>
  <c r="I1903" i="2" s="1"/>
  <c r="K1903" i="2" s="1"/>
  <c r="H1904" i="2"/>
  <c r="I1904" i="2" s="1"/>
  <c r="K1904" i="2" s="1"/>
  <c r="H1905" i="2"/>
  <c r="H1906" i="2"/>
  <c r="I1906" i="2" s="1"/>
  <c r="K1906" i="2" s="1"/>
  <c r="H1907" i="2"/>
  <c r="I1907" i="2" s="1"/>
  <c r="K1907" i="2" s="1"/>
  <c r="H1908" i="2"/>
  <c r="H1909" i="2"/>
  <c r="H1910" i="2"/>
  <c r="H1911" i="2"/>
  <c r="H1912" i="2"/>
  <c r="H1913" i="2"/>
  <c r="I1913" i="2" s="1"/>
  <c r="K1913" i="2" s="1"/>
  <c r="H1914" i="2"/>
  <c r="H1915" i="2"/>
  <c r="I1915" i="2" s="1"/>
  <c r="K1915" i="2" s="1"/>
  <c r="H1916" i="2"/>
  <c r="I1916" i="2" s="1"/>
  <c r="K1916" i="2" s="1"/>
  <c r="H1917" i="2"/>
  <c r="H1918" i="2"/>
  <c r="H1919" i="2"/>
  <c r="H1920" i="2"/>
  <c r="H1921" i="2"/>
  <c r="H1922" i="2"/>
  <c r="H1923" i="2"/>
  <c r="H1924" i="2"/>
  <c r="I1924" i="2" s="1"/>
  <c r="K1924" i="2" s="1"/>
  <c r="H1925" i="2"/>
  <c r="I1925" i="2" s="1"/>
  <c r="K1925" i="2" s="1"/>
  <c r="H1926" i="2"/>
  <c r="H1927" i="2"/>
  <c r="I1927" i="2" s="1"/>
  <c r="K1927" i="2" s="1"/>
  <c r="H1928" i="2"/>
  <c r="I1928" i="2" s="1"/>
  <c r="K1928" i="2" s="1"/>
  <c r="H1929" i="2"/>
  <c r="H1930" i="2"/>
  <c r="H1931" i="2"/>
  <c r="H1932" i="2"/>
  <c r="H1933" i="2"/>
  <c r="H1934" i="2"/>
  <c r="H1935" i="2"/>
  <c r="H1936" i="2"/>
  <c r="I1936" i="2" s="1"/>
  <c r="K1936" i="2" s="1"/>
  <c r="H1937" i="2"/>
  <c r="I1937" i="2" s="1"/>
  <c r="K1937" i="2" s="1"/>
  <c r="H1938" i="2"/>
  <c r="I1938" i="2" s="1"/>
  <c r="K1938" i="2" s="1"/>
  <c r="H1939" i="2"/>
  <c r="H1940" i="2"/>
  <c r="H1941" i="2"/>
  <c r="H1942" i="2"/>
  <c r="H1943" i="2"/>
  <c r="H1944" i="2"/>
  <c r="H1945" i="2"/>
  <c r="H1946" i="2"/>
  <c r="I1946" i="2" s="1"/>
  <c r="K1946" i="2" s="1"/>
  <c r="H1947" i="2"/>
  <c r="I1947" i="2" s="1"/>
  <c r="K1947" i="2" s="1"/>
  <c r="H1948" i="2"/>
  <c r="H1949" i="2"/>
  <c r="I1949" i="2" s="1"/>
  <c r="K1949" i="2" s="1"/>
  <c r="H1950" i="2"/>
  <c r="I1950" i="2" s="1"/>
  <c r="K1950" i="2" s="1"/>
  <c r="H1951" i="2"/>
  <c r="H1952" i="2"/>
  <c r="H1953" i="2"/>
  <c r="H1954" i="2"/>
  <c r="H1955" i="2"/>
  <c r="H1956" i="2"/>
  <c r="H1957" i="2"/>
  <c r="H1958" i="2"/>
  <c r="I1958" i="2" s="1"/>
  <c r="K1958" i="2" s="1"/>
  <c r="H1959" i="2"/>
  <c r="I1959" i="2" s="1"/>
  <c r="K1959" i="2" s="1"/>
  <c r="H1960" i="2"/>
  <c r="H1961" i="2"/>
  <c r="I1961" i="2" s="1"/>
  <c r="K1961" i="2" s="1"/>
  <c r="H1962" i="2"/>
  <c r="I1962" i="2" s="1"/>
  <c r="K1962" i="2" s="1"/>
  <c r="H1963" i="2"/>
  <c r="H1964" i="2"/>
  <c r="H1965" i="2"/>
  <c r="H1966" i="2"/>
  <c r="H1967" i="2"/>
  <c r="H1968" i="2"/>
  <c r="H1969" i="2"/>
  <c r="H1970" i="2"/>
  <c r="I1970" i="2" s="1"/>
  <c r="K1970" i="2" s="1"/>
  <c r="H1971" i="2"/>
  <c r="I1971" i="2" s="1"/>
  <c r="K1971" i="2" s="1"/>
  <c r="H1972" i="2"/>
  <c r="H1973" i="2"/>
  <c r="I1973" i="2" s="1"/>
  <c r="K1973" i="2" s="1"/>
  <c r="H1974" i="2"/>
  <c r="I1974" i="2" s="1"/>
  <c r="K1974" i="2" s="1"/>
  <c r="H1975" i="2"/>
  <c r="H1976" i="2"/>
  <c r="H1977" i="2"/>
  <c r="H1978" i="2"/>
  <c r="H1979" i="2"/>
  <c r="H1980" i="2"/>
  <c r="H1981" i="2"/>
  <c r="H1982" i="2"/>
  <c r="I1982" i="2" s="1"/>
  <c r="K1982" i="2" s="1"/>
  <c r="H1983" i="2"/>
  <c r="I1983" i="2" s="1"/>
  <c r="K1983" i="2" s="1"/>
  <c r="H1984" i="2"/>
  <c r="H1985" i="2"/>
  <c r="I1985" i="2" s="1"/>
  <c r="K1985" i="2" s="1"/>
  <c r="H1986" i="2"/>
  <c r="I1986" i="2" s="1"/>
  <c r="K1986" i="2" s="1"/>
  <c r="H1987" i="2"/>
  <c r="H1988" i="2"/>
  <c r="H1989" i="2"/>
  <c r="I1989" i="2" s="1"/>
  <c r="K1989" i="2" s="1"/>
  <c r="H1990" i="2"/>
  <c r="I1990" i="2" s="1"/>
  <c r="K1990" i="2" s="1"/>
  <c r="H1991" i="2"/>
  <c r="H1992" i="2"/>
  <c r="I1992" i="2" s="1"/>
  <c r="K1992" i="2" s="1"/>
  <c r="H1993" i="2"/>
  <c r="I1993" i="2" s="1"/>
  <c r="K1993" i="2" s="1"/>
  <c r="H1994" i="2"/>
  <c r="H1995" i="2"/>
  <c r="H1996" i="2"/>
  <c r="H1997" i="2"/>
  <c r="H1998" i="2"/>
  <c r="I1998" i="2" s="1"/>
  <c r="K1998" i="2" s="1"/>
  <c r="H1999" i="2"/>
  <c r="I1999" i="2" s="1"/>
  <c r="K1999" i="2" s="1"/>
  <c r="H2000" i="2"/>
  <c r="I2000" i="2" s="1"/>
  <c r="K2000" i="2" s="1"/>
  <c r="H2001" i="2"/>
  <c r="H2002" i="2"/>
  <c r="I2002" i="2" s="1"/>
  <c r="K2002" i="2" s="1"/>
  <c r="H2003" i="2"/>
  <c r="I2003" i="2" s="1"/>
  <c r="K2003" i="2" s="1"/>
  <c r="H2004" i="2"/>
  <c r="H2005" i="2"/>
  <c r="H2006" i="2"/>
  <c r="H2007" i="2"/>
  <c r="H2008" i="2"/>
  <c r="H2009" i="2"/>
  <c r="I2009" i="2" s="1"/>
  <c r="K2009" i="2" s="1"/>
  <c r="H2010" i="2"/>
  <c r="H2011" i="2"/>
  <c r="I2011" i="2" s="1"/>
  <c r="K2011" i="2" s="1"/>
  <c r="H2012" i="2"/>
  <c r="I2012" i="2" s="1"/>
  <c r="K2012" i="2" s="1"/>
  <c r="H2013" i="2"/>
  <c r="H2014" i="2"/>
  <c r="H2015" i="2"/>
  <c r="H2016" i="2"/>
  <c r="H2017" i="2"/>
  <c r="I2017" i="2" s="1"/>
  <c r="K2017" i="2" s="1"/>
  <c r="H2018" i="2"/>
  <c r="I2018" i="2" s="1"/>
  <c r="K2018" i="2" s="1"/>
  <c r="H2019" i="2"/>
  <c r="I2019" i="2" s="1"/>
  <c r="K2019" i="2" s="1"/>
  <c r="H2020" i="2"/>
  <c r="I2020" i="2" s="1"/>
  <c r="K2020" i="2" s="1"/>
  <c r="H2021" i="2"/>
  <c r="I2021" i="2" s="1"/>
  <c r="K2021" i="2" s="1"/>
  <c r="H2022" i="2"/>
  <c r="H2023" i="2"/>
  <c r="I2023" i="2" s="1"/>
  <c r="K2023" i="2" s="1"/>
  <c r="H2024" i="2"/>
  <c r="H2025" i="2"/>
  <c r="H2026" i="2"/>
  <c r="H2027" i="2"/>
  <c r="H2028" i="2"/>
  <c r="I2028" i="2" s="1"/>
  <c r="K2028" i="2" s="1"/>
  <c r="G2" i="2"/>
  <c r="G4" i="2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J1907" i="2" l="1"/>
  <c r="L1907" i="2" s="1"/>
  <c r="J1688" i="2"/>
  <c r="L1688" i="2" s="1"/>
  <c r="J1147" i="2"/>
  <c r="L1147" i="2" s="1"/>
  <c r="J1904" i="2"/>
  <c r="L1904" i="2" s="1"/>
  <c r="J1685" i="2"/>
  <c r="L1685" i="2" s="1"/>
  <c r="J1135" i="2"/>
  <c r="L1135" i="2" s="1"/>
  <c r="J1871" i="2"/>
  <c r="L1871" i="2" s="1"/>
  <c r="J1642" i="2"/>
  <c r="L1642" i="2" s="1"/>
  <c r="J1012" i="2"/>
  <c r="L1012" i="2" s="1"/>
  <c r="J1868" i="2"/>
  <c r="L1868" i="2" s="1"/>
  <c r="J1586" i="2"/>
  <c r="L1586" i="2" s="1"/>
  <c r="J1000" i="2"/>
  <c r="L1000" i="2" s="1"/>
  <c r="J1838" i="2"/>
  <c r="L1838" i="2" s="1"/>
  <c r="J1583" i="2"/>
  <c r="L1583" i="2" s="1"/>
  <c r="J556" i="2"/>
  <c r="L556" i="2" s="1"/>
  <c r="J2021" i="2"/>
  <c r="L2021" i="2" s="1"/>
  <c r="J1835" i="2"/>
  <c r="L1835" i="2" s="1"/>
  <c r="J1534" i="2"/>
  <c r="L1534" i="2" s="1"/>
  <c r="J508" i="2"/>
  <c r="L508" i="2" s="1"/>
  <c r="J2003" i="2"/>
  <c r="L2003" i="2" s="1"/>
  <c r="J1802" i="2"/>
  <c r="L1802" i="2" s="1"/>
  <c r="J1478" i="2"/>
  <c r="L1478" i="2" s="1"/>
  <c r="J366" i="2"/>
  <c r="L366" i="2" s="1"/>
  <c r="J2000" i="2"/>
  <c r="L2000" i="2" s="1"/>
  <c r="J1799" i="2"/>
  <c r="L1799" i="2" s="1"/>
  <c r="J1475" i="2"/>
  <c r="L1475" i="2" s="1"/>
  <c r="J365" i="2"/>
  <c r="L365" i="2" s="1"/>
  <c r="J1974" i="2"/>
  <c r="L1974" i="2" s="1"/>
  <c r="J1766" i="2"/>
  <c r="L1766" i="2" s="1"/>
  <c r="J1426" i="2"/>
  <c r="L1426" i="2" s="1"/>
  <c r="J184" i="2"/>
  <c r="L184" i="2" s="1"/>
  <c r="J1971" i="2"/>
  <c r="L1971" i="2" s="1"/>
  <c r="J1763" i="2"/>
  <c r="L1763" i="2" s="1"/>
  <c r="J1416" i="2"/>
  <c r="L1416" i="2" s="1"/>
  <c r="J183" i="2"/>
  <c r="L183" i="2" s="1"/>
  <c r="J1938" i="2"/>
  <c r="L1938" i="2" s="1"/>
  <c r="J1730" i="2"/>
  <c r="L1730" i="2" s="1"/>
  <c r="J1284" i="2"/>
  <c r="L1284" i="2" s="1"/>
  <c r="J141" i="2"/>
  <c r="L141" i="2" s="1"/>
  <c r="J1937" i="2"/>
  <c r="L1937" i="2" s="1"/>
  <c r="J1727" i="2"/>
  <c r="L1727" i="2" s="1"/>
  <c r="J1272" i="2"/>
  <c r="L1272" i="2" s="1"/>
  <c r="J140" i="2"/>
  <c r="L140" i="2" s="1"/>
  <c r="I1897" i="2"/>
  <c r="I1804" i="2"/>
  <c r="I1720" i="2"/>
  <c r="I1448" i="2"/>
  <c r="K1448" i="2" s="1"/>
  <c r="I1388" i="2"/>
  <c r="I1304" i="2"/>
  <c r="I1164" i="2"/>
  <c r="I1086" i="2"/>
  <c r="I1028" i="2"/>
  <c r="I936" i="2"/>
  <c r="I852" i="2"/>
  <c r="I771" i="2"/>
  <c r="I711" i="2"/>
  <c r="I596" i="2"/>
  <c r="I512" i="2"/>
  <c r="I430" i="2"/>
  <c r="I358" i="2"/>
  <c r="I304" i="2"/>
  <c r="I2013" i="2"/>
  <c r="I1994" i="2"/>
  <c r="I1987" i="2"/>
  <c r="I1975" i="2"/>
  <c r="I1963" i="2"/>
  <c r="I1951" i="2"/>
  <c r="I1939" i="2"/>
  <c r="I1929" i="2"/>
  <c r="I1917" i="2"/>
  <c r="I1908" i="2"/>
  <c r="I1896" i="2"/>
  <c r="I1884" i="2"/>
  <c r="I1872" i="2"/>
  <c r="I1860" i="2"/>
  <c r="I1851" i="2"/>
  <c r="I1839" i="2"/>
  <c r="I1827" i="2"/>
  <c r="I1815" i="2"/>
  <c r="I1803" i="2"/>
  <c r="I1791" i="2"/>
  <c r="I1779" i="2"/>
  <c r="I1767" i="2"/>
  <c r="I1755" i="2"/>
  <c r="I1743" i="2"/>
  <c r="K1743" i="2" s="1"/>
  <c r="I1731" i="2"/>
  <c r="I1719" i="2"/>
  <c r="I1707" i="2"/>
  <c r="I1695" i="2"/>
  <c r="I1683" i="2"/>
  <c r="I1673" i="2"/>
  <c r="I1661" i="2"/>
  <c r="I1651" i="2"/>
  <c r="I1639" i="2"/>
  <c r="I1627" i="2"/>
  <c r="I1615" i="2"/>
  <c r="I1603" i="2"/>
  <c r="I1591" i="2"/>
  <c r="I1579" i="2"/>
  <c r="I1567" i="2"/>
  <c r="I1555" i="2"/>
  <c r="I1543" i="2"/>
  <c r="I1531" i="2"/>
  <c r="I1519" i="2"/>
  <c r="I1507" i="2"/>
  <c r="I1495" i="2"/>
  <c r="I1483" i="2"/>
  <c r="I1471" i="2"/>
  <c r="I1459" i="2"/>
  <c r="I1447" i="2"/>
  <c r="I1435" i="2"/>
  <c r="I1411" i="2"/>
  <c r="I1399" i="2"/>
  <c r="I1387" i="2"/>
  <c r="I1375" i="2"/>
  <c r="I1363" i="2"/>
  <c r="I1351" i="2"/>
  <c r="I1339" i="2"/>
  <c r="I1327" i="2"/>
  <c r="I1315" i="2"/>
  <c r="I1303" i="2"/>
  <c r="I1291" i="2"/>
  <c r="I1279" i="2"/>
  <c r="I1267" i="2"/>
  <c r="I1255" i="2"/>
  <c r="I1245" i="2"/>
  <c r="I1233" i="2"/>
  <c r="I1221" i="2"/>
  <c r="I1209" i="2"/>
  <c r="I1197" i="2"/>
  <c r="I1185" i="2"/>
  <c r="I1175" i="2"/>
  <c r="I1163" i="2"/>
  <c r="K1163" i="2" s="1"/>
  <c r="I1154" i="2"/>
  <c r="K1154" i="2" s="1"/>
  <c r="J1154" i="2"/>
  <c r="L1154" i="2" s="1"/>
  <c r="I1142" i="2"/>
  <c r="I1130" i="2"/>
  <c r="I1109" i="2"/>
  <c r="I1097" i="2"/>
  <c r="I1085" i="2"/>
  <c r="I1073" i="2"/>
  <c r="I1061" i="2"/>
  <c r="I1051" i="2"/>
  <c r="I1039" i="2"/>
  <c r="I1027" i="2"/>
  <c r="K1027" i="2" s="1"/>
  <c r="I1019" i="2"/>
  <c r="I1007" i="2"/>
  <c r="I995" i="2"/>
  <c r="I983" i="2"/>
  <c r="I971" i="2"/>
  <c r="I959" i="2"/>
  <c r="I947" i="2"/>
  <c r="K947" i="2" s="1"/>
  <c r="I935" i="2"/>
  <c r="I923" i="2"/>
  <c r="I911" i="2"/>
  <c r="I899" i="2"/>
  <c r="I887" i="2"/>
  <c r="I875" i="2"/>
  <c r="I863" i="2"/>
  <c r="I851" i="2"/>
  <c r="I839" i="2"/>
  <c r="I818" i="2"/>
  <c r="I806" i="2"/>
  <c r="I794" i="2"/>
  <c r="I782" i="2"/>
  <c r="I770" i="2"/>
  <c r="I758" i="2"/>
  <c r="I746" i="2"/>
  <c r="I734" i="2"/>
  <c r="I722" i="2"/>
  <c r="I710" i="2"/>
  <c r="I698" i="2"/>
  <c r="I686" i="2"/>
  <c r="I677" i="2"/>
  <c r="I665" i="2"/>
  <c r="I653" i="2"/>
  <c r="I643" i="2"/>
  <c r="I631" i="2"/>
  <c r="I619" i="2"/>
  <c r="I607" i="2"/>
  <c r="I595" i="2"/>
  <c r="I583" i="2"/>
  <c r="I571" i="2"/>
  <c r="I559" i="2"/>
  <c r="I547" i="2"/>
  <c r="I535" i="2"/>
  <c r="K535" i="2" s="1"/>
  <c r="I523" i="2"/>
  <c r="I511" i="2"/>
  <c r="I499" i="2"/>
  <c r="I487" i="2"/>
  <c r="I475" i="2"/>
  <c r="I463" i="2"/>
  <c r="I453" i="2"/>
  <c r="I441" i="2"/>
  <c r="I429" i="2"/>
  <c r="I417" i="2"/>
  <c r="I405" i="2"/>
  <c r="K405" i="2" s="1"/>
  <c r="I393" i="2"/>
  <c r="I381" i="2"/>
  <c r="I369" i="2"/>
  <c r="I1700" i="2"/>
  <c r="J2023" i="2"/>
  <c r="L2023" i="2" s="1"/>
  <c r="J2002" i="2"/>
  <c r="L2002" i="2" s="1"/>
  <c r="J1973" i="2"/>
  <c r="L1973" i="2" s="1"/>
  <c r="J1906" i="2"/>
  <c r="L1906" i="2" s="1"/>
  <c r="J1870" i="2"/>
  <c r="L1870" i="2" s="1"/>
  <c r="J1837" i="2"/>
  <c r="L1837" i="2" s="1"/>
  <c r="J1801" i="2"/>
  <c r="L1801" i="2" s="1"/>
  <c r="J1765" i="2"/>
  <c r="L1765" i="2" s="1"/>
  <c r="J1729" i="2"/>
  <c r="L1729" i="2" s="1"/>
  <c r="J1687" i="2"/>
  <c r="L1687" i="2" s="1"/>
  <c r="J1640" i="2"/>
  <c r="L1640" i="2" s="1"/>
  <c r="J1585" i="2"/>
  <c r="L1585" i="2" s="1"/>
  <c r="J1532" i="2"/>
  <c r="L1532" i="2" s="1"/>
  <c r="J1477" i="2"/>
  <c r="L1477" i="2" s="1"/>
  <c r="J1423" i="2"/>
  <c r="L1423" i="2" s="1"/>
  <c r="J1283" i="2"/>
  <c r="L1283" i="2" s="1"/>
  <c r="J1146" i="2"/>
  <c r="L1146" i="2" s="1"/>
  <c r="J1011" i="2"/>
  <c r="L1011" i="2" s="1"/>
  <c r="J555" i="2"/>
  <c r="L555" i="2" s="1"/>
  <c r="I2014" i="2"/>
  <c r="I1940" i="2"/>
  <c r="I1873" i="2"/>
  <c r="I1768" i="2"/>
  <c r="I1616" i="2"/>
  <c r="I1544" i="2"/>
  <c r="I1484" i="2"/>
  <c r="I1400" i="2"/>
  <c r="I1316" i="2"/>
  <c r="I1222" i="2"/>
  <c r="I1131" i="2"/>
  <c r="I1052" i="2"/>
  <c r="I972" i="2"/>
  <c r="I888" i="2"/>
  <c r="I783" i="2"/>
  <c r="I699" i="2"/>
  <c r="I632" i="2"/>
  <c r="I536" i="2"/>
  <c r="I454" i="2"/>
  <c r="I370" i="2"/>
  <c r="I280" i="2"/>
  <c r="I176" i="2"/>
  <c r="I113" i="2"/>
  <c r="I53" i="2"/>
  <c r="I29" i="2"/>
  <c r="I1706" i="2"/>
  <c r="I1694" i="2"/>
  <c r="I1682" i="2"/>
  <c r="I1660" i="2"/>
  <c r="I1650" i="2"/>
  <c r="I1626" i="2"/>
  <c r="I1614" i="2"/>
  <c r="I1590" i="2"/>
  <c r="I1578" i="2"/>
  <c r="I1554" i="2"/>
  <c r="I1542" i="2"/>
  <c r="I1518" i="2"/>
  <c r="I1506" i="2"/>
  <c r="I1482" i="2"/>
  <c r="I1470" i="2"/>
  <c r="I1446" i="2"/>
  <c r="I1434" i="2"/>
  <c r="I1422" i="2"/>
  <c r="I1410" i="2"/>
  <c r="I1398" i="2"/>
  <c r="I1386" i="2"/>
  <c r="I1374" i="2"/>
  <c r="I1362" i="2"/>
  <c r="I1350" i="2"/>
  <c r="I1338" i="2"/>
  <c r="I1326" i="2"/>
  <c r="I1314" i="2"/>
  <c r="I1302" i="2"/>
  <c r="I1290" i="2"/>
  <c r="I1278" i="2"/>
  <c r="I1266" i="2"/>
  <c r="I1254" i="2"/>
  <c r="I1244" i="2"/>
  <c r="I1232" i="2"/>
  <c r="I1220" i="2"/>
  <c r="I1208" i="2"/>
  <c r="I1196" i="2"/>
  <c r="I1184" i="2"/>
  <c r="I1174" i="2"/>
  <c r="I1162" i="2"/>
  <c r="I1153" i="2"/>
  <c r="I1141" i="2"/>
  <c r="I1129" i="2"/>
  <c r="I1108" i="2"/>
  <c r="I1096" i="2"/>
  <c r="I1084" i="2"/>
  <c r="I1072" i="2"/>
  <c r="I1060" i="2"/>
  <c r="I1050" i="2"/>
  <c r="I1038" i="2"/>
  <c r="I1026" i="2"/>
  <c r="I1018" i="2"/>
  <c r="I1006" i="2"/>
  <c r="I994" i="2"/>
  <c r="I982" i="2"/>
  <c r="I970" i="2"/>
  <c r="I958" i="2"/>
  <c r="I946" i="2"/>
  <c r="I934" i="2"/>
  <c r="I922" i="2"/>
  <c r="I910" i="2"/>
  <c r="I898" i="2"/>
  <c r="I886" i="2"/>
  <c r="I874" i="2"/>
  <c r="I862" i="2"/>
  <c r="I850" i="2"/>
  <c r="I838" i="2"/>
  <c r="I829" i="2"/>
  <c r="I817" i="2"/>
  <c r="I805" i="2"/>
  <c r="I793" i="2"/>
  <c r="I781" i="2"/>
  <c r="I769" i="2"/>
  <c r="I757" i="2"/>
  <c r="I745" i="2"/>
  <c r="I733" i="2"/>
  <c r="I721" i="2"/>
  <c r="I709" i="2"/>
  <c r="I697" i="2"/>
  <c r="I685" i="2"/>
  <c r="I676" i="2"/>
  <c r="I664" i="2"/>
  <c r="I652" i="2"/>
  <c r="I642" i="2"/>
  <c r="I630" i="2"/>
  <c r="I618" i="2"/>
  <c r="I606" i="2"/>
  <c r="I594" i="2"/>
  <c r="I582" i="2"/>
  <c r="I570" i="2"/>
  <c r="I558" i="2"/>
  <c r="I546" i="2"/>
  <c r="I534" i="2"/>
  <c r="I522" i="2"/>
  <c r="I510" i="2"/>
  <c r="I498" i="2"/>
  <c r="I486" i="2"/>
  <c r="I474" i="2"/>
  <c r="I462" i="2"/>
  <c r="K462" i="2" s="1"/>
  <c r="I452" i="2"/>
  <c r="I440" i="2"/>
  <c r="I428" i="2"/>
  <c r="I416" i="2"/>
  <c r="I404" i="2"/>
  <c r="I392" i="2"/>
  <c r="I380" i="2"/>
  <c r="I368" i="2"/>
  <c r="J1638" i="2"/>
  <c r="L1638" i="2" s="1"/>
  <c r="J1530" i="2"/>
  <c r="L1530" i="2" s="1"/>
  <c r="I2004" i="2"/>
  <c r="I1930" i="2"/>
  <c r="I1840" i="2"/>
  <c r="I1780" i="2"/>
  <c r="I1628" i="2"/>
  <c r="I1556" i="2"/>
  <c r="I1472" i="2"/>
  <c r="I1256" i="2"/>
  <c r="I1176" i="2"/>
  <c r="I1098" i="2"/>
  <c r="I996" i="2"/>
  <c r="I747" i="2"/>
  <c r="I678" i="2"/>
  <c r="I608" i="2"/>
  <c r="I524" i="2"/>
  <c r="I442" i="2"/>
  <c r="I382" i="2"/>
  <c r="I292" i="2"/>
  <c r="I212" i="2"/>
  <c r="I157" i="2"/>
  <c r="I89" i="2"/>
  <c r="I17" i="2"/>
  <c r="I1693" i="2"/>
  <c r="I1681" i="2"/>
  <c r="I1671" i="2"/>
  <c r="I1659" i="2"/>
  <c r="I1649" i="2"/>
  <c r="I1637" i="2"/>
  <c r="I1625" i="2"/>
  <c r="I1613" i="2"/>
  <c r="I1601" i="2"/>
  <c r="I1589" i="2"/>
  <c r="I1577" i="2"/>
  <c r="I1565" i="2"/>
  <c r="I1553" i="2"/>
  <c r="I1541" i="2"/>
  <c r="I1529" i="2"/>
  <c r="I1517" i="2"/>
  <c r="I1505" i="2"/>
  <c r="I1493" i="2"/>
  <c r="I1481" i="2"/>
  <c r="I1469" i="2"/>
  <c r="I1457" i="2"/>
  <c r="I1445" i="2"/>
  <c r="K1445" i="2" s="1"/>
  <c r="I1433" i="2"/>
  <c r="I1421" i="2"/>
  <c r="I1409" i="2"/>
  <c r="I1397" i="2"/>
  <c r="I1385" i="2"/>
  <c r="I1373" i="2"/>
  <c r="I1361" i="2"/>
  <c r="I1349" i="2"/>
  <c r="I1337" i="2"/>
  <c r="I1325" i="2"/>
  <c r="I1313" i="2"/>
  <c r="I1301" i="2"/>
  <c r="I1289" i="2"/>
  <c r="I1277" i="2"/>
  <c r="I1265" i="2"/>
  <c r="I1253" i="2"/>
  <c r="I1243" i="2"/>
  <c r="I1231" i="2"/>
  <c r="I1219" i="2"/>
  <c r="I1207" i="2"/>
  <c r="I1195" i="2"/>
  <c r="I1183" i="2"/>
  <c r="I1173" i="2"/>
  <c r="I1161" i="2"/>
  <c r="I1152" i="2"/>
  <c r="I1140" i="2"/>
  <c r="I1128" i="2"/>
  <c r="I1107" i="2"/>
  <c r="I1095" i="2"/>
  <c r="I1083" i="2"/>
  <c r="I1071" i="2"/>
  <c r="I1059" i="2"/>
  <c r="I1049" i="2"/>
  <c r="I1037" i="2"/>
  <c r="I1025" i="2"/>
  <c r="I1017" i="2"/>
  <c r="I1005" i="2"/>
  <c r="I993" i="2"/>
  <c r="I981" i="2"/>
  <c r="I969" i="2"/>
  <c r="I957" i="2"/>
  <c r="I945" i="2"/>
  <c r="I933" i="2"/>
  <c r="I921" i="2"/>
  <c r="I909" i="2"/>
  <c r="I897" i="2"/>
  <c r="I885" i="2"/>
  <c r="I873" i="2"/>
  <c r="I861" i="2"/>
  <c r="I849" i="2"/>
  <c r="I837" i="2"/>
  <c r="I828" i="2"/>
  <c r="I816" i="2"/>
  <c r="I804" i="2"/>
  <c r="I792" i="2"/>
  <c r="I780" i="2"/>
  <c r="I768" i="2"/>
  <c r="I756" i="2"/>
  <c r="I744" i="2"/>
  <c r="I732" i="2"/>
  <c r="I720" i="2"/>
  <c r="I708" i="2"/>
  <c r="I696" i="2"/>
  <c r="I675" i="2"/>
  <c r="I663" i="2"/>
  <c r="I651" i="2"/>
  <c r="I641" i="2"/>
  <c r="I629" i="2"/>
  <c r="I617" i="2"/>
  <c r="I605" i="2"/>
  <c r="I593" i="2"/>
  <c r="I581" i="2"/>
  <c r="I569" i="2"/>
  <c r="I557" i="2"/>
  <c r="I545" i="2"/>
  <c r="I533" i="2"/>
  <c r="I521" i="2"/>
  <c r="I509" i="2"/>
  <c r="I497" i="2"/>
  <c r="I485" i="2"/>
  <c r="I473" i="2"/>
  <c r="I451" i="2"/>
  <c r="I439" i="2"/>
  <c r="I427" i="2"/>
  <c r="I415" i="2"/>
  <c r="I403" i="2"/>
  <c r="I391" i="2"/>
  <c r="I379" i="2"/>
  <c r="I367" i="2"/>
  <c r="I355" i="2"/>
  <c r="J2020" i="2"/>
  <c r="L2020" i="2" s="1"/>
  <c r="J1999" i="2"/>
  <c r="L1999" i="2" s="1"/>
  <c r="J1970" i="2"/>
  <c r="L1970" i="2" s="1"/>
  <c r="J1936" i="2"/>
  <c r="L1936" i="2" s="1"/>
  <c r="J1903" i="2"/>
  <c r="L1903" i="2" s="1"/>
  <c r="J1867" i="2"/>
  <c r="L1867" i="2" s="1"/>
  <c r="J1834" i="2"/>
  <c r="L1834" i="2" s="1"/>
  <c r="J1798" i="2"/>
  <c r="L1798" i="2" s="1"/>
  <c r="J1762" i="2"/>
  <c r="L1762" i="2" s="1"/>
  <c r="J1726" i="2"/>
  <c r="L1726" i="2" s="1"/>
  <c r="J1684" i="2"/>
  <c r="L1684" i="2" s="1"/>
  <c r="J1634" i="2"/>
  <c r="L1634" i="2" s="1"/>
  <c r="J1582" i="2"/>
  <c r="L1582" i="2" s="1"/>
  <c r="J1526" i="2"/>
  <c r="L1526" i="2" s="1"/>
  <c r="J1474" i="2"/>
  <c r="L1474" i="2" s="1"/>
  <c r="J1415" i="2"/>
  <c r="L1415" i="2" s="1"/>
  <c r="J1271" i="2"/>
  <c r="L1271" i="2" s="1"/>
  <c r="J1134" i="2"/>
  <c r="L1134" i="2" s="1"/>
  <c r="J999" i="2"/>
  <c r="L999" i="2" s="1"/>
  <c r="J507" i="2"/>
  <c r="L507" i="2" s="1"/>
  <c r="I1976" i="2"/>
  <c r="I1918" i="2"/>
  <c r="I1852" i="2"/>
  <c r="I1756" i="2"/>
  <c r="J1662" i="2"/>
  <c r="L1662" i="2" s="1"/>
  <c r="I1592" i="2"/>
  <c r="I1412" i="2"/>
  <c r="I1352" i="2"/>
  <c r="I1280" i="2"/>
  <c r="I1186" i="2"/>
  <c r="I1110" i="2"/>
  <c r="I1008" i="2"/>
  <c r="I912" i="2"/>
  <c r="I840" i="2"/>
  <c r="I759" i="2"/>
  <c r="I666" i="2"/>
  <c r="I620" i="2"/>
  <c r="I548" i="2"/>
  <c r="I464" i="2"/>
  <c r="I394" i="2"/>
  <c r="I316" i="2"/>
  <c r="I244" i="2"/>
  <c r="I188" i="2"/>
  <c r="I145" i="2"/>
  <c r="I77" i="2"/>
  <c r="I41" i="2"/>
  <c r="I2022" i="2"/>
  <c r="I2010" i="2"/>
  <c r="I2001" i="2"/>
  <c r="I1991" i="2"/>
  <c r="I1984" i="2"/>
  <c r="K1984" i="2" s="1"/>
  <c r="I1972" i="2"/>
  <c r="I1960" i="2"/>
  <c r="I1948" i="2"/>
  <c r="I1926" i="2"/>
  <c r="I1914" i="2"/>
  <c r="I1905" i="2"/>
  <c r="I1893" i="2"/>
  <c r="I1881" i="2"/>
  <c r="I1869" i="2"/>
  <c r="I1857" i="2"/>
  <c r="I1848" i="2"/>
  <c r="I1836" i="2"/>
  <c r="I1824" i="2"/>
  <c r="I1812" i="2"/>
  <c r="I1800" i="2"/>
  <c r="I1788" i="2"/>
  <c r="I1776" i="2"/>
  <c r="I1764" i="2"/>
  <c r="I1752" i="2"/>
  <c r="I1740" i="2"/>
  <c r="I1728" i="2"/>
  <c r="I1716" i="2"/>
  <c r="I1704" i="2"/>
  <c r="I1692" i="2"/>
  <c r="I1670" i="2"/>
  <c r="I1658" i="2"/>
  <c r="I1648" i="2"/>
  <c r="I1636" i="2"/>
  <c r="I1624" i="2"/>
  <c r="I1612" i="2"/>
  <c r="I1600" i="2"/>
  <c r="I1588" i="2"/>
  <c r="K1588" i="2" s="1"/>
  <c r="I1576" i="2"/>
  <c r="I1564" i="2"/>
  <c r="I1552" i="2"/>
  <c r="I1540" i="2"/>
  <c r="I1528" i="2"/>
  <c r="I1516" i="2"/>
  <c r="I1504" i="2"/>
  <c r="I1492" i="2"/>
  <c r="I1480" i="2"/>
  <c r="I1468" i="2"/>
  <c r="I1456" i="2"/>
  <c r="I1444" i="2"/>
  <c r="I1432" i="2"/>
  <c r="I1420" i="2"/>
  <c r="K1420" i="2" s="1"/>
  <c r="I1408" i="2"/>
  <c r="I1396" i="2"/>
  <c r="I1384" i="2"/>
  <c r="I1372" i="2"/>
  <c r="I1360" i="2"/>
  <c r="I1348" i="2"/>
  <c r="I1336" i="2"/>
  <c r="I1324" i="2"/>
  <c r="I1312" i="2"/>
  <c r="I1300" i="2"/>
  <c r="I1288" i="2"/>
  <c r="I1276" i="2"/>
  <c r="I1264" i="2"/>
  <c r="I1252" i="2"/>
  <c r="I1242" i="2"/>
  <c r="I1230" i="2"/>
  <c r="I1218" i="2"/>
  <c r="I1206" i="2"/>
  <c r="I1194" i="2"/>
  <c r="I1172" i="2"/>
  <c r="I1160" i="2"/>
  <c r="I1151" i="2"/>
  <c r="I1139" i="2"/>
  <c r="I1127" i="2"/>
  <c r="I1118" i="2"/>
  <c r="I1106" i="2"/>
  <c r="I1094" i="2"/>
  <c r="I1082" i="2"/>
  <c r="I1070" i="2"/>
  <c r="I1058" i="2"/>
  <c r="I1048" i="2"/>
  <c r="I1036" i="2"/>
  <c r="I1024" i="2"/>
  <c r="I1016" i="2"/>
  <c r="I1004" i="2"/>
  <c r="I992" i="2"/>
  <c r="I980" i="2"/>
  <c r="I968" i="2"/>
  <c r="I956" i="2"/>
  <c r="I944" i="2"/>
  <c r="I932" i="2"/>
  <c r="I920" i="2"/>
  <c r="I908" i="2"/>
  <c r="I896" i="2"/>
  <c r="I872" i="2"/>
  <c r="I860" i="2"/>
  <c r="I848" i="2"/>
  <c r="I836" i="2"/>
  <c r="I827" i="2"/>
  <c r="I815" i="2"/>
  <c r="I803" i="2"/>
  <c r="I791" i="2"/>
  <c r="I779" i="2"/>
  <c r="I767" i="2"/>
  <c r="I755" i="2"/>
  <c r="I731" i="2"/>
  <c r="I719" i="2"/>
  <c r="I707" i="2"/>
  <c r="I674" i="2"/>
  <c r="I662" i="2"/>
  <c r="I640" i="2"/>
  <c r="I628" i="2"/>
  <c r="I616" i="2"/>
  <c r="I604" i="2"/>
  <c r="I592" i="2"/>
  <c r="I580" i="2"/>
  <c r="I568" i="2"/>
  <c r="I544" i="2"/>
  <c r="K544" i="2" s="1"/>
  <c r="I532" i="2"/>
  <c r="I520" i="2"/>
  <c r="I496" i="2"/>
  <c r="I484" i="2"/>
  <c r="I472" i="2"/>
  <c r="I1368" i="2"/>
  <c r="J2018" i="2"/>
  <c r="L2018" i="2" s="1"/>
  <c r="J1993" i="2"/>
  <c r="L1993" i="2" s="1"/>
  <c r="J1962" i="2"/>
  <c r="L1962" i="2" s="1"/>
  <c r="J1928" i="2"/>
  <c r="L1928" i="2" s="1"/>
  <c r="J1895" i="2"/>
  <c r="L1895" i="2" s="1"/>
  <c r="J1859" i="2"/>
  <c r="L1859" i="2" s="1"/>
  <c r="J1826" i="2"/>
  <c r="L1826" i="2" s="1"/>
  <c r="J1790" i="2"/>
  <c r="L1790" i="2" s="1"/>
  <c r="J1754" i="2"/>
  <c r="L1754" i="2" s="1"/>
  <c r="J1718" i="2"/>
  <c r="L1718" i="2" s="1"/>
  <c r="J1675" i="2"/>
  <c r="L1675" i="2" s="1"/>
  <c r="J1622" i="2"/>
  <c r="L1622" i="2" s="1"/>
  <c r="J1570" i="2"/>
  <c r="L1570" i="2" s="1"/>
  <c r="J1514" i="2"/>
  <c r="L1514" i="2" s="1"/>
  <c r="J1462" i="2"/>
  <c r="L1462" i="2" s="1"/>
  <c r="J1380" i="2"/>
  <c r="L1380" i="2" s="1"/>
  <c r="J1238" i="2"/>
  <c r="L1238" i="2" s="1"/>
  <c r="J1102" i="2"/>
  <c r="L1102" i="2" s="1"/>
  <c r="J931" i="2"/>
  <c r="L931" i="2" s="1"/>
  <c r="I1988" i="2"/>
  <c r="I1909" i="2"/>
  <c r="K1909" i="2" s="1"/>
  <c r="I1828" i="2"/>
  <c r="I1732" i="2"/>
  <c r="I1364" i="2"/>
  <c r="I1268" i="2"/>
  <c r="I1198" i="2"/>
  <c r="I1119" i="2"/>
  <c r="I1040" i="2"/>
  <c r="I960" i="2"/>
  <c r="I900" i="2"/>
  <c r="I819" i="2"/>
  <c r="I735" i="2"/>
  <c r="I644" i="2"/>
  <c r="I560" i="2"/>
  <c r="I476" i="2"/>
  <c r="I334" i="2"/>
  <c r="I268" i="2"/>
  <c r="I200" i="2"/>
  <c r="I125" i="2"/>
  <c r="I5" i="2"/>
  <c r="I1715" i="2"/>
  <c r="I1703" i="2"/>
  <c r="I1691" i="2"/>
  <c r="I1669" i="2"/>
  <c r="I1657" i="2"/>
  <c r="I1647" i="2"/>
  <c r="I1635" i="2"/>
  <c r="I1623" i="2"/>
  <c r="I1611" i="2"/>
  <c r="I1599" i="2"/>
  <c r="I1587" i="2"/>
  <c r="I1575" i="2"/>
  <c r="I1563" i="2"/>
  <c r="I1551" i="2"/>
  <c r="I1539" i="2"/>
  <c r="I1527" i="2"/>
  <c r="I1515" i="2"/>
  <c r="I1503" i="2"/>
  <c r="I1491" i="2"/>
  <c r="I1479" i="2"/>
  <c r="I1467" i="2"/>
  <c r="I1455" i="2"/>
  <c r="I1443" i="2"/>
  <c r="I1431" i="2"/>
  <c r="I1419" i="2"/>
  <c r="I1407" i="2"/>
  <c r="I1395" i="2"/>
  <c r="I1383" i="2"/>
  <c r="I1371" i="2"/>
  <c r="I1359" i="2"/>
  <c r="I1347" i="2"/>
  <c r="I1335" i="2"/>
  <c r="I1323" i="2"/>
  <c r="I1311" i="2"/>
  <c r="K1311" i="2" s="1"/>
  <c r="I1299" i="2"/>
  <c r="I1287" i="2"/>
  <c r="I1275" i="2"/>
  <c r="I1263" i="2"/>
  <c r="I1251" i="2"/>
  <c r="I1241" i="2"/>
  <c r="I1229" i="2"/>
  <c r="I1217" i="2"/>
  <c r="I1205" i="2"/>
  <c r="I1193" i="2"/>
  <c r="I1171" i="2"/>
  <c r="I1159" i="2"/>
  <c r="I1150" i="2"/>
  <c r="I1138" i="2"/>
  <c r="I1126" i="2"/>
  <c r="I1117" i="2"/>
  <c r="I1105" i="2"/>
  <c r="I1093" i="2"/>
  <c r="I1081" i="2"/>
  <c r="I1069" i="2"/>
  <c r="I1057" i="2"/>
  <c r="I1047" i="2"/>
  <c r="I1035" i="2"/>
  <c r="I1023" i="2"/>
  <c r="I1015" i="2"/>
  <c r="I1003" i="2"/>
  <c r="I991" i="2"/>
  <c r="I979" i="2"/>
  <c r="I967" i="2"/>
  <c r="I955" i="2"/>
  <c r="I943" i="2"/>
  <c r="I919" i="2"/>
  <c r="I907" i="2"/>
  <c r="I895" i="2"/>
  <c r="I871" i="2"/>
  <c r="K871" i="2" s="1"/>
  <c r="I859" i="2"/>
  <c r="I847" i="2"/>
  <c r="I835" i="2"/>
  <c r="I826" i="2"/>
  <c r="K826" i="2" s="1"/>
  <c r="I814" i="2"/>
  <c r="I802" i="2"/>
  <c r="I790" i="2"/>
  <c r="I778" i="2"/>
  <c r="I766" i="2"/>
  <c r="I754" i="2"/>
  <c r="K754" i="2" s="1"/>
  <c r="I730" i="2"/>
  <c r="I718" i="2"/>
  <c r="K718" i="2" s="1"/>
  <c r="I706" i="2"/>
  <c r="I673" i="2"/>
  <c r="I661" i="2"/>
  <c r="I639" i="2"/>
  <c r="I627" i="2"/>
  <c r="I615" i="2"/>
  <c r="I603" i="2"/>
  <c r="I591" i="2"/>
  <c r="I579" i="2"/>
  <c r="I567" i="2"/>
  <c r="I543" i="2"/>
  <c r="I531" i="2"/>
  <c r="I519" i="2"/>
  <c r="I495" i="2"/>
  <c r="I483" i="2"/>
  <c r="I471" i="2"/>
  <c r="I1340" i="2"/>
  <c r="J2017" i="2"/>
  <c r="L2017" i="2" s="1"/>
  <c r="J1992" i="2"/>
  <c r="L1992" i="2" s="1"/>
  <c r="J1961" i="2"/>
  <c r="L1961" i="2" s="1"/>
  <c r="J1927" i="2"/>
  <c r="L1927" i="2" s="1"/>
  <c r="J1894" i="2"/>
  <c r="L1894" i="2" s="1"/>
  <c r="J1858" i="2"/>
  <c r="L1858" i="2" s="1"/>
  <c r="J1825" i="2"/>
  <c r="L1825" i="2" s="1"/>
  <c r="J1789" i="2"/>
  <c r="L1789" i="2" s="1"/>
  <c r="J1753" i="2"/>
  <c r="L1753" i="2" s="1"/>
  <c r="J1717" i="2"/>
  <c r="L1717" i="2" s="1"/>
  <c r="J1674" i="2"/>
  <c r="L1674" i="2" s="1"/>
  <c r="J1621" i="2"/>
  <c r="L1621" i="2" s="1"/>
  <c r="J1568" i="2"/>
  <c r="L1568" i="2" s="1"/>
  <c r="J1513" i="2"/>
  <c r="L1513" i="2" s="1"/>
  <c r="J1460" i="2"/>
  <c r="L1460" i="2" s="1"/>
  <c r="J1379" i="2"/>
  <c r="L1379" i="2" s="1"/>
  <c r="J1237" i="2"/>
  <c r="L1237" i="2" s="1"/>
  <c r="J1101" i="2"/>
  <c r="L1101" i="2" s="1"/>
  <c r="J930" i="2"/>
  <c r="L930" i="2" s="1"/>
  <c r="I1964" i="2"/>
  <c r="I1885" i="2"/>
  <c r="I1816" i="2"/>
  <c r="I1744" i="2"/>
  <c r="I1708" i="2"/>
  <c r="I1652" i="2"/>
  <c r="I1580" i="2"/>
  <c r="I1520" i="2"/>
  <c r="I1424" i="2"/>
  <c r="I1328" i="2"/>
  <c r="I1143" i="2"/>
  <c r="I1062" i="2"/>
  <c r="I984" i="2"/>
  <c r="I924" i="2"/>
  <c r="I864" i="2"/>
  <c r="I795" i="2"/>
  <c r="I687" i="2"/>
  <c r="I572" i="2"/>
  <c r="I500" i="2"/>
  <c r="I406" i="2"/>
  <c r="I326" i="2"/>
  <c r="I232" i="2"/>
  <c r="I164" i="2"/>
  <c r="I101" i="2"/>
  <c r="I1690" i="2"/>
  <c r="I1680" i="2"/>
  <c r="I1646" i="2"/>
  <c r="I1610" i="2"/>
  <c r="I1574" i="2"/>
  <c r="I1538" i="2"/>
  <c r="I1502" i="2"/>
  <c r="I1466" i="2"/>
  <c r="I1430" i="2"/>
  <c r="I1418" i="2"/>
  <c r="I1406" i="2"/>
  <c r="I1394" i="2"/>
  <c r="I1382" i="2"/>
  <c r="I1370" i="2"/>
  <c r="I1358" i="2"/>
  <c r="I1346" i="2"/>
  <c r="I1334" i="2"/>
  <c r="I1322" i="2"/>
  <c r="I1310" i="2"/>
  <c r="I1298" i="2"/>
  <c r="I1286" i="2"/>
  <c r="I1274" i="2"/>
  <c r="I1262" i="2"/>
  <c r="I1250" i="2"/>
  <c r="I1240" i="2"/>
  <c r="I1228" i="2"/>
  <c r="I1216" i="2"/>
  <c r="I1204" i="2"/>
  <c r="I1192" i="2"/>
  <c r="I1182" i="2"/>
  <c r="I1170" i="2"/>
  <c r="I1158" i="2"/>
  <c r="I1149" i="2"/>
  <c r="I1137" i="2"/>
  <c r="I1125" i="2"/>
  <c r="I1116" i="2"/>
  <c r="I1104" i="2"/>
  <c r="I1092" i="2"/>
  <c r="I1080" i="2"/>
  <c r="I1068" i="2"/>
  <c r="I1056" i="2"/>
  <c r="I1046" i="2"/>
  <c r="I1034" i="2"/>
  <c r="I1022" i="2"/>
  <c r="I1014" i="2"/>
  <c r="I1002" i="2"/>
  <c r="I990" i="2"/>
  <c r="I978" i="2"/>
  <c r="I966" i="2"/>
  <c r="I954" i="2"/>
  <c r="I942" i="2"/>
  <c r="I918" i="2"/>
  <c r="I906" i="2"/>
  <c r="I894" i="2"/>
  <c r="I882" i="2"/>
  <c r="I870" i="2"/>
  <c r="I858" i="2"/>
  <c r="I846" i="2"/>
  <c r="I834" i="2"/>
  <c r="I825" i="2"/>
  <c r="K825" i="2" s="1"/>
  <c r="I813" i="2"/>
  <c r="I801" i="2"/>
  <c r="I789" i="2"/>
  <c r="I777" i="2"/>
  <c r="I765" i="2"/>
  <c r="K765" i="2" s="1"/>
  <c r="I753" i="2"/>
  <c r="I741" i="2"/>
  <c r="I729" i="2"/>
  <c r="I717" i="2"/>
  <c r="I705" i="2"/>
  <c r="I693" i="2"/>
  <c r="I684" i="2"/>
  <c r="I672" i="2"/>
  <c r="I660" i="2"/>
  <c r="I650" i="2"/>
  <c r="I638" i="2"/>
  <c r="I626" i="2"/>
  <c r="K626" i="2" s="1"/>
  <c r="I614" i="2"/>
  <c r="I602" i="2"/>
  <c r="I590" i="2"/>
  <c r="I578" i="2"/>
  <c r="I566" i="2"/>
  <c r="I554" i="2"/>
  <c r="I542" i="2"/>
  <c r="I530" i="2"/>
  <c r="I518" i="2"/>
  <c r="J1990" i="2"/>
  <c r="L1990" i="2" s="1"/>
  <c r="J1959" i="2"/>
  <c r="L1959" i="2" s="1"/>
  <c r="J1925" i="2"/>
  <c r="L1925" i="2" s="1"/>
  <c r="J1892" i="2"/>
  <c r="L1892" i="2" s="1"/>
  <c r="J1856" i="2"/>
  <c r="L1856" i="2" s="1"/>
  <c r="J1823" i="2"/>
  <c r="L1823" i="2" s="1"/>
  <c r="J1787" i="2"/>
  <c r="L1787" i="2" s="1"/>
  <c r="J1751" i="2"/>
  <c r="L1751" i="2" s="1"/>
  <c r="J1714" i="2"/>
  <c r="L1714" i="2" s="1"/>
  <c r="J1672" i="2"/>
  <c r="L1672" i="2" s="1"/>
  <c r="J1619" i="2"/>
  <c r="L1619" i="2" s="1"/>
  <c r="J1566" i="2"/>
  <c r="L1566" i="2" s="1"/>
  <c r="J1511" i="2"/>
  <c r="L1511" i="2" s="1"/>
  <c r="J1458" i="2"/>
  <c r="L1458" i="2" s="1"/>
  <c r="J1226" i="2"/>
  <c r="L1226" i="2" s="1"/>
  <c r="J1090" i="2"/>
  <c r="L1090" i="2" s="1"/>
  <c r="J884" i="2"/>
  <c r="L884" i="2" s="1"/>
  <c r="I2024" i="2"/>
  <c r="I1952" i="2"/>
  <c r="I1861" i="2"/>
  <c r="I1792" i="2"/>
  <c r="I1696" i="2"/>
  <c r="I1508" i="2"/>
  <c r="I1436" i="2"/>
  <c r="I1376" i="2"/>
  <c r="I1292" i="2"/>
  <c r="I1234" i="2"/>
  <c r="I1155" i="2"/>
  <c r="I1074" i="2"/>
  <c r="I948" i="2"/>
  <c r="I876" i="2"/>
  <c r="I807" i="2"/>
  <c r="I723" i="2"/>
  <c r="I654" i="2"/>
  <c r="I584" i="2"/>
  <c r="I488" i="2"/>
  <c r="I418" i="2"/>
  <c r="I346" i="2"/>
  <c r="I256" i="2"/>
  <c r="I65" i="2"/>
  <c r="J2019" i="2"/>
  <c r="L2019" i="2" s="1"/>
  <c r="J1998" i="2"/>
  <c r="L1998" i="2" s="1"/>
  <c r="I1981" i="2"/>
  <c r="I1969" i="2"/>
  <c r="I1957" i="2"/>
  <c r="I1945" i="2"/>
  <c r="I1935" i="2"/>
  <c r="I1923" i="2"/>
  <c r="I1878" i="2"/>
  <c r="I1845" i="2"/>
  <c r="I1833" i="2"/>
  <c r="I1821" i="2"/>
  <c r="I1809" i="2"/>
  <c r="I1797" i="2"/>
  <c r="I1785" i="2"/>
  <c r="I1773" i="2"/>
  <c r="I1761" i="2"/>
  <c r="I1749" i="2"/>
  <c r="I1737" i="2"/>
  <c r="I1725" i="2"/>
  <c r="I1701" i="2"/>
  <c r="I1689" i="2"/>
  <c r="I1679" i="2"/>
  <c r="I1667" i="2"/>
  <c r="I1645" i="2"/>
  <c r="I1633" i="2"/>
  <c r="I1609" i="2"/>
  <c r="I1597" i="2"/>
  <c r="I1573" i="2"/>
  <c r="I1561" i="2"/>
  <c r="I1537" i="2"/>
  <c r="I1525" i="2"/>
  <c r="I1501" i="2"/>
  <c r="I1489" i="2"/>
  <c r="I1465" i="2"/>
  <c r="I1453" i="2"/>
  <c r="I1429" i="2"/>
  <c r="I1417" i="2"/>
  <c r="I1405" i="2"/>
  <c r="I1393" i="2"/>
  <c r="I1381" i="2"/>
  <c r="I1369" i="2"/>
  <c r="I1357" i="2"/>
  <c r="K1357" i="2" s="1"/>
  <c r="I1345" i="2"/>
  <c r="I1333" i="2"/>
  <c r="I1321" i="2"/>
  <c r="I1309" i="2"/>
  <c r="I1297" i="2"/>
  <c r="I1285" i="2"/>
  <c r="I1273" i="2"/>
  <c r="I1261" i="2"/>
  <c r="I1249" i="2"/>
  <c r="I1239" i="2"/>
  <c r="I1227" i="2"/>
  <c r="I1215" i="2"/>
  <c r="I1203" i="2"/>
  <c r="I1191" i="2"/>
  <c r="I1181" i="2"/>
  <c r="I1169" i="2"/>
  <c r="I1157" i="2"/>
  <c r="I1148" i="2"/>
  <c r="I1136" i="2"/>
  <c r="I1124" i="2"/>
  <c r="I1115" i="2"/>
  <c r="I1103" i="2"/>
  <c r="I1091" i="2"/>
  <c r="I1079" i="2"/>
  <c r="I1067" i="2"/>
  <c r="I1045" i="2"/>
  <c r="I1033" i="2"/>
  <c r="I1021" i="2"/>
  <c r="I1013" i="2"/>
  <c r="I1001" i="2"/>
  <c r="I989" i="2"/>
  <c r="I977" i="2"/>
  <c r="I965" i="2"/>
  <c r="I953" i="2"/>
  <c r="I941" i="2"/>
  <c r="I929" i="2"/>
  <c r="I917" i="2"/>
  <c r="I905" i="2"/>
  <c r="I893" i="2"/>
  <c r="I881" i="2"/>
  <c r="I869" i="2"/>
  <c r="I857" i="2"/>
  <c r="I845" i="2"/>
  <c r="I833" i="2"/>
  <c r="I824" i="2"/>
  <c r="I812" i="2"/>
  <c r="I800" i="2"/>
  <c r="I788" i="2"/>
  <c r="I776" i="2"/>
  <c r="I764" i="2"/>
  <c r="I752" i="2"/>
  <c r="I740" i="2"/>
  <c r="I728" i="2"/>
  <c r="I716" i="2"/>
  <c r="I704" i="2"/>
  <c r="I692" i="2"/>
  <c r="I683" i="2"/>
  <c r="I671" i="2"/>
  <c r="I659" i="2"/>
  <c r="I649" i="2"/>
  <c r="I637" i="2"/>
  <c r="I625" i="2"/>
  <c r="I613" i="2"/>
  <c r="I601" i="2"/>
  <c r="I589" i="2"/>
  <c r="I577" i="2"/>
  <c r="I565" i="2"/>
  <c r="I553" i="2"/>
  <c r="I1210" i="2"/>
  <c r="J1989" i="2"/>
  <c r="L1989" i="2" s="1"/>
  <c r="J1958" i="2"/>
  <c r="L1958" i="2" s="1"/>
  <c r="J1924" i="2"/>
  <c r="L1924" i="2" s="1"/>
  <c r="J1891" i="2"/>
  <c r="L1891" i="2" s="1"/>
  <c r="J1855" i="2"/>
  <c r="L1855" i="2" s="1"/>
  <c r="J1822" i="2"/>
  <c r="L1822" i="2" s="1"/>
  <c r="J1786" i="2"/>
  <c r="L1786" i="2" s="1"/>
  <c r="J1750" i="2"/>
  <c r="L1750" i="2" s="1"/>
  <c r="J1713" i="2"/>
  <c r="L1713" i="2" s="1"/>
  <c r="J1668" i="2"/>
  <c r="L1668" i="2" s="1"/>
  <c r="J1618" i="2"/>
  <c r="L1618" i="2" s="1"/>
  <c r="J1562" i="2"/>
  <c r="L1562" i="2" s="1"/>
  <c r="J1510" i="2"/>
  <c r="L1510" i="2" s="1"/>
  <c r="J1454" i="2"/>
  <c r="L1454" i="2" s="1"/>
  <c r="J1367" i="2"/>
  <c r="L1367" i="2" s="1"/>
  <c r="J1225" i="2"/>
  <c r="L1225" i="2" s="1"/>
  <c r="J1089" i="2"/>
  <c r="L1089" i="2" s="1"/>
  <c r="J883" i="2"/>
  <c r="L883" i="2" s="1"/>
  <c r="I2008" i="2"/>
  <c r="I1997" i="2"/>
  <c r="I1980" i="2"/>
  <c r="I1968" i="2"/>
  <c r="I1956" i="2"/>
  <c r="I1944" i="2"/>
  <c r="I1934" i="2"/>
  <c r="I1922" i="2"/>
  <c r="I1901" i="2"/>
  <c r="I1889" i="2"/>
  <c r="I1877" i="2"/>
  <c r="I1865" i="2"/>
  <c r="I1844" i="2"/>
  <c r="I1832" i="2"/>
  <c r="I1820" i="2"/>
  <c r="I1808" i="2"/>
  <c r="I1796" i="2"/>
  <c r="I1784" i="2"/>
  <c r="I1772" i="2"/>
  <c r="I1760" i="2"/>
  <c r="I1748" i="2"/>
  <c r="I1736" i="2"/>
  <c r="I1724" i="2"/>
  <c r="I1712" i="2"/>
  <c r="I1678" i="2"/>
  <c r="I1666" i="2"/>
  <c r="I1644" i="2"/>
  <c r="I1632" i="2"/>
  <c r="I1620" i="2"/>
  <c r="I1608" i="2"/>
  <c r="I1596" i="2"/>
  <c r="I1584" i="2"/>
  <c r="I1572" i="2"/>
  <c r="I1560" i="2"/>
  <c r="I1548" i="2"/>
  <c r="I1536" i="2"/>
  <c r="I1524" i="2"/>
  <c r="I1512" i="2"/>
  <c r="I1500" i="2"/>
  <c r="I1488" i="2"/>
  <c r="I1476" i="2"/>
  <c r="I1464" i="2"/>
  <c r="I1452" i="2"/>
  <c r="I1440" i="2"/>
  <c r="I1428" i="2"/>
  <c r="I1404" i="2"/>
  <c r="I1392" i="2"/>
  <c r="I1356" i="2"/>
  <c r="I1344" i="2"/>
  <c r="I1308" i="2"/>
  <c r="I1296" i="2"/>
  <c r="I1260" i="2"/>
  <c r="I1248" i="2"/>
  <c r="I1214" i="2"/>
  <c r="I1202" i="2"/>
  <c r="I1168" i="2"/>
  <c r="I1123" i="2"/>
  <c r="I1114" i="2"/>
  <c r="I1078" i="2"/>
  <c r="I1066" i="2"/>
  <c r="I1032" i="2"/>
  <c r="I1020" i="2"/>
  <c r="I988" i="2"/>
  <c r="I976" i="2"/>
  <c r="I964" i="2"/>
  <c r="I952" i="2"/>
  <c r="I940" i="2"/>
  <c r="I928" i="2"/>
  <c r="I916" i="2"/>
  <c r="I904" i="2"/>
  <c r="I892" i="2"/>
  <c r="I880" i="2"/>
  <c r="I868" i="2"/>
  <c r="I856" i="2"/>
  <c r="I844" i="2"/>
  <c r="I832" i="2"/>
  <c r="I823" i="2"/>
  <c r="I811" i="2"/>
  <c r="I799" i="2"/>
  <c r="I787" i="2"/>
  <c r="I775" i="2"/>
  <c r="K775" i="2" s="1"/>
  <c r="I763" i="2"/>
  <c r="I751" i="2"/>
  <c r="I739" i="2"/>
  <c r="I727" i="2"/>
  <c r="I715" i="2"/>
  <c r="I703" i="2"/>
  <c r="I691" i="2"/>
  <c r="I682" i="2"/>
  <c r="I670" i="2"/>
  <c r="I658" i="2"/>
  <c r="I648" i="2"/>
  <c r="I636" i="2"/>
  <c r="I624" i="2"/>
  <c r="I612" i="2"/>
  <c r="I600" i="2"/>
  <c r="I588" i="2"/>
  <c r="I576" i="2"/>
  <c r="I564" i="2"/>
  <c r="I552" i="2"/>
  <c r="I540" i="2"/>
  <c r="I528" i="2"/>
  <c r="I516" i="2"/>
  <c r="I504" i="2"/>
  <c r="I492" i="2"/>
  <c r="I480" i="2"/>
  <c r="I468" i="2"/>
  <c r="I458" i="2"/>
  <c r="I446" i="2"/>
  <c r="I434" i="2"/>
  <c r="I422" i="2"/>
  <c r="I410" i="2"/>
  <c r="I398" i="2"/>
  <c r="I386" i="2"/>
  <c r="I374" i="2"/>
  <c r="I362" i="2"/>
  <c r="I350" i="2"/>
  <c r="I338" i="2"/>
  <c r="I330" i="2"/>
  <c r="I320" i="2"/>
  <c r="I308" i="2"/>
  <c r="I296" i="2"/>
  <c r="I284" i="2"/>
  <c r="I272" i="2"/>
  <c r="I260" i="2"/>
  <c r="I248" i="2"/>
  <c r="I236" i="2"/>
  <c r="I224" i="2"/>
  <c r="I216" i="2"/>
  <c r="I204" i="2"/>
  <c r="I192" i="2"/>
  <c r="I180" i="2"/>
  <c r="K180" i="2" s="1"/>
  <c r="I168" i="2"/>
  <c r="I149" i="2"/>
  <c r="I137" i="2"/>
  <c r="I129" i="2"/>
  <c r="I117" i="2"/>
  <c r="I105" i="2"/>
  <c r="I93" i="2"/>
  <c r="I81" i="2"/>
  <c r="I69" i="2"/>
  <c r="I57" i="2"/>
  <c r="I45" i="2"/>
  <c r="I33" i="2"/>
  <c r="I21" i="2"/>
  <c r="I9" i="2"/>
  <c r="I1902" i="2"/>
  <c r="J2012" i="2"/>
  <c r="L2012" i="2" s="1"/>
  <c r="J1986" i="2"/>
  <c r="L1986" i="2" s="1"/>
  <c r="J1950" i="2"/>
  <c r="L1950" i="2" s="1"/>
  <c r="J1916" i="2"/>
  <c r="L1916" i="2" s="1"/>
  <c r="J1883" i="2"/>
  <c r="L1883" i="2" s="1"/>
  <c r="J1850" i="2"/>
  <c r="L1850" i="2" s="1"/>
  <c r="J1814" i="2"/>
  <c r="L1814" i="2" s="1"/>
  <c r="J1778" i="2"/>
  <c r="L1778" i="2" s="1"/>
  <c r="J1742" i="2"/>
  <c r="L1742" i="2" s="1"/>
  <c r="J1705" i="2"/>
  <c r="L1705" i="2" s="1"/>
  <c r="J1656" i="2"/>
  <c r="L1656" i="2" s="1"/>
  <c r="J1606" i="2"/>
  <c r="L1606" i="2" s="1"/>
  <c r="J1550" i="2"/>
  <c r="L1550" i="2" s="1"/>
  <c r="J1498" i="2"/>
  <c r="L1498" i="2" s="1"/>
  <c r="J1442" i="2"/>
  <c r="L1442" i="2" s="1"/>
  <c r="J1332" i="2"/>
  <c r="L1332" i="2" s="1"/>
  <c r="J1190" i="2"/>
  <c r="L1190" i="2" s="1"/>
  <c r="J743" i="2"/>
  <c r="L743" i="2" s="1"/>
  <c r="I2027" i="2"/>
  <c r="I2007" i="2"/>
  <c r="I1996" i="2"/>
  <c r="I1979" i="2"/>
  <c r="I1967" i="2"/>
  <c r="I1955" i="2"/>
  <c r="I1943" i="2"/>
  <c r="I1933" i="2"/>
  <c r="I1921" i="2"/>
  <c r="K1921" i="2" s="1"/>
  <c r="I1912" i="2"/>
  <c r="I1900" i="2"/>
  <c r="I1888" i="2"/>
  <c r="I1876" i="2"/>
  <c r="I1864" i="2"/>
  <c r="I1843" i="2"/>
  <c r="I1831" i="2"/>
  <c r="I1819" i="2"/>
  <c r="I1807" i="2"/>
  <c r="I1795" i="2"/>
  <c r="I1783" i="2"/>
  <c r="I1771" i="2"/>
  <c r="I1759" i="2"/>
  <c r="I1747" i="2"/>
  <c r="I1735" i="2"/>
  <c r="I1723" i="2"/>
  <c r="I1711" i="2"/>
  <c r="I1677" i="2"/>
  <c r="I1665" i="2"/>
  <c r="J1643" i="2"/>
  <c r="L1643" i="2" s="1"/>
  <c r="I1631" i="2"/>
  <c r="I1607" i="2"/>
  <c r="I1595" i="2"/>
  <c r="I1571" i="2"/>
  <c r="I1559" i="2"/>
  <c r="I1535" i="2"/>
  <c r="I1523" i="2"/>
  <c r="I1499" i="2"/>
  <c r="I1487" i="2"/>
  <c r="I1463" i="2"/>
  <c r="I1451" i="2"/>
  <c r="I1427" i="2"/>
  <c r="I1403" i="2"/>
  <c r="I1391" i="2"/>
  <c r="I1355" i="2"/>
  <c r="I1343" i="2"/>
  <c r="I1307" i="2"/>
  <c r="I1295" i="2"/>
  <c r="I1259" i="2"/>
  <c r="I1247" i="2"/>
  <c r="I1213" i="2"/>
  <c r="I1201" i="2"/>
  <c r="I1167" i="2"/>
  <c r="I1122" i="2"/>
  <c r="I1113" i="2"/>
  <c r="I1077" i="2"/>
  <c r="I1065" i="2"/>
  <c r="I1031" i="2"/>
  <c r="I987" i="2"/>
  <c r="I975" i="2"/>
  <c r="I963" i="2"/>
  <c r="I951" i="2"/>
  <c r="I939" i="2"/>
  <c r="I927" i="2"/>
  <c r="I915" i="2"/>
  <c r="I903" i="2"/>
  <c r="I891" i="2"/>
  <c r="I879" i="2"/>
  <c r="I867" i="2"/>
  <c r="I855" i="2"/>
  <c r="I843" i="2"/>
  <c r="I831" i="2"/>
  <c r="I822" i="2"/>
  <c r="I810" i="2"/>
  <c r="I798" i="2"/>
  <c r="I786" i="2"/>
  <c r="I774" i="2"/>
  <c r="I762" i="2"/>
  <c r="I750" i="2"/>
  <c r="I738" i="2"/>
  <c r="I726" i="2"/>
  <c r="I714" i="2"/>
  <c r="I702" i="2"/>
  <c r="I690" i="2"/>
  <c r="K690" i="2" s="1"/>
  <c r="I681" i="2"/>
  <c r="I669" i="2"/>
  <c r="I657" i="2"/>
  <c r="I647" i="2"/>
  <c r="I635" i="2"/>
  <c r="I623" i="2"/>
  <c r="I611" i="2"/>
  <c r="I599" i="2"/>
  <c r="I587" i="2"/>
  <c r="I575" i="2"/>
  <c r="I563" i="2"/>
  <c r="I551" i="2"/>
  <c r="I539" i="2"/>
  <c r="I527" i="2"/>
  <c r="I515" i="2"/>
  <c r="I503" i="2"/>
  <c r="I491" i="2"/>
  <c r="I479" i="2"/>
  <c r="I467" i="2"/>
  <c r="I457" i="2"/>
  <c r="I445" i="2"/>
  <c r="I433" i="2"/>
  <c r="I421" i="2"/>
  <c r="I409" i="2"/>
  <c r="K409" i="2" s="1"/>
  <c r="I397" i="2"/>
  <c r="I385" i="2"/>
  <c r="I373" i="2"/>
  <c r="I361" i="2"/>
  <c r="I349" i="2"/>
  <c r="I337" i="2"/>
  <c r="I329" i="2"/>
  <c r="I319" i="2"/>
  <c r="I307" i="2"/>
  <c r="I295" i="2"/>
  <c r="I283" i="2"/>
  <c r="I271" i="2"/>
  <c r="I259" i="2"/>
  <c r="I247" i="2"/>
  <c r="I235" i="2"/>
  <c r="K235" i="2" s="1"/>
  <c r="I215" i="2"/>
  <c r="I203" i="2"/>
  <c r="I191" i="2"/>
  <c r="I179" i="2"/>
  <c r="I167" i="2"/>
  <c r="I160" i="2"/>
  <c r="I148" i="2"/>
  <c r="I136" i="2"/>
  <c r="I128" i="2"/>
  <c r="I116" i="2"/>
  <c r="I104" i="2"/>
  <c r="I92" i="2"/>
  <c r="I80" i="2"/>
  <c r="I68" i="2"/>
  <c r="I56" i="2"/>
  <c r="I44" i="2"/>
  <c r="I32" i="2"/>
  <c r="I20" i="2"/>
  <c r="I8" i="2"/>
  <c r="I1890" i="2"/>
  <c r="J2011" i="2"/>
  <c r="L2011" i="2" s="1"/>
  <c r="J1985" i="2"/>
  <c r="L1985" i="2" s="1"/>
  <c r="J1949" i="2"/>
  <c r="L1949" i="2" s="1"/>
  <c r="J1915" i="2"/>
  <c r="L1915" i="2" s="1"/>
  <c r="J1882" i="2"/>
  <c r="L1882" i="2" s="1"/>
  <c r="J1849" i="2"/>
  <c r="L1849" i="2" s="1"/>
  <c r="J1813" i="2"/>
  <c r="L1813" i="2" s="1"/>
  <c r="J1777" i="2"/>
  <c r="L1777" i="2" s="1"/>
  <c r="J1741" i="2"/>
  <c r="L1741" i="2" s="1"/>
  <c r="J1702" i="2"/>
  <c r="L1702" i="2" s="1"/>
  <c r="J1655" i="2"/>
  <c r="L1655" i="2" s="1"/>
  <c r="J1604" i="2"/>
  <c r="L1604" i="2" s="1"/>
  <c r="J1549" i="2"/>
  <c r="L1549" i="2" s="1"/>
  <c r="J1496" i="2"/>
  <c r="L1496" i="2" s="1"/>
  <c r="J1441" i="2"/>
  <c r="L1441" i="2" s="1"/>
  <c r="J1331" i="2"/>
  <c r="L1331" i="2" s="1"/>
  <c r="J1189" i="2"/>
  <c r="L1189" i="2" s="1"/>
  <c r="J1055" i="2"/>
  <c r="L1055" i="2" s="1"/>
  <c r="J742" i="2"/>
  <c r="L742" i="2" s="1"/>
  <c r="I2026" i="2"/>
  <c r="I2016" i="2"/>
  <c r="I2006" i="2"/>
  <c r="K2006" i="2" s="1"/>
  <c r="I1995" i="2"/>
  <c r="I1978" i="2"/>
  <c r="I1966" i="2"/>
  <c r="I1954" i="2"/>
  <c r="I1942" i="2"/>
  <c r="I1932" i="2"/>
  <c r="I1920" i="2"/>
  <c r="I1911" i="2"/>
  <c r="I1899" i="2"/>
  <c r="I1887" i="2"/>
  <c r="I1875" i="2"/>
  <c r="I1863" i="2"/>
  <c r="I1842" i="2"/>
  <c r="I1830" i="2"/>
  <c r="I1818" i="2"/>
  <c r="I1806" i="2"/>
  <c r="I1794" i="2"/>
  <c r="I1782" i="2"/>
  <c r="I1770" i="2"/>
  <c r="I1758" i="2"/>
  <c r="I1746" i="2"/>
  <c r="I1734" i="2"/>
  <c r="J1722" i="2"/>
  <c r="L1722" i="2" s="1"/>
  <c r="I1710" i="2"/>
  <c r="I1698" i="2"/>
  <c r="I1686" i="2"/>
  <c r="I1676" i="2"/>
  <c r="I1664" i="2"/>
  <c r="I1630" i="2"/>
  <c r="I1594" i="2"/>
  <c r="I1558" i="2"/>
  <c r="I1522" i="2"/>
  <c r="I1486" i="2"/>
  <c r="I1450" i="2"/>
  <c r="I1414" i="2"/>
  <c r="I1402" i="2"/>
  <c r="I1390" i="2"/>
  <c r="I1378" i="2"/>
  <c r="I1366" i="2"/>
  <c r="I1354" i="2"/>
  <c r="I1342" i="2"/>
  <c r="I1330" i="2"/>
  <c r="I1318" i="2"/>
  <c r="I1306" i="2"/>
  <c r="I1294" i="2"/>
  <c r="I1282" i="2"/>
  <c r="I1270" i="2"/>
  <c r="I1258" i="2"/>
  <c r="I1246" i="2"/>
  <c r="I1236" i="2"/>
  <c r="I1224" i="2"/>
  <c r="I1212" i="2"/>
  <c r="I1200" i="2"/>
  <c r="K1200" i="2" s="1"/>
  <c r="I1188" i="2"/>
  <c r="I1178" i="2"/>
  <c r="I1166" i="2"/>
  <c r="I1145" i="2"/>
  <c r="I1133" i="2"/>
  <c r="I1121" i="2"/>
  <c r="I1112" i="2"/>
  <c r="I1100" i="2"/>
  <c r="I1088" i="2"/>
  <c r="I1076" i="2"/>
  <c r="I1064" i="2"/>
  <c r="I1054" i="2"/>
  <c r="I1042" i="2"/>
  <c r="I1030" i="2"/>
  <c r="I1010" i="2"/>
  <c r="I998" i="2"/>
  <c r="I986" i="2"/>
  <c r="I974" i="2"/>
  <c r="I962" i="2"/>
  <c r="I950" i="2"/>
  <c r="I938" i="2"/>
  <c r="I926" i="2"/>
  <c r="I914" i="2"/>
  <c r="I902" i="2"/>
  <c r="I890" i="2"/>
  <c r="I878" i="2"/>
  <c r="I866" i="2"/>
  <c r="I854" i="2"/>
  <c r="I842" i="2"/>
  <c r="I830" i="2"/>
  <c r="I821" i="2"/>
  <c r="I809" i="2"/>
  <c r="I797" i="2"/>
  <c r="I785" i="2"/>
  <c r="I773" i="2"/>
  <c r="I761" i="2"/>
  <c r="I749" i="2"/>
  <c r="I737" i="2"/>
  <c r="I725" i="2"/>
  <c r="I713" i="2"/>
  <c r="I701" i="2"/>
  <c r="I689" i="2"/>
  <c r="I680" i="2"/>
  <c r="I668" i="2"/>
  <c r="I656" i="2"/>
  <c r="I646" i="2"/>
  <c r="I634" i="2"/>
  <c r="I622" i="2"/>
  <c r="I610" i="2"/>
  <c r="I598" i="2"/>
  <c r="I586" i="2"/>
  <c r="I574" i="2"/>
  <c r="I562" i="2"/>
  <c r="I550" i="2"/>
  <c r="I538" i="2"/>
  <c r="I526" i="2"/>
  <c r="I514" i="2"/>
  <c r="I502" i="2"/>
  <c r="I490" i="2"/>
  <c r="I478" i="2"/>
  <c r="I466" i="2"/>
  <c r="I456" i="2"/>
  <c r="I444" i="2"/>
  <c r="I432" i="2"/>
  <c r="I420" i="2"/>
  <c r="I408" i="2"/>
  <c r="I396" i="2"/>
  <c r="I384" i="2"/>
  <c r="I372" i="2"/>
  <c r="I1866" i="2"/>
  <c r="J2028" i="2"/>
  <c r="L2028" i="2" s="1"/>
  <c r="J2009" i="2"/>
  <c r="L2009" i="2" s="1"/>
  <c r="J1983" i="2"/>
  <c r="L1983" i="2" s="1"/>
  <c r="J1947" i="2"/>
  <c r="L1947" i="2" s="1"/>
  <c r="J1913" i="2"/>
  <c r="L1913" i="2" s="1"/>
  <c r="J1880" i="2"/>
  <c r="L1880" i="2" s="1"/>
  <c r="J1847" i="2"/>
  <c r="L1847" i="2" s="1"/>
  <c r="J1811" i="2"/>
  <c r="L1811" i="2" s="1"/>
  <c r="J1775" i="2"/>
  <c r="L1775" i="2" s="1"/>
  <c r="J1739" i="2"/>
  <c r="L1739" i="2" s="1"/>
  <c r="J1602" i="2"/>
  <c r="L1602" i="2" s="1"/>
  <c r="J1547" i="2"/>
  <c r="L1547" i="2" s="1"/>
  <c r="J1494" i="2"/>
  <c r="L1494" i="2" s="1"/>
  <c r="J1439" i="2"/>
  <c r="L1439" i="2" s="1"/>
  <c r="J1320" i="2"/>
  <c r="L1320" i="2" s="1"/>
  <c r="J1180" i="2"/>
  <c r="L1180" i="2" s="1"/>
  <c r="J1044" i="2"/>
  <c r="L1044" i="2" s="1"/>
  <c r="J695" i="2"/>
  <c r="L695" i="2" s="1"/>
  <c r="I2025" i="2"/>
  <c r="I2015" i="2"/>
  <c r="I2005" i="2"/>
  <c r="K2005" i="2" s="1"/>
  <c r="I1977" i="2"/>
  <c r="I1965" i="2"/>
  <c r="I1953" i="2"/>
  <c r="I1941" i="2"/>
  <c r="I1931" i="2"/>
  <c r="I1919" i="2"/>
  <c r="I1910" i="2"/>
  <c r="I1898" i="2"/>
  <c r="I1886" i="2"/>
  <c r="I1874" i="2"/>
  <c r="I1862" i="2"/>
  <c r="I1853" i="2"/>
  <c r="I1841" i="2"/>
  <c r="I1829" i="2"/>
  <c r="I1817" i="2"/>
  <c r="I1805" i="2"/>
  <c r="I1793" i="2"/>
  <c r="I1781" i="2"/>
  <c r="I1769" i="2"/>
  <c r="I1757" i="2"/>
  <c r="I1745" i="2"/>
  <c r="I1733" i="2"/>
  <c r="I1721" i="2"/>
  <c r="I1709" i="2"/>
  <c r="I1697" i="2"/>
  <c r="I1663" i="2"/>
  <c r="I1653" i="2"/>
  <c r="I1641" i="2"/>
  <c r="I1629" i="2"/>
  <c r="I1617" i="2"/>
  <c r="I1605" i="2"/>
  <c r="I1593" i="2"/>
  <c r="I1581" i="2"/>
  <c r="I1569" i="2"/>
  <c r="I1557" i="2"/>
  <c r="I1545" i="2"/>
  <c r="I1533" i="2"/>
  <c r="K1533" i="2" s="1"/>
  <c r="I1521" i="2"/>
  <c r="I1509" i="2"/>
  <c r="I1497" i="2"/>
  <c r="I1485" i="2"/>
  <c r="I1473" i="2"/>
  <c r="I1461" i="2"/>
  <c r="I1449" i="2"/>
  <c r="I1437" i="2"/>
  <c r="I1425" i="2"/>
  <c r="I1413" i="2"/>
  <c r="I1401" i="2"/>
  <c r="I1389" i="2"/>
  <c r="I1377" i="2"/>
  <c r="I1365" i="2"/>
  <c r="I1353" i="2"/>
  <c r="I1341" i="2"/>
  <c r="I1329" i="2"/>
  <c r="I1317" i="2"/>
  <c r="I1305" i="2"/>
  <c r="I1293" i="2"/>
  <c r="I1281" i="2"/>
  <c r="I1269" i="2"/>
  <c r="I1257" i="2"/>
  <c r="I1235" i="2"/>
  <c r="I1223" i="2"/>
  <c r="I1211" i="2"/>
  <c r="K1211" i="2" s="1"/>
  <c r="I1199" i="2"/>
  <c r="I1187" i="2"/>
  <c r="I1177" i="2"/>
  <c r="I1165" i="2"/>
  <c r="I1156" i="2"/>
  <c r="I1144" i="2"/>
  <c r="I1132" i="2"/>
  <c r="I1120" i="2"/>
  <c r="I1111" i="2"/>
  <c r="I1099" i="2"/>
  <c r="I1087" i="2"/>
  <c r="I1075" i="2"/>
  <c r="I1063" i="2"/>
  <c r="I1053" i="2"/>
  <c r="I1041" i="2"/>
  <c r="I1029" i="2"/>
  <c r="I1009" i="2"/>
  <c r="I997" i="2"/>
  <c r="I985" i="2"/>
  <c r="I973" i="2"/>
  <c r="K973" i="2" s="1"/>
  <c r="I961" i="2"/>
  <c r="I949" i="2"/>
  <c r="I937" i="2"/>
  <c r="I925" i="2"/>
  <c r="I913" i="2"/>
  <c r="I901" i="2"/>
  <c r="I889" i="2"/>
  <c r="K889" i="2" s="1"/>
  <c r="I877" i="2"/>
  <c r="I865" i="2"/>
  <c r="I853" i="2"/>
  <c r="I841" i="2"/>
  <c r="I820" i="2"/>
  <c r="I808" i="2"/>
  <c r="I796" i="2"/>
  <c r="I784" i="2"/>
  <c r="I772" i="2"/>
  <c r="I760" i="2"/>
  <c r="I748" i="2"/>
  <c r="I736" i="2"/>
  <c r="I724" i="2"/>
  <c r="I712" i="2"/>
  <c r="I700" i="2"/>
  <c r="I688" i="2"/>
  <c r="I679" i="2"/>
  <c r="I667" i="2"/>
  <c r="I655" i="2"/>
  <c r="I645" i="2"/>
  <c r="I633" i="2"/>
  <c r="I621" i="2"/>
  <c r="I609" i="2"/>
  <c r="I597" i="2"/>
  <c r="I585" i="2"/>
  <c r="I573" i="2"/>
  <c r="I561" i="2"/>
  <c r="I549" i="2"/>
  <c r="K549" i="2" s="1"/>
  <c r="J549" i="2"/>
  <c r="L549" i="2" s="1"/>
  <c r="I537" i="2"/>
  <c r="I525" i="2"/>
  <c r="I513" i="2"/>
  <c r="I501" i="2"/>
  <c r="I489" i="2"/>
  <c r="I477" i="2"/>
  <c r="I465" i="2"/>
  <c r="I455" i="2"/>
  <c r="I443" i="2"/>
  <c r="I431" i="2"/>
  <c r="I419" i="2"/>
  <c r="I407" i="2"/>
  <c r="I395" i="2"/>
  <c r="I383" i="2"/>
  <c r="I371" i="2"/>
  <c r="I359" i="2"/>
  <c r="I347" i="2"/>
  <c r="I335" i="2"/>
  <c r="I327" i="2"/>
  <c r="I317" i="2"/>
  <c r="I305" i="2"/>
  <c r="I293" i="2"/>
  <c r="I281" i="2"/>
  <c r="I269" i="2"/>
  <c r="K269" i="2" s="1"/>
  <c r="I257" i="2"/>
  <c r="I245" i="2"/>
  <c r="I233" i="2"/>
  <c r="I213" i="2"/>
  <c r="I201" i="2"/>
  <c r="I189" i="2"/>
  <c r="I177" i="2"/>
  <c r="I165" i="2"/>
  <c r="I158" i="2"/>
  <c r="I146" i="2"/>
  <c r="I126" i="2"/>
  <c r="I114" i="2"/>
  <c r="I102" i="2"/>
  <c r="I90" i="2"/>
  <c r="I78" i="2"/>
  <c r="I66" i="2"/>
  <c r="I54" i="2"/>
  <c r="I42" i="2"/>
  <c r="I30" i="2"/>
  <c r="I18" i="2"/>
  <c r="I6" i="2"/>
  <c r="I1854" i="2"/>
  <c r="J1982" i="2"/>
  <c r="L1982" i="2" s="1"/>
  <c r="J1946" i="2"/>
  <c r="L1946" i="2" s="1"/>
  <c r="J1879" i="2"/>
  <c r="L1879" i="2" s="1"/>
  <c r="J1846" i="2"/>
  <c r="L1846" i="2" s="1"/>
  <c r="J1810" i="2"/>
  <c r="L1810" i="2" s="1"/>
  <c r="J1774" i="2"/>
  <c r="L1774" i="2" s="1"/>
  <c r="J1738" i="2"/>
  <c r="L1738" i="2" s="1"/>
  <c r="J1699" i="2"/>
  <c r="L1699" i="2" s="1"/>
  <c r="J1654" i="2"/>
  <c r="L1654" i="2" s="1"/>
  <c r="J1598" i="2"/>
  <c r="L1598" i="2" s="1"/>
  <c r="J1546" i="2"/>
  <c r="L1546" i="2" s="1"/>
  <c r="J1490" i="2"/>
  <c r="L1490" i="2" s="1"/>
  <c r="J1438" i="2"/>
  <c r="L1438" i="2" s="1"/>
  <c r="J1319" i="2"/>
  <c r="L1319" i="2" s="1"/>
  <c r="J1179" i="2"/>
  <c r="L1179" i="2" s="1"/>
  <c r="J1043" i="2"/>
  <c r="L1043" i="2" s="1"/>
  <c r="J694" i="2"/>
  <c r="L694" i="2" s="1"/>
  <c r="I360" i="2"/>
  <c r="I348" i="2"/>
  <c r="I336" i="2"/>
  <c r="I328" i="2"/>
  <c r="I318" i="2"/>
  <c r="I306" i="2"/>
  <c r="I294" i="2"/>
  <c r="I282" i="2"/>
  <c r="I270" i="2"/>
  <c r="I258" i="2"/>
  <c r="I246" i="2"/>
  <c r="I234" i="2"/>
  <c r="I214" i="2"/>
  <c r="I202" i="2"/>
  <c r="I190" i="2"/>
  <c r="I178" i="2"/>
  <c r="I166" i="2"/>
  <c r="I159" i="2"/>
  <c r="I147" i="2"/>
  <c r="I127" i="2"/>
  <c r="I115" i="2"/>
  <c r="I103" i="2"/>
  <c r="I91" i="2"/>
  <c r="I79" i="2"/>
  <c r="I67" i="2"/>
  <c r="I55" i="2"/>
  <c r="I43" i="2"/>
  <c r="I31" i="2"/>
  <c r="I19" i="2"/>
  <c r="I7" i="2"/>
  <c r="J364" i="2"/>
  <c r="L364" i="2" s="1"/>
  <c r="J182" i="2"/>
  <c r="L182" i="2" s="1"/>
  <c r="I357" i="2"/>
  <c r="I345" i="2"/>
  <c r="I325" i="2"/>
  <c r="I315" i="2"/>
  <c r="I303" i="2"/>
  <c r="I291" i="2"/>
  <c r="I279" i="2"/>
  <c r="I267" i="2"/>
  <c r="I255" i="2"/>
  <c r="I243" i="2"/>
  <c r="I231" i="2"/>
  <c r="I223" i="2"/>
  <c r="I211" i="2"/>
  <c r="I199" i="2"/>
  <c r="I187" i="2"/>
  <c r="I175" i="2"/>
  <c r="I163" i="2"/>
  <c r="I156" i="2"/>
  <c r="I144" i="2"/>
  <c r="I124" i="2"/>
  <c r="I112" i="2"/>
  <c r="I100" i="2"/>
  <c r="I88" i="2"/>
  <c r="I76" i="2"/>
  <c r="I64" i="2"/>
  <c r="I52" i="2"/>
  <c r="I40" i="2"/>
  <c r="I28" i="2"/>
  <c r="I16" i="2"/>
  <c r="I4" i="2"/>
  <c r="J506" i="2"/>
  <c r="L506" i="2" s="1"/>
  <c r="J322" i="2"/>
  <c r="L322" i="2" s="1"/>
  <c r="J139" i="2"/>
  <c r="L139" i="2" s="1"/>
  <c r="I356" i="2"/>
  <c r="I344" i="2"/>
  <c r="I324" i="2"/>
  <c r="I314" i="2"/>
  <c r="I302" i="2"/>
  <c r="I290" i="2"/>
  <c r="I278" i="2"/>
  <c r="I266" i="2"/>
  <c r="I254" i="2"/>
  <c r="I242" i="2"/>
  <c r="I230" i="2"/>
  <c r="I222" i="2"/>
  <c r="I210" i="2"/>
  <c r="I198" i="2"/>
  <c r="I186" i="2"/>
  <c r="I174" i="2"/>
  <c r="I162" i="2"/>
  <c r="I155" i="2"/>
  <c r="I143" i="2"/>
  <c r="I135" i="2"/>
  <c r="I123" i="2"/>
  <c r="I111" i="2"/>
  <c r="I99" i="2"/>
  <c r="I87" i="2"/>
  <c r="I75" i="2"/>
  <c r="I63" i="2"/>
  <c r="I51" i="2"/>
  <c r="I39" i="2"/>
  <c r="I27" i="2"/>
  <c r="I15" i="2"/>
  <c r="I3" i="2"/>
  <c r="J276" i="2"/>
  <c r="L276" i="2" s="1"/>
  <c r="J97" i="2"/>
  <c r="L97" i="2" s="1"/>
  <c r="I343" i="2"/>
  <c r="I323" i="2"/>
  <c r="I313" i="2"/>
  <c r="I301" i="2"/>
  <c r="I289" i="2"/>
  <c r="I277" i="2"/>
  <c r="I265" i="2"/>
  <c r="I253" i="2"/>
  <c r="I241" i="2"/>
  <c r="I229" i="2"/>
  <c r="I221" i="2"/>
  <c r="I209" i="2"/>
  <c r="I197" i="2"/>
  <c r="I185" i="2"/>
  <c r="I173" i="2"/>
  <c r="I161" i="2"/>
  <c r="I154" i="2"/>
  <c r="I142" i="2"/>
  <c r="I134" i="2"/>
  <c r="I122" i="2"/>
  <c r="I110" i="2"/>
  <c r="I98" i="2"/>
  <c r="I86" i="2"/>
  <c r="I74" i="2"/>
  <c r="I62" i="2"/>
  <c r="I50" i="2"/>
  <c r="I38" i="2"/>
  <c r="I26" i="2"/>
  <c r="I14" i="2"/>
  <c r="I2" i="2"/>
  <c r="K2" i="2" s="1"/>
  <c r="J461" i="2"/>
  <c r="L461" i="2" s="1"/>
  <c r="J275" i="2"/>
  <c r="L275" i="2" s="1"/>
  <c r="J96" i="2"/>
  <c r="L96" i="2" s="1"/>
  <c r="I450" i="2"/>
  <c r="I438" i="2"/>
  <c r="I426" i="2"/>
  <c r="I402" i="2"/>
  <c r="I390" i="2"/>
  <c r="I378" i="2"/>
  <c r="I354" i="2"/>
  <c r="I342" i="2"/>
  <c r="I312" i="2"/>
  <c r="I300" i="2"/>
  <c r="I288" i="2"/>
  <c r="I264" i="2"/>
  <c r="I252" i="2"/>
  <c r="I240" i="2"/>
  <c r="I220" i="2"/>
  <c r="I208" i="2"/>
  <c r="I196" i="2"/>
  <c r="I172" i="2"/>
  <c r="I153" i="2"/>
  <c r="I133" i="2"/>
  <c r="I121" i="2"/>
  <c r="I109" i="2"/>
  <c r="I85" i="2"/>
  <c r="I73" i="2"/>
  <c r="I61" i="2"/>
  <c r="I37" i="2"/>
  <c r="I25" i="2"/>
  <c r="I13" i="2"/>
  <c r="J460" i="2"/>
  <c r="L460" i="2" s="1"/>
  <c r="J274" i="2"/>
  <c r="L274" i="2" s="1"/>
  <c r="J95" i="2"/>
  <c r="L95" i="2" s="1"/>
  <c r="I449" i="2"/>
  <c r="I437" i="2"/>
  <c r="I425" i="2"/>
  <c r="I401" i="2"/>
  <c r="I389" i="2"/>
  <c r="I377" i="2"/>
  <c r="I353" i="2"/>
  <c r="I341" i="2"/>
  <c r="I333" i="2"/>
  <c r="I311" i="2"/>
  <c r="I299" i="2"/>
  <c r="I287" i="2"/>
  <c r="I263" i="2"/>
  <c r="I251" i="2"/>
  <c r="I239" i="2"/>
  <c r="I219" i="2"/>
  <c r="I207" i="2"/>
  <c r="I195" i="2"/>
  <c r="I171" i="2"/>
  <c r="I152" i="2"/>
  <c r="I132" i="2"/>
  <c r="I120" i="2"/>
  <c r="I108" i="2"/>
  <c r="I84" i="2"/>
  <c r="I72" i="2"/>
  <c r="I60" i="2"/>
  <c r="I36" i="2"/>
  <c r="I24" i="2"/>
  <c r="I12" i="2"/>
  <c r="J414" i="2"/>
  <c r="L414" i="2" s="1"/>
  <c r="J228" i="2"/>
  <c r="L228" i="2" s="1"/>
  <c r="J49" i="2"/>
  <c r="L49" i="2" s="1"/>
  <c r="I494" i="2"/>
  <c r="I482" i="2"/>
  <c r="I470" i="2"/>
  <c r="I448" i="2"/>
  <c r="I436" i="2"/>
  <c r="I424" i="2"/>
  <c r="I400" i="2"/>
  <c r="I388" i="2"/>
  <c r="I376" i="2"/>
  <c r="I352" i="2"/>
  <c r="I340" i="2"/>
  <c r="I332" i="2"/>
  <c r="K332" i="2" s="1"/>
  <c r="I310" i="2"/>
  <c r="I298" i="2"/>
  <c r="I286" i="2"/>
  <c r="I262" i="2"/>
  <c r="I250" i="2"/>
  <c r="I238" i="2"/>
  <c r="I218" i="2"/>
  <c r="I206" i="2"/>
  <c r="I194" i="2"/>
  <c r="I170" i="2"/>
  <c r="I151" i="2"/>
  <c r="I131" i="2"/>
  <c r="I119" i="2"/>
  <c r="K119" i="2" s="1"/>
  <c r="I107" i="2"/>
  <c r="I83" i="2"/>
  <c r="I71" i="2"/>
  <c r="I59" i="2"/>
  <c r="I35" i="2"/>
  <c r="I23" i="2"/>
  <c r="I11" i="2"/>
  <c r="J413" i="2"/>
  <c r="L413" i="2" s="1"/>
  <c r="J227" i="2"/>
  <c r="L227" i="2" s="1"/>
  <c r="J48" i="2"/>
  <c r="L48" i="2" s="1"/>
  <c r="I541" i="2"/>
  <c r="I529" i="2"/>
  <c r="I517" i="2"/>
  <c r="I505" i="2"/>
  <c r="I493" i="2"/>
  <c r="I481" i="2"/>
  <c r="I469" i="2"/>
  <c r="I459" i="2"/>
  <c r="I447" i="2"/>
  <c r="I435" i="2"/>
  <c r="I423" i="2"/>
  <c r="I411" i="2"/>
  <c r="I399" i="2"/>
  <c r="I387" i="2"/>
  <c r="I375" i="2"/>
  <c r="I363" i="2"/>
  <c r="I351" i="2"/>
  <c r="I339" i="2"/>
  <c r="I331" i="2"/>
  <c r="I321" i="2"/>
  <c r="I309" i="2"/>
  <c r="I297" i="2"/>
  <c r="I285" i="2"/>
  <c r="I273" i="2"/>
  <c r="I261" i="2"/>
  <c r="I249" i="2"/>
  <c r="I237" i="2"/>
  <c r="I225" i="2"/>
  <c r="I217" i="2"/>
  <c r="I205" i="2"/>
  <c r="I193" i="2"/>
  <c r="I181" i="2"/>
  <c r="I169" i="2"/>
  <c r="I150" i="2"/>
  <c r="I138" i="2"/>
  <c r="I130" i="2"/>
  <c r="I118" i="2"/>
  <c r="I106" i="2"/>
  <c r="I94" i="2"/>
  <c r="I82" i="2"/>
  <c r="I70" i="2"/>
  <c r="I58" i="2"/>
  <c r="I46" i="2"/>
  <c r="I34" i="2"/>
  <c r="I22" i="2"/>
  <c r="I10" i="2"/>
  <c r="J412" i="2"/>
  <c r="L412" i="2" s="1"/>
  <c r="J226" i="2"/>
  <c r="L226" i="2" s="1"/>
  <c r="J47" i="2"/>
  <c r="L47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J765" i="2" l="1"/>
  <c r="L765" i="2" s="1"/>
  <c r="J1445" i="2"/>
  <c r="L1445" i="2" s="1"/>
  <c r="J690" i="2"/>
  <c r="L690" i="2" s="1"/>
  <c r="J2006" i="2"/>
  <c r="L2006" i="2" s="1"/>
  <c r="J626" i="2"/>
  <c r="L626" i="2" s="1"/>
  <c r="J1420" i="2"/>
  <c r="L1420" i="2" s="1"/>
  <c r="J1984" i="2"/>
  <c r="L1984" i="2" s="1"/>
  <c r="J1027" i="2"/>
  <c r="L1027" i="2" s="1"/>
  <c r="J269" i="2"/>
  <c r="L269" i="2" s="1"/>
  <c r="J2005" i="2"/>
  <c r="L2005" i="2" s="1"/>
  <c r="J1357" i="2"/>
  <c r="L1357" i="2" s="1"/>
  <c r="J826" i="2"/>
  <c r="L826" i="2" s="1"/>
  <c r="J544" i="2"/>
  <c r="L544" i="2" s="1"/>
  <c r="J1588" i="2"/>
  <c r="L1588" i="2" s="1"/>
  <c r="J1921" i="2"/>
  <c r="L1921" i="2" s="1"/>
  <c r="J1448" i="2"/>
  <c r="L1448" i="2" s="1"/>
  <c r="J119" i="2"/>
  <c r="L119" i="2" s="1"/>
  <c r="J332" i="2"/>
  <c r="L332" i="2" s="1"/>
  <c r="J889" i="2"/>
  <c r="L889" i="2" s="1"/>
  <c r="J405" i="2"/>
  <c r="L405" i="2" s="1"/>
  <c r="J535" i="2"/>
  <c r="L535" i="2" s="1"/>
  <c r="J825" i="2"/>
  <c r="L825" i="2" s="1"/>
  <c r="J1200" i="2"/>
  <c r="L1200" i="2" s="1"/>
  <c r="J235" i="2"/>
  <c r="L235" i="2" s="1"/>
  <c r="J61" i="2"/>
  <c r="L61" i="2" s="1"/>
  <c r="K61" i="2"/>
  <c r="J175" i="2"/>
  <c r="L175" i="2" s="1"/>
  <c r="K175" i="2"/>
  <c r="J233" i="2"/>
  <c r="L233" i="2" s="1"/>
  <c r="K233" i="2"/>
  <c r="J1769" i="2"/>
  <c r="L1769" i="2" s="1"/>
  <c r="K1769" i="2"/>
  <c r="J1294" i="2"/>
  <c r="L1294" i="2" s="1"/>
  <c r="K1294" i="2"/>
  <c r="J587" i="2"/>
  <c r="L587" i="2" s="1"/>
  <c r="K587" i="2"/>
  <c r="J1525" i="2"/>
  <c r="L1525" i="2" s="1"/>
  <c r="K1525" i="2"/>
  <c r="J1056" i="2"/>
  <c r="L1056" i="2" s="1"/>
  <c r="K1056" i="2"/>
  <c r="J1069" i="2"/>
  <c r="L1069" i="2" s="1"/>
  <c r="K1069" i="2"/>
  <c r="J616" i="2"/>
  <c r="L616" i="2" s="1"/>
  <c r="K616" i="2"/>
  <c r="J188" i="2"/>
  <c r="L188" i="2" s="1"/>
  <c r="K188" i="2"/>
  <c r="J1098" i="2"/>
  <c r="L1098" i="2" s="1"/>
  <c r="K1098" i="2"/>
  <c r="J972" i="2"/>
  <c r="L972" i="2" s="1"/>
  <c r="K972" i="2"/>
  <c r="J321" i="2"/>
  <c r="L321" i="2" s="1"/>
  <c r="K321" i="2"/>
  <c r="J246" i="2"/>
  <c r="L246" i="2" s="1"/>
  <c r="K246" i="2"/>
  <c r="J1199" i="2"/>
  <c r="L1199" i="2" s="1"/>
  <c r="K1199" i="2"/>
  <c r="J598" i="2"/>
  <c r="L598" i="2" s="1"/>
  <c r="K598" i="2"/>
  <c r="J1911" i="2"/>
  <c r="L1911" i="2" s="1"/>
  <c r="K1911" i="2"/>
  <c r="J1355" i="2"/>
  <c r="L1355" i="2" s="1"/>
  <c r="K1355" i="2"/>
  <c r="J374" i="2"/>
  <c r="L374" i="2" s="1"/>
  <c r="K374" i="2"/>
  <c r="J1584" i="2"/>
  <c r="L1584" i="2" s="1"/>
  <c r="K1584" i="2"/>
  <c r="J1091" i="2"/>
  <c r="L1091" i="2" s="1"/>
  <c r="K1091" i="2"/>
  <c r="J1508" i="2"/>
  <c r="L1508" i="2" s="1"/>
  <c r="K1508" i="2"/>
  <c r="J1204" i="2"/>
  <c r="L1204" i="2" s="1"/>
  <c r="K1204" i="2"/>
  <c r="J471" i="2"/>
  <c r="L471" i="2" s="1"/>
  <c r="K471" i="2"/>
  <c r="J1229" i="2"/>
  <c r="L1229" i="2" s="1"/>
  <c r="K1229" i="2"/>
  <c r="J472" i="2"/>
  <c r="L472" i="2" s="1"/>
  <c r="K472" i="2"/>
  <c r="J1106" i="2"/>
  <c r="L1106" i="2" s="1"/>
  <c r="K1106" i="2"/>
  <c r="J1396" i="2"/>
  <c r="L1396" i="2" s="1"/>
  <c r="K1396" i="2"/>
  <c r="J1960" i="2"/>
  <c r="L1960" i="2" s="1"/>
  <c r="K1960" i="2"/>
  <c r="J244" i="2"/>
  <c r="L244" i="2" s="1"/>
  <c r="K244" i="2"/>
  <c r="J1186" i="2"/>
  <c r="L1186" i="2" s="1"/>
  <c r="K1186" i="2"/>
  <c r="J427" i="2"/>
  <c r="L427" i="2" s="1"/>
  <c r="K427" i="2"/>
  <c r="J581" i="2"/>
  <c r="L581" i="2" s="1"/>
  <c r="K581" i="2"/>
  <c r="J732" i="2"/>
  <c r="L732" i="2" s="1"/>
  <c r="K732" i="2"/>
  <c r="J873" i="2"/>
  <c r="L873" i="2" s="1"/>
  <c r="K873" i="2"/>
  <c r="J1017" i="2"/>
  <c r="L1017" i="2" s="1"/>
  <c r="K1017" i="2"/>
  <c r="J1161" i="2"/>
  <c r="L1161" i="2" s="1"/>
  <c r="K1161" i="2"/>
  <c r="J1301" i="2"/>
  <c r="L1301" i="2" s="1"/>
  <c r="K1301" i="2"/>
  <c r="J1176" i="2"/>
  <c r="L1176" i="2" s="1"/>
  <c r="K1176" i="2"/>
  <c r="J510" i="2"/>
  <c r="L510" i="2" s="1"/>
  <c r="K510" i="2"/>
  <c r="J1220" i="2"/>
  <c r="L1220" i="2" s="1"/>
  <c r="K1220" i="2"/>
  <c r="J1362" i="2"/>
  <c r="L1362" i="2" s="1"/>
  <c r="K1362" i="2"/>
  <c r="J1542" i="2"/>
  <c r="L1542" i="2" s="1"/>
  <c r="K1542" i="2"/>
  <c r="J53" i="2"/>
  <c r="L53" i="2" s="1"/>
  <c r="K53" i="2"/>
  <c r="J1052" i="2"/>
  <c r="L1052" i="2" s="1"/>
  <c r="K1052" i="2"/>
  <c r="J677" i="2"/>
  <c r="L677" i="2" s="1"/>
  <c r="K677" i="2"/>
  <c r="J818" i="2"/>
  <c r="L818" i="2" s="1"/>
  <c r="K818" i="2"/>
  <c r="J959" i="2"/>
  <c r="L959" i="2" s="1"/>
  <c r="K959" i="2"/>
  <c r="J1085" i="2"/>
  <c r="L1085" i="2" s="1"/>
  <c r="K1085" i="2"/>
  <c r="J1209" i="2"/>
  <c r="L1209" i="2" s="1"/>
  <c r="K1209" i="2"/>
  <c r="J1351" i="2"/>
  <c r="L1351" i="2" s="1"/>
  <c r="K1351" i="2"/>
  <c r="J1507" i="2"/>
  <c r="L1507" i="2" s="1"/>
  <c r="K1507" i="2"/>
  <c r="J1651" i="2"/>
  <c r="L1651" i="2" s="1"/>
  <c r="K1651" i="2"/>
  <c r="J1779" i="2"/>
  <c r="L1779" i="2" s="1"/>
  <c r="K1779" i="2"/>
  <c r="J1917" i="2"/>
  <c r="L1917" i="2" s="1"/>
  <c r="K1917" i="2"/>
  <c r="J512" i="2"/>
  <c r="L512" i="2" s="1"/>
  <c r="K512" i="2"/>
  <c r="J46" i="2"/>
  <c r="L46" i="2" s="1"/>
  <c r="K46" i="2"/>
  <c r="J193" i="2"/>
  <c r="L193" i="2" s="1"/>
  <c r="K193" i="2"/>
  <c r="J331" i="2"/>
  <c r="L331" i="2" s="1"/>
  <c r="K331" i="2"/>
  <c r="J469" i="2"/>
  <c r="L469" i="2" s="1"/>
  <c r="K469" i="2"/>
  <c r="J35" i="2"/>
  <c r="L35" i="2" s="1"/>
  <c r="K35" i="2"/>
  <c r="J218" i="2"/>
  <c r="L218" i="2" s="1"/>
  <c r="K218" i="2"/>
  <c r="J388" i="2"/>
  <c r="L388" i="2" s="1"/>
  <c r="K388" i="2"/>
  <c r="J24" i="2"/>
  <c r="L24" i="2" s="1"/>
  <c r="K24" i="2"/>
  <c r="J219" i="2"/>
  <c r="L219" i="2" s="1"/>
  <c r="K219" i="2"/>
  <c r="J401" i="2"/>
  <c r="L401" i="2" s="1"/>
  <c r="K401" i="2"/>
  <c r="J85" i="2"/>
  <c r="L85" i="2" s="1"/>
  <c r="K85" i="2"/>
  <c r="J288" i="2"/>
  <c r="L288" i="2" s="1"/>
  <c r="K288" i="2"/>
  <c r="J122" i="2"/>
  <c r="L122" i="2" s="1"/>
  <c r="K122" i="2"/>
  <c r="J253" i="2"/>
  <c r="L253" i="2" s="1"/>
  <c r="K253" i="2"/>
  <c r="J27" i="2"/>
  <c r="L27" i="2" s="1"/>
  <c r="K27" i="2"/>
  <c r="J162" i="2"/>
  <c r="L162" i="2" s="1"/>
  <c r="K162" i="2"/>
  <c r="J302" i="2"/>
  <c r="L302" i="2" s="1"/>
  <c r="K302" i="2"/>
  <c r="J52" i="2"/>
  <c r="L52" i="2" s="1"/>
  <c r="K52" i="2"/>
  <c r="J199" i="2"/>
  <c r="L199" i="2" s="1"/>
  <c r="K199" i="2"/>
  <c r="J345" i="2"/>
  <c r="L345" i="2" s="1"/>
  <c r="K345" i="2"/>
  <c r="J103" i="2"/>
  <c r="L103" i="2" s="1"/>
  <c r="K103" i="2"/>
  <c r="J258" i="2"/>
  <c r="L258" i="2" s="1"/>
  <c r="K258" i="2"/>
  <c r="J102" i="2"/>
  <c r="L102" i="2" s="1"/>
  <c r="K102" i="2"/>
  <c r="J257" i="2"/>
  <c r="L257" i="2" s="1"/>
  <c r="K257" i="2"/>
  <c r="J383" i="2"/>
  <c r="L383" i="2" s="1"/>
  <c r="K383" i="2"/>
  <c r="J525" i="2"/>
  <c r="L525" i="2" s="1"/>
  <c r="K525" i="2"/>
  <c r="J655" i="2"/>
  <c r="L655" i="2" s="1"/>
  <c r="K655" i="2"/>
  <c r="J796" i="2"/>
  <c r="L796" i="2" s="1"/>
  <c r="K796" i="2"/>
  <c r="J937" i="2"/>
  <c r="L937" i="2" s="1"/>
  <c r="K937" i="2"/>
  <c r="J1075" i="2"/>
  <c r="L1075" i="2" s="1"/>
  <c r="K1075" i="2"/>
  <c r="J1211" i="2"/>
  <c r="L1211" i="2" s="1"/>
  <c r="J1353" i="2"/>
  <c r="L1353" i="2" s="1"/>
  <c r="K1353" i="2"/>
  <c r="J1497" i="2"/>
  <c r="L1497" i="2" s="1"/>
  <c r="K1497" i="2"/>
  <c r="J1629" i="2"/>
  <c r="L1629" i="2" s="1"/>
  <c r="K1629" i="2"/>
  <c r="J1793" i="2"/>
  <c r="L1793" i="2" s="1"/>
  <c r="K1793" i="2"/>
  <c r="J1931" i="2"/>
  <c r="L1931" i="2" s="1"/>
  <c r="K1931" i="2"/>
  <c r="J466" i="2"/>
  <c r="L466" i="2" s="1"/>
  <c r="K466" i="2"/>
  <c r="J610" i="2"/>
  <c r="L610" i="2" s="1"/>
  <c r="K610" i="2"/>
  <c r="J749" i="2"/>
  <c r="L749" i="2" s="1"/>
  <c r="K749" i="2"/>
  <c r="J890" i="2"/>
  <c r="L890" i="2" s="1"/>
  <c r="K890" i="2"/>
  <c r="J1042" i="2"/>
  <c r="L1042" i="2" s="1"/>
  <c r="K1042" i="2"/>
  <c r="J1188" i="2"/>
  <c r="L1188" i="2" s="1"/>
  <c r="K1188" i="2"/>
  <c r="J1318" i="2"/>
  <c r="L1318" i="2" s="1"/>
  <c r="K1318" i="2"/>
  <c r="J1558" i="2"/>
  <c r="L1558" i="2" s="1"/>
  <c r="K1558" i="2"/>
  <c r="J1770" i="2"/>
  <c r="L1770" i="2" s="1"/>
  <c r="K1770" i="2"/>
  <c r="J1920" i="2"/>
  <c r="L1920" i="2" s="1"/>
  <c r="K1920" i="2"/>
  <c r="J68" i="2"/>
  <c r="L68" i="2" s="1"/>
  <c r="K68" i="2"/>
  <c r="J203" i="2"/>
  <c r="L203" i="2" s="1"/>
  <c r="K203" i="2"/>
  <c r="J337" i="2"/>
  <c r="L337" i="2" s="1"/>
  <c r="K337" i="2"/>
  <c r="J467" i="2"/>
  <c r="L467" i="2" s="1"/>
  <c r="K467" i="2"/>
  <c r="J611" i="2"/>
  <c r="L611" i="2" s="1"/>
  <c r="K611" i="2"/>
  <c r="J738" i="2"/>
  <c r="L738" i="2" s="1"/>
  <c r="K738" i="2"/>
  <c r="J879" i="2"/>
  <c r="L879" i="2" s="1"/>
  <c r="K879" i="2"/>
  <c r="J1077" i="2"/>
  <c r="L1077" i="2" s="1"/>
  <c r="K1077" i="2"/>
  <c r="J1391" i="2"/>
  <c r="L1391" i="2" s="1"/>
  <c r="K1391" i="2"/>
  <c r="J1607" i="2"/>
  <c r="L1607" i="2" s="1"/>
  <c r="K1607" i="2"/>
  <c r="J1795" i="2"/>
  <c r="L1795" i="2" s="1"/>
  <c r="K1795" i="2"/>
  <c r="J1933" i="2"/>
  <c r="L1933" i="2" s="1"/>
  <c r="K1933" i="2"/>
  <c r="J117" i="2"/>
  <c r="L117" i="2" s="1"/>
  <c r="K117" i="2"/>
  <c r="J248" i="2"/>
  <c r="L248" i="2" s="1"/>
  <c r="K248" i="2"/>
  <c r="J386" i="2"/>
  <c r="L386" i="2" s="1"/>
  <c r="K386" i="2"/>
  <c r="J528" i="2"/>
  <c r="L528" i="2" s="1"/>
  <c r="K528" i="2"/>
  <c r="J670" i="2"/>
  <c r="L670" i="2" s="1"/>
  <c r="K670" i="2"/>
  <c r="J799" i="2"/>
  <c r="L799" i="2" s="1"/>
  <c r="K799" i="2"/>
  <c r="J940" i="2"/>
  <c r="L940" i="2" s="1"/>
  <c r="K940" i="2"/>
  <c r="J1202" i="2"/>
  <c r="L1202" i="2" s="1"/>
  <c r="K1202" i="2"/>
  <c r="J1452" i="2"/>
  <c r="L1452" i="2" s="1"/>
  <c r="K1452" i="2"/>
  <c r="J1596" i="2"/>
  <c r="L1596" i="2" s="1"/>
  <c r="K1596" i="2"/>
  <c r="J1772" i="2"/>
  <c r="L1772" i="2" s="1"/>
  <c r="K1772" i="2"/>
  <c r="J1934" i="2"/>
  <c r="L1934" i="2" s="1"/>
  <c r="K1934" i="2"/>
  <c r="J671" i="2"/>
  <c r="L671" i="2" s="1"/>
  <c r="K671" i="2"/>
  <c r="J812" i="2"/>
  <c r="L812" i="2" s="1"/>
  <c r="K812" i="2"/>
  <c r="J953" i="2"/>
  <c r="L953" i="2" s="1"/>
  <c r="K953" i="2"/>
  <c r="J1103" i="2"/>
  <c r="L1103" i="2" s="1"/>
  <c r="K1103" i="2"/>
  <c r="J1239" i="2"/>
  <c r="L1239" i="2" s="1"/>
  <c r="K1239" i="2"/>
  <c r="J1369" i="2"/>
  <c r="L1369" i="2" s="1"/>
  <c r="K1369" i="2"/>
  <c r="J1561" i="2"/>
  <c r="L1561" i="2" s="1"/>
  <c r="K1561" i="2"/>
  <c r="J1749" i="2"/>
  <c r="L1749" i="2" s="1"/>
  <c r="K1749" i="2"/>
  <c r="J1945" i="2"/>
  <c r="L1945" i="2" s="1"/>
  <c r="K1945" i="2"/>
  <c r="J654" i="2"/>
  <c r="L654" i="2" s="1"/>
  <c r="K654" i="2"/>
  <c r="J1696" i="2"/>
  <c r="L1696" i="2" s="1"/>
  <c r="K1696" i="2"/>
  <c r="J542" i="2"/>
  <c r="L542" i="2" s="1"/>
  <c r="K542" i="2"/>
  <c r="J672" i="2"/>
  <c r="L672" i="2" s="1"/>
  <c r="K672" i="2"/>
  <c r="J801" i="2"/>
  <c r="L801" i="2" s="1"/>
  <c r="K801" i="2"/>
  <c r="J942" i="2"/>
  <c r="L942" i="2" s="1"/>
  <c r="K942" i="2"/>
  <c r="J1080" i="2"/>
  <c r="L1080" i="2" s="1"/>
  <c r="K1080" i="2"/>
  <c r="J1216" i="2"/>
  <c r="L1216" i="2" s="1"/>
  <c r="K1216" i="2"/>
  <c r="J1358" i="2"/>
  <c r="L1358" i="2" s="1"/>
  <c r="K1358" i="2"/>
  <c r="J1646" i="2"/>
  <c r="L1646" i="2" s="1"/>
  <c r="K1646" i="2"/>
  <c r="J864" i="2"/>
  <c r="L864" i="2" s="1"/>
  <c r="K864" i="2"/>
  <c r="J1816" i="2"/>
  <c r="L1816" i="2" s="1"/>
  <c r="K1816" i="2"/>
  <c r="J483" i="2"/>
  <c r="L483" i="2" s="1"/>
  <c r="K483" i="2"/>
  <c r="J661" i="2"/>
  <c r="L661" i="2" s="1"/>
  <c r="K661" i="2"/>
  <c r="J814" i="2"/>
  <c r="L814" i="2" s="1"/>
  <c r="K814" i="2"/>
  <c r="J955" i="2"/>
  <c r="L955" i="2" s="1"/>
  <c r="K955" i="2"/>
  <c r="J1093" i="2"/>
  <c r="L1093" i="2" s="1"/>
  <c r="K1093" i="2"/>
  <c r="J1241" i="2"/>
  <c r="L1241" i="2" s="1"/>
  <c r="K1241" i="2"/>
  <c r="J1371" i="2"/>
  <c r="L1371" i="2" s="1"/>
  <c r="K1371" i="2"/>
  <c r="J1515" i="2"/>
  <c r="L1515" i="2" s="1"/>
  <c r="K1515" i="2"/>
  <c r="J1657" i="2"/>
  <c r="L1657" i="2" s="1"/>
  <c r="K1657" i="2"/>
  <c r="J644" i="2"/>
  <c r="L644" i="2" s="1"/>
  <c r="K644" i="2"/>
  <c r="J1909" i="2"/>
  <c r="L1909" i="2" s="1"/>
  <c r="J484" i="2"/>
  <c r="L484" i="2" s="1"/>
  <c r="K484" i="2"/>
  <c r="J640" i="2"/>
  <c r="L640" i="2" s="1"/>
  <c r="K640" i="2"/>
  <c r="J827" i="2"/>
  <c r="L827" i="2" s="1"/>
  <c r="K827" i="2"/>
  <c r="J980" i="2"/>
  <c r="L980" i="2" s="1"/>
  <c r="K980" i="2"/>
  <c r="J1118" i="2"/>
  <c r="L1118" i="2" s="1"/>
  <c r="K1118" i="2"/>
  <c r="J1264" i="2"/>
  <c r="L1264" i="2" s="1"/>
  <c r="K1264" i="2"/>
  <c r="J1408" i="2"/>
  <c r="L1408" i="2" s="1"/>
  <c r="K1408" i="2"/>
  <c r="J1540" i="2"/>
  <c r="L1540" i="2" s="1"/>
  <c r="K1540" i="2"/>
  <c r="J1670" i="2"/>
  <c r="L1670" i="2" s="1"/>
  <c r="K1670" i="2"/>
  <c r="J1824" i="2"/>
  <c r="L1824" i="2" s="1"/>
  <c r="K1824" i="2"/>
  <c r="J1972" i="2"/>
  <c r="L1972" i="2" s="1"/>
  <c r="K1972" i="2"/>
  <c r="J316" i="2"/>
  <c r="L316" i="2" s="1"/>
  <c r="K316" i="2"/>
  <c r="J1280" i="2"/>
  <c r="L1280" i="2" s="1"/>
  <c r="K1280" i="2"/>
  <c r="J439" i="2"/>
  <c r="L439" i="2" s="1"/>
  <c r="K439" i="2"/>
  <c r="J593" i="2"/>
  <c r="L593" i="2" s="1"/>
  <c r="K593" i="2"/>
  <c r="J744" i="2"/>
  <c r="L744" i="2" s="1"/>
  <c r="K744" i="2"/>
  <c r="J885" i="2"/>
  <c r="L885" i="2" s="1"/>
  <c r="K885" i="2"/>
  <c r="J1025" i="2"/>
  <c r="L1025" i="2" s="1"/>
  <c r="K1025" i="2"/>
  <c r="J1173" i="2"/>
  <c r="L1173" i="2" s="1"/>
  <c r="K1173" i="2"/>
  <c r="J1313" i="2"/>
  <c r="L1313" i="2" s="1"/>
  <c r="K1313" i="2"/>
  <c r="J1589" i="2"/>
  <c r="L1589" i="2" s="1"/>
  <c r="K1589" i="2"/>
  <c r="J157" i="2"/>
  <c r="L157" i="2" s="1"/>
  <c r="K157" i="2"/>
  <c r="J1256" i="2"/>
  <c r="L1256" i="2" s="1"/>
  <c r="K1256" i="2"/>
  <c r="J392" i="2"/>
  <c r="L392" i="2" s="1"/>
  <c r="K392" i="2"/>
  <c r="J522" i="2"/>
  <c r="L522" i="2" s="1"/>
  <c r="K522" i="2"/>
  <c r="J664" i="2"/>
  <c r="L664" i="2" s="1"/>
  <c r="K664" i="2"/>
  <c r="J805" i="2"/>
  <c r="L805" i="2" s="1"/>
  <c r="K805" i="2"/>
  <c r="J946" i="2"/>
  <c r="L946" i="2" s="1"/>
  <c r="K946" i="2"/>
  <c r="J1084" i="2"/>
  <c r="L1084" i="2" s="1"/>
  <c r="K1084" i="2"/>
  <c r="J1232" i="2"/>
  <c r="L1232" i="2" s="1"/>
  <c r="K1232" i="2"/>
  <c r="J1374" i="2"/>
  <c r="L1374" i="2" s="1"/>
  <c r="K1374" i="2"/>
  <c r="J1554" i="2"/>
  <c r="L1554" i="2" s="1"/>
  <c r="K1554" i="2"/>
  <c r="J113" i="2"/>
  <c r="L113" i="2" s="1"/>
  <c r="K113" i="2"/>
  <c r="J1131" i="2"/>
  <c r="L1131" i="2" s="1"/>
  <c r="K1131" i="2"/>
  <c r="J417" i="2"/>
  <c r="L417" i="2" s="1"/>
  <c r="K417" i="2"/>
  <c r="J547" i="2"/>
  <c r="L547" i="2" s="1"/>
  <c r="K547" i="2"/>
  <c r="J686" i="2"/>
  <c r="L686" i="2" s="1"/>
  <c r="K686" i="2"/>
  <c r="J839" i="2"/>
  <c r="L839" i="2" s="1"/>
  <c r="K839" i="2"/>
  <c r="J971" i="2"/>
  <c r="L971" i="2" s="1"/>
  <c r="K971" i="2"/>
  <c r="J1097" i="2"/>
  <c r="L1097" i="2" s="1"/>
  <c r="K1097" i="2"/>
  <c r="J1221" i="2"/>
  <c r="L1221" i="2" s="1"/>
  <c r="K1221" i="2"/>
  <c r="J1363" i="2"/>
  <c r="L1363" i="2" s="1"/>
  <c r="K1363" i="2"/>
  <c r="J1519" i="2"/>
  <c r="L1519" i="2" s="1"/>
  <c r="K1519" i="2"/>
  <c r="J1661" i="2"/>
  <c r="L1661" i="2" s="1"/>
  <c r="K1661" i="2"/>
  <c r="J1791" i="2"/>
  <c r="L1791" i="2" s="1"/>
  <c r="K1791" i="2"/>
  <c r="J1929" i="2"/>
  <c r="L1929" i="2" s="1"/>
  <c r="K1929" i="2"/>
  <c r="J596" i="2"/>
  <c r="L596" i="2" s="1"/>
  <c r="K596" i="2"/>
  <c r="J1720" i="2"/>
  <c r="L1720" i="2" s="1"/>
  <c r="K1720" i="2"/>
  <c r="J194" i="2"/>
  <c r="L194" i="2" s="1"/>
  <c r="K194" i="2"/>
  <c r="J252" i="2"/>
  <c r="L252" i="2" s="1"/>
  <c r="K252" i="2"/>
  <c r="J315" i="2"/>
  <c r="L315" i="2" s="1"/>
  <c r="K315" i="2"/>
  <c r="J633" i="2"/>
  <c r="L633" i="2" s="1"/>
  <c r="K633" i="2"/>
  <c r="J1899" i="2"/>
  <c r="L1899" i="2" s="1"/>
  <c r="K1899" i="2"/>
  <c r="J1031" i="2"/>
  <c r="L1031" i="2" s="1"/>
  <c r="K1031" i="2"/>
  <c r="J504" i="2"/>
  <c r="L504" i="2" s="1"/>
  <c r="K504" i="2"/>
  <c r="J1725" i="2"/>
  <c r="L1725" i="2" s="1"/>
  <c r="K1725" i="2"/>
  <c r="J906" i="2"/>
  <c r="L906" i="2" s="1"/>
  <c r="K906" i="2"/>
  <c r="J627" i="2"/>
  <c r="L627" i="2" s="1"/>
  <c r="K627" i="2"/>
  <c r="J1648" i="2"/>
  <c r="L1648" i="2" s="1"/>
  <c r="K1648" i="2"/>
  <c r="J861" i="2"/>
  <c r="L861" i="2" s="1"/>
  <c r="K861" i="2"/>
  <c r="J1350" i="2"/>
  <c r="L1350" i="2" s="1"/>
  <c r="K1350" i="2"/>
  <c r="J1639" i="2"/>
  <c r="L1639" i="2" s="1"/>
  <c r="K1639" i="2"/>
  <c r="J376" i="2"/>
  <c r="L376" i="2" s="1"/>
  <c r="K376" i="2"/>
  <c r="J110" i="2"/>
  <c r="L110" i="2" s="1"/>
  <c r="K110" i="2"/>
  <c r="J91" i="2"/>
  <c r="L91" i="2" s="1"/>
  <c r="K91" i="2"/>
  <c r="J645" i="2"/>
  <c r="L645" i="2" s="1"/>
  <c r="K645" i="2"/>
  <c r="J1781" i="2"/>
  <c r="L1781" i="2" s="1"/>
  <c r="K1781" i="2"/>
  <c r="J1758" i="2"/>
  <c r="L1758" i="2" s="1"/>
  <c r="K1758" i="2"/>
  <c r="J787" i="2"/>
  <c r="L787" i="2" s="1"/>
  <c r="K787" i="2"/>
  <c r="J659" i="2"/>
  <c r="L659" i="2" s="1"/>
  <c r="K659" i="2"/>
  <c r="J802" i="2"/>
  <c r="L802" i="2" s="1"/>
  <c r="K802" i="2"/>
  <c r="J652" i="2"/>
  <c r="L652" i="2" s="1"/>
  <c r="K652" i="2"/>
  <c r="J239" i="2"/>
  <c r="L239" i="2" s="1"/>
  <c r="K239" i="2"/>
  <c r="J64" i="2"/>
  <c r="L64" i="2" s="1"/>
  <c r="K64" i="2"/>
  <c r="J1509" i="2"/>
  <c r="L1509" i="2" s="1"/>
  <c r="K1509" i="2"/>
  <c r="J902" i="2"/>
  <c r="L902" i="2" s="1"/>
  <c r="K902" i="2"/>
  <c r="J1113" i="2"/>
  <c r="L1113" i="2" s="1"/>
  <c r="K1113" i="2"/>
  <c r="J682" i="2"/>
  <c r="L682" i="2" s="1"/>
  <c r="K682" i="2"/>
  <c r="J1944" i="2"/>
  <c r="L1944" i="2" s="1"/>
  <c r="K1944" i="2"/>
  <c r="J824" i="2"/>
  <c r="L824" i="2" s="1"/>
  <c r="K824" i="2"/>
  <c r="J1249" i="2"/>
  <c r="L1249" i="2" s="1"/>
  <c r="K1249" i="2"/>
  <c r="J1957" i="2"/>
  <c r="L1957" i="2" s="1"/>
  <c r="K1957" i="2"/>
  <c r="J813" i="2"/>
  <c r="L813" i="2" s="1"/>
  <c r="K813" i="2"/>
  <c r="J1680" i="2"/>
  <c r="L1680" i="2" s="1"/>
  <c r="K1680" i="2"/>
  <c r="J967" i="2"/>
  <c r="L967" i="2" s="1"/>
  <c r="K967" i="2"/>
  <c r="J1383" i="2"/>
  <c r="L1383" i="2" s="1"/>
  <c r="K1383" i="2"/>
  <c r="J735" i="2"/>
  <c r="L735" i="2" s="1"/>
  <c r="K735" i="2"/>
  <c r="J836" i="2"/>
  <c r="L836" i="2" s="1"/>
  <c r="K836" i="2"/>
  <c r="J1183" i="2"/>
  <c r="L1183" i="2" s="1"/>
  <c r="K1183" i="2"/>
  <c r="J212" i="2"/>
  <c r="L212" i="2" s="1"/>
  <c r="K212" i="2"/>
  <c r="J676" i="2"/>
  <c r="L676" i="2" s="1"/>
  <c r="K676" i="2"/>
  <c r="J1244" i="2"/>
  <c r="L1244" i="2" s="1"/>
  <c r="K1244" i="2"/>
  <c r="J1222" i="2"/>
  <c r="L1222" i="2" s="1"/>
  <c r="K1222" i="2"/>
  <c r="J559" i="2"/>
  <c r="L559" i="2" s="1"/>
  <c r="K559" i="2"/>
  <c r="J1109" i="2"/>
  <c r="L1109" i="2" s="1"/>
  <c r="K1109" i="2"/>
  <c r="J1803" i="2"/>
  <c r="L1803" i="2" s="1"/>
  <c r="K1803" i="2"/>
  <c r="J70" i="2"/>
  <c r="L70" i="2" s="1"/>
  <c r="K70" i="2"/>
  <c r="J217" i="2"/>
  <c r="L217" i="2" s="1"/>
  <c r="K217" i="2"/>
  <c r="J351" i="2"/>
  <c r="L351" i="2" s="1"/>
  <c r="K351" i="2"/>
  <c r="J493" i="2"/>
  <c r="L493" i="2" s="1"/>
  <c r="K493" i="2"/>
  <c r="J71" i="2"/>
  <c r="L71" i="2" s="1"/>
  <c r="K71" i="2"/>
  <c r="J250" i="2"/>
  <c r="L250" i="2" s="1"/>
  <c r="K250" i="2"/>
  <c r="J424" i="2"/>
  <c r="L424" i="2" s="1"/>
  <c r="K424" i="2"/>
  <c r="J60" i="2"/>
  <c r="L60" i="2" s="1"/>
  <c r="K60" i="2"/>
  <c r="J251" i="2"/>
  <c r="L251" i="2" s="1"/>
  <c r="K251" i="2"/>
  <c r="J437" i="2"/>
  <c r="L437" i="2" s="1"/>
  <c r="K437" i="2"/>
  <c r="J121" i="2"/>
  <c r="L121" i="2" s="1"/>
  <c r="K121" i="2"/>
  <c r="J312" i="2"/>
  <c r="L312" i="2" s="1"/>
  <c r="K312" i="2"/>
  <c r="J2" i="2"/>
  <c r="L2" i="2" s="1"/>
  <c r="J142" i="2"/>
  <c r="L142" i="2" s="1"/>
  <c r="K142" i="2"/>
  <c r="J277" i="2"/>
  <c r="L277" i="2" s="1"/>
  <c r="K277" i="2"/>
  <c r="J51" i="2"/>
  <c r="L51" i="2" s="1"/>
  <c r="K51" i="2"/>
  <c r="J186" i="2"/>
  <c r="L186" i="2" s="1"/>
  <c r="K186" i="2"/>
  <c r="J324" i="2"/>
  <c r="L324" i="2" s="1"/>
  <c r="K324" i="2"/>
  <c r="J76" i="2"/>
  <c r="L76" i="2" s="1"/>
  <c r="K76" i="2"/>
  <c r="J223" i="2"/>
  <c r="L223" i="2" s="1"/>
  <c r="K223" i="2"/>
  <c r="J127" i="2"/>
  <c r="L127" i="2" s="1"/>
  <c r="K127" i="2"/>
  <c r="J282" i="2"/>
  <c r="L282" i="2" s="1"/>
  <c r="K282" i="2"/>
  <c r="J126" i="2"/>
  <c r="L126" i="2" s="1"/>
  <c r="K126" i="2"/>
  <c r="J407" i="2"/>
  <c r="L407" i="2" s="1"/>
  <c r="K407" i="2"/>
  <c r="J679" i="2"/>
  <c r="L679" i="2" s="1"/>
  <c r="K679" i="2"/>
  <c r="J820" i="2"/>
  <c r="L820" i="2" s="1"/>
  <c r="K820" i="2"/>
  <c r="J961" i="2"/>
  <c r="L961" i="2" s="1"/>
  <c r="K961" i="2"/>
  <c r="J1099" i="2"/>
  <c r="L1099" i="2" s="1"/>
  <c r="K1099" i="2"/>
  <c r="J1223" i="2"/>
  <c r="L1223" i="2" s="1"/>
  <c r="K1223" i="2"/>
  <c r="J1377" i="2"/>
  <c r="L1377" i="2" s="1"/>
  <c r="K1377" i="2"/>
  <c r="J1521" i="2"/>
  <c r="L1521" i="2" s="1"/>
  <c r="K1521" i="2"/>
  <c r="J1653" i="2"/>
  <c r="L1653" i="2" s="1"/>
  <c r="K1653" i="2"/>
  <c r="J1817" i="2"/>
  <c r="L1817" i="2" s="1"/>
  <c r="K1817" i="2"/>
  <c r="J1953" i="2"/>
  <c r="L1953" i="2" s="1"/>
  <c r="K1953" i="2"/>
  <c r="J490" i="2"/>
  <c r="L490" i="2" s="1"/>
  <c r="K490" i="2"/>
  <c r="J634" i="2"/>
  <c r="L634" i="2" s="1"/>
  <c r="K634" i="2"/>
  <c r="J773" i="2"/>
  <c r="L773" i="2" s="1"/>
  <c r="K773" i="2"/>
  <c r="J914" i="2"/>
  <c r="L914" i="2" s="1"/>
  <c r="K914" i="2"/>
  <c r="J1064" i="2"/>
  <c r="L1064" i="2" s="1"/>
  <c r="K1064" i="2"/>
  <c r="J1342" i="2"/>
  <c r="L1342" i="2" s="1"/>
  <c r="K1342" i="2"/>
  <c r="J1630" i="2"/>
  <c r="L1630" i="2" s="1"/>
  <c r="K1630" i="2"/>
  <c r="J1794" i="2"/>
  <c r="L1794" i="2" s="1"/>
  <c r="K1794" i="2"/>
  <c r="J1942" i="2"/>
  <c r="L1942" i="2" s="1"/>
  <c r="K1942" i="2"/>
  <c r="J92" i="2"/>
  <c r="L92" i="2" s="1"/>
  <c r="K92" i="2"/>
  <c r="J361" i="2"/>
  <c r="L361" i="2" s="1"/>
  <c r="K361" i="2"/>
  <c r="J491" i="2"/>
  <c r="L491" i="2" s="1"/>
  <c r="K491" i="2"/>
  <c r="J635" i="2"/>
  <c r="L635" i="2" s="1"/>
  <c r="K635" i="2"/>
  <c r="J762" i="2"/>
  <c r="L762" i="2" s="1"/>
  <c r="K762" i="2"/>
  <c r="J903" i="2"/>
  <c r="L903" i="2" s="1"/>
  <c r="K903" i="2"/>
  <c r="J1122" i="2"/>
  <c r="L1122" i="2" s="1"/>
  <c r="K1122" i="2"/>
  <c r="J1427" i="2"/>
  <c r="L1427" i="2" s="1"/>
  <c r="K1427" i="2"/>
  <c r="J1819" i="2"/>
  <c r="L1819" i="2" s="1"/>
  <c r="K1819" i="2"/>
  <c r="J1955" i="2"/>
  <c r="L1955" i="2" s="1"/>
  <c r="K1955" i="2"/>
  <c r="J1902" i="2"/>
  <c r="L1902" i="2" s="1"/>
  <c r="K1902" i="2"/>
  <c r="J137" i="2"/>
  <c r="L137" i="2" s="1"/>
  <c r="K137" i="2"/>
  <c r="J272" i="2"/>
  <c r="L272" i="2" s="1"/>
  <c r="K272" i="2"/>
  <c r="J410" i="2"/>
  <c r="L410" i="2" s="1"/>
  <c r="K410" i="2"/>
  <c r="J552" i="2"/>
  <c r="L552" i="2" s="1"/>
  <c r="K552" i="2"/>
  <c r="J691" i="2"/>
  <c r="L691" i="2" s="1"/>
  <c r="K691" i="2"/>
  <c r="J823" i="2"/>
  <c r="L823" i="2" s="1"/>
  <c r="K823" i="2"/>
  <c r="J964" i="2"/>
  <c r="L964" i="2" s="1"/>
  <c r="K964" i="2"/>
  <c r="J1248" i="2"/>
  <c r="L1248" i="2" s="1"/>
  <c r="K1248" i="2"/>
  <c r="J1476" i="2"/>
  <c r="L1476" i="2" s="1"/>
  <c r="K1476" i="2"/>
  <c r="J1620" i="2"/>
  <c r="L1620" i="2" s="1"/>
  <c r="K1620" i="2"/>
  <c r="J1796" i="2"/>
  <c r="L1796" i="2" s="1"/>
  <c r="K1796" i="2"/>
  <c r="J1956" i="2"/>
  <c r="L1956" i="2" s="1"/>
  <c r="K1956" i="2"/>
  <c r="J553" i="2"/>
  <c r="L553" i="2" s="1"/>
  <c r="K553" i="2"/>
  <c r="J692" i="2"/>
  <c r="L692" i="2" s="1"/>
  <c r="K692" i="2"/>
  <c r="J833" i="2"/>
  <c r="L833" i="2" s="1"/>
  <c r="K833" i="2"/>
  <c r="J977" i="2"/>
  <c r="L977" i="2" s="1"/>
  <c r="K977" i="2"/>
  <c r="J1124" i="2"/>
  <c r="L1124" i="2" s="1"/>
  <c r="K1124" i="2"/>
  <c r="J1261" i="2"/>
  <c r="L1261" i="2" s="1"/>
  <c r="K1261" i="2"/>
  <c r="J1393" i="2"/>
  <c r="L1393" i="2" s="1"/>
  <c r="K1393" i="2"/>
  <c r="J1597" i="2"/>
  <c r="L1597" i="2" s="1"/>
  <c r="K1597" i="2"/>
  <c r="J1773" i="2"/>
  <c r="L1773" i="2" s="1"/>
  <c r="K1773" i="2"/>
  <c r="J1969" i="2"/>
  <c r="L1969" i="2" s="1"/>
  <c r="K1969" i="2"/>
  <c r="J807" i="2"/>
  <c r="L807" i="2" s="1"/>
  <c r="K807" i="2"/>
  <c r="J1861" i="2"/>
  <c r="L1861" i="2" s="1"/>
  <c r="K1861" i="2"/>
  <c r="J566" i="2"/>
  <c r="L566" i="2" s="1"/>
  <c r="K566" i="2"/>
  <c r="J693" i="2"/>
  <c r="L693" i="2" s="1"/>
  <c r="K693" i="2"/>
  <c r="J966" i="2"/>
  <c r="L966" i="2" s="1"/>
  <c r="K966" i="2"/>
  <c r="J1104" i="2"/>
  <c r="L1104" i="2" s="1"/>
  <c r="K1104" i="2"/>
  <c r="J1240" i="2"/>
  <c r="L1240" i="2" s="1"/>
  <c r="K1240" i="2"/>
  <c r="J1382" i="2"/>
  <c r="L1382" i="2" s="1"/>
  <c r="K1382" i="2"/>
  <c r="J1690" i="2"/>
  <c r="L1690" i="2" s="1"/>
  <c r="K1690" i="2"/>
  <c r="J984" i="2"/>
  <c r="L984" i="2" s="1"/>
  <c r="K984" i="2"/>
  <c r="J1964" i="2"/>
  <c r="L1964" i="2" s="1"/>
  <c r="K1964" i="2"/>
  <c r="J519" i="2"/>
  <c r="L519" i="2" s="1"/>
  <c r="K519" i="2"/>
  <c r="J706" i="2"/>
  <c r="L706" i="2" s="1"/>
  <c r="K706" i="2"/>
  <c r="J979" i="2"/>
  <c r="L979" i="2" s="1"/>
  <c r="K979" i="2"/>
  <c r="J1117" i="2"/>
  <c r="L1117" i="2" s="1"/>
  <c r="K1117" i="2"/>
  <c r="J1263" i="2"/>
  <c r="L1263" i="2" s="1"/>
  <c r="K1263" i="2"/>
  <c r="J1395" i="2"/>
  <c r="L1395" i="2" s="1"/>
  <c r="K1395" i="2"/>
  <c r="J1539" i="2"/>
  <c r="L1539" i="2" s="1"/>
  <c r="K1539" i="2"/>
  <c r="J1691" i="2"/>
  <c r="L1691" i="2" s="1"/>
  <c r="K1691" i="2"/>
  <c r="J819" i="2"/>
  <c r="L819" i="2" s="1"/>
  <c r="K819" i="2"/>
  <c r="J1988" i="2"/>
  <c r="L1988" i="2" s="1"/>
  <c r="K1988" i="2"/>
  <c r="J520" i="2"/>
  <c r="L520" i="2" s="1"/>
  <c r="K520" i="2"/>
  <c r="J674" i="2"/>
  <c r="L674" i="2" s="1"/>
  <c r="K674" i="2"/>
  <c r="J848" i="2"/>
  <c r="L848" i="2" s="1"/>
  <c r="K848" i="2"/>
  <c r="J1004" i="2"/>
  <c r="L1004" i="2" s="1"/>
  <c r="K1004" i="2"/>
  <c r="J1139" i="2"/>
  <c r="L1139" i="2" s="1"/>
  <c r="K1139" i="2"/>
  <c r="J1288" i="2"/>
  <c r="L1288" i="2" s="1"/>
  <c r="K1288" i="2"/>
  <c r="J1564" i="2"/>
  <c r="L1564" i="2" s="1"/>
  <c r="K1564" i="2"/>
  <c r="J1704" i="2"/>
  <c r="L1704" i="2" s="1"/>
  <c r="K1704" i="2"/>
  <c r="J1848" i="2"/>
  <c r="L1848" i="2" s="1"/>
  <c r="K1848" i="2"/>
  <c r="J464" i="2"/>
  <c r="L464" i="2" s="1"/>
  <c r="K464" i="2"/>
  <c r="J1412" i="2"/>
  <c r="L1412" i="2" s="1"/>
  <c r="K1412" i="2"/>
  <c r="J473" i="2"/>
  <c r="L473" i="2" s="1"/>
  <c r="K473" i="2"/>
  <c r="J617" i="2"/>
  <c r="L617" i="2" s="1"/>
  <c r="K617" i="2"/>
  <c r="J768" i="2"/>
  <c r="L768" i="2" s="1"/>
  <c r="K768" i="2"/>
  <c r="J909" i="2"/>
  <c r="L909" i="2" s="1"/>
  <c r="K909" i="2"/>
  <c r="J1049" i="2"/>
  <c r="L1049" i="2" s="1"/>
  <c r="K1049" i="2"/>
  <c r="J1195" i="2"/>
  <c r="L1195" i="2" s="1"/>
  <c r="K1195" i="2"/>
  <c r="J1337" i="2"/>
  <c r="L1337" i="2" s="1"/>
  <c r="K1337" i="2"/>
  <c r="J1469" i="2"/>
  <c r="L1469" i="2" s="1"/>
  <c r="K1469" i="2"/>
  <c r="J1613" i="2"/>
  <c r="L1613" i="2" s="1"/>
  <c r="K1613" i="2"/>
  <c r="J292" i="2"/>
  <c r="L292" i="2" s="1"/>
  <c r="K292" i="2"/>
  <c r="J1556" i="2"/>
  <c r="L1556" i="2" s="1"/>
  <c r="K1556" i="2"/>
  <c r="J416" i="2"/>
  <c r="L416" i="2" s="1"/>
  <c r="K416" i="2"/>
  <c r="J546" i="2"/>
  <c r="L546" i="2" s="1"/>
  <c r="K546" i="2"/>
  <c r="J685" i="2"/>
  <c r="L685" i="2" s="1"/>
  <c r="K685" i="2"/>
  <c r="J829" i="2"/>
  <c r="L829" i="2" s="1"/>
  <c r="K829" i="2"/>
  <c r="J970" i="2"/>
  <c r="L970" i="2" s="1"/>
  <c r="K970" i="2"/>
  <c r="J1108" i="2"/>
  <c r="L1108" i="2" s="1"/>
  <c r="K1108" i="2"/>
  <c r="J1254" i="2"/>
  <c r="L1254" i="2" s="1"/>
  <c r="K1254" i="2"/>
  <c r="J1398" i="2"/>
  <c r="L1398" i="2" s="1"/>
  <c r="K1398" i="2"/>
  <c r="J1590" i="2"/>
  <c r="L1590" i="2" s="1"/>
  <c r="K1590" i="2"/>
  <c r="J280" i="2"/>
  <c r="L280" i="2" s="1"/>
  <c r="K280" i="2"/>
  <c r="J1316" i="2"/>
  <c r="L1316" i="2" s="1"/>
  <c r="K1316" i="2"/>
  <c r="J441" i="2"/>
  <c r="L441" i="2" s="1"/>
  <c r="K441" i="2"/>
  <c r="J571" i="2"/>
  <c r="L571" i="2" s="1"/>
  <c r="K571" i="2"/>
  <c r="J710" i="2"/>
  <c r="L710" i="2" s="1"/>
  <c r="K710" i="2"/>
  <c r="J863" i="2"/>
  <c r="L863" i="2" s="1"/>
  <c r="K863" i="2"/>
  <c r="J995" i="2"/>
  <c r="L995" i="2" s="1"/>
  <c r="K995" i="2"/>
  <c r="J1130" i="2"/>
  <c r="L1130" i="2" s="1"/>
  <c r="K1130" i="2"/>
  <c r="J1245" i="2"/>
  <c r="L1245" i="2" s="1"/>
  <c r="K1245" i="2"/>
  <c r="J1387" i="2"/>
  <c r="L1387" i="2" s="1"/>
  <c r="K1387" i="2"/>
  <c r="J1543" i="2"/>
  <c r="L1543" i="2" s="1"/>
  <c r="K1543" i="2"/>
  <c r="J1683" i="2"/>
  <c r="L1683" i="2" s="1"/>
  <c r="K1683" i="2"/>
  <c r="J1815" i="2"/>
  <c r="L1815" i="2" s="1"/>
  <c r="K1815" i="2"/>
  <c r="J1951" i="2"/>
  <c r="L1951" i="2" s="1"/>
  <c r="K1951" i="2"/>
  <c r="J771" i="2"/>
  <c r="L771" i="2" s="1"/>
  <c r="K771" i="2"/>
  <c r="J1897" i="2"/>
  <c r="L1897" i="2" s="1"/>
  <c r="K1897" i="2"/>
  <c r="J309" i="2"/>
  <c r="L309" i="2" s="1"/>
  <c r="K309" i="2"/>
  <c r="J450" i="2"/>
  <c r="L450" i="2" s="1"/>
  <c r="K450" i="2"/>
  <c r="J79" i="2"/>
  <c r="L79" i="2" s="1"/>
  <c r="K79" i="2"/>
  <c r="J772" i="2"/>
  <c r="L772" i="2" s="1"/>
  <c r="K772" i="2"/>
  <c r="J44" i="2"/>
  <c r="L44" i="2" s="1"/>
  <c r="K44" i="2"/>
  <c r="J1571" i="2"/>
  <c r="L1571" i="2" s="1"/>
  <c r="K1571" i="2"/>
  <c r="J362" i="2"/>
  <c r="L362" i="2" s="1"/>
  <c r="K362" i="2"/>
  <c r="J1428" i="2"/>
  <c r="L1428" i="2" s="1"/>
  <c r="K1428" i="2"/>
  <c r="J1079" i="2"/>
  <c r="L1079" i="2" s="1"/>
  <c r="K1079" i="2"/>
  <c r="J488" i="2"/>
  <c r="L488" i="2" s="1"/>
  <c r="K488" i="2"/>
  <c r="J1192" i="2"/>
  <c r="L1192" i="2" s="1"/>
  <c r="K1192" i="2"/>
  <c r="J790" i="2"/>
  <c r="L790" i="2" s="1"/>
  <c r="K790" i="2"/>
  <c r="J803" i="2"/>
  <c r="L803" i="2" s="1"/>
  <c r="K803" i="2"/>
  <c r="J415" i="2"/>
  <c r="L415" i="2" s="1"/>
  <c r="K415" i="2"/>
  <c r="J368" i="2"/>
  <c r="L368" i="2" s="1"/>
  <c r="K368" i="2"/>
  <c r="J459" i="2"/>
  <c r="L459" i="2" s="1"/>
  <c r="K459" i="2"/>
  <c r="J264" i="2"/>
  <c r="L264" i="2" s="1"/>
  <c r="K264" i="2"/>
  <c r="J325" i="2"/>
  <c r="L325" i="2" s="1"/>
  <c r="K325" i="2"/>
  <c r="J925" i="2"/>
  <c r="L925" i="2" s="1"/>
  <c r="K925" i="2"/>
  <c r="J456" i="2"/>
  <c r="L456" i="2" s="1"/>
  <c r="K456" i="2"/>
  <c r="J1178" i="2"/>
  <c r="L1178" i="2" s="1"/>
  <c r="K1178" i="2"/>
  <c r="J191" i="2"/>
  <c r="L191" i="2" s="1"/>
  <c r="K191" i="2"/>
  <c r="J1783" i="2"/>
  <c r="L1783" i="2" s="1"/>
  <c r="K1783" i="2"/>
  <c r="J1168" i="2"/>
  <c r="L1168" i="2" s="1"/>
  <c r="K1168" i="2"/>
  <c r="J660" i="2"/>
  <c r="L660" i="2" s="1"/>
  <c r="K660" i="2"/>
  <c r="J1081" i="2"/>
  <c r="L1081" i="2" s="1"/>
  <c r="K1081" i="2"/>
  <c r="J934" i="2"/>
  <c r="L934" i="2" s="1"/>
  <c r="K934" i="2"/>
  <c r="J400" i="2"/>
  <c r="L400" i="2" s="1"/>
  <c r="K400" i="2"/>
  <c r="J109" i="2"/>
  <c r="L109" i="2" s="1"/>
  <c r="K109" i="2"/>
  <c r="J39" i="2"/>
  <c r="L39" i="2" s="1"/>
  <c r="K39" i="2"/>
  <c r="J537" i="2"/>
  <c r="L537" i="2" s="1"/>
  <c r="K537" i="2"/>
  <c r="J1641" i="2"/>
  <c r="L1641" i="2" s="1"/>
  <c r="K1641" i="2"/>
  <c r="J761" i="2"/>
  <c r="L761" i="2" s="1"/>
  <c r="K761" i="2"/>
  <c r="J1932" i="2"/>
  <c r="L1932" i="2" s="1"/>
  <c r="K1932" i="2"/>
  <c r="J750" i="2"/>
  <c r="L750" i="2" s="1"/>
  <c r="K750" i="2"/>
  <c r="J1631" i="2"/>
  <c r="L1631" i="2" s="1"/>
  <c r="K1631" i="2"/>
  <c r="J260" i="2"/>
  <c r="L260" i="2" s="1"/>
  <c r="K260" i="2"/>
  <c r="J952" i="2"/>
  <c r="L952" i="2" s="1"/>
  <c r="K952" i="2"/>
  <c r="J1210" i="2"/>
  <c r="L1210" i="2" s="1"/>
  <c r="K1210" i="2"/>
  <c r="J1115" i="2"/>
  <c r="L1115" i="2" s="1"/>
  <c r="K1115" i="2"/>
  <c r="J1761" i="2"/>
  <c r="L1761" i="2" s="1"/>
  <c r="K1761" i="2"/>
  <c r="J554" i="2"/>
  <c r="L554" i="2" s="1"/>
  <c r="K554" i="2"/>
  <c r="J924" i="2"/>
  <c r="L924" i="2" s="1"/>
  <c r="K924" i="2"/>
  <c r="J1127" i="2"/>
  <c r="L1127" i="2" s="1"/>
  <c r="K1127" i="2"/>
  <c r="J1552" i="2"/>
  <c r="L1552" i="2" s="1"/>
  <c r="K1552" i="2"/>
  <c r="J394" i="2"/>
  <c r="L394" i="2" s="1"/>
  <c r="K394" i="2"/>
  <c r="J605" i="2"/>
  <c r="L605" i="2" s="1"/>
  <c r="K605" i="2"/>
  <c r="J1325" i="2"/>
  <c r="L1325" i="2" s="1"/>
  <c r="K1325" i="2"/>
  <c r="J1457" i="2"/>
  <c r="L1457" i="2" s="1"/>
  <c r="K1457" i="2"/>
  <c r="J404" i="2"/>
  <c r="L404" i="2" s="1"/>
  <c r="K404" i="2"/>
  <c r="J1096" i="2"/>
  <c r="L1096" i="2" s="1"/>
  <c r="K1096" i="2"/>
  <c r="J176" i="2"/>
  <c r="L176" i="2" s="1"/>
  <c r="K176" i="2"/>
  <c r="J851" i="2"/>
  <c r="L851" i="2" s="1"/>
  <c r="K851" i="2"/>
  <c r="J1233" i="2"/>
  <c r="L1233" i="2" s="1"/>
  <c r="K1233" i="2"/>
  <c r="J1531" i="2"/>
  <c r="L1531" i="2" s="1"/>
  <c r="K1531" i="2"/>
  <c r="J82" i="2"/>
  <c r="L82" i="2" s="1"/>
  <c r="K82" i="2"/>
  <c r="J225" i="2"/>
  <c r="L225" i="2" s="1"/>
  <c r="K225" i="2"/>
  <c r="J363" i="2"/>
  <c r="L363" i="2" s="1"/>
  <c r="K363" i="2"/>
  <c r="J505" i="2"/>
  <c r="L505" i="2" s="1"/>
  <c r="K505" i="2"/>
  <c r="J83" i="2"/>
  <c r="L83" i="2" s="1"/>
  <c r="K83" i="2"/>
  <c r="J262" i="2"/>
  <c r="L262" i="2" s="1"/>
  <c r="K262" i="2"/>
  <c r="J436" i="2"/>
  <c r="L436" i="2" s="1"/>
  <c r="K436" i="2"/>
  <c r="J72" i="2"/>
  <c r="L72" i="2" s="1"/>
  <c r="K72" i="2"/>
  <c r="J263" i="2"/>
  <c r="L263" i="2" s="1"/>
  <c r="K263" i="2"/>
  <c r="J449" i="2"/>
  <c r="L449" i="2" s="1"/>
  <c r="K449" i="2"/>
  <c r="J133" i="2"/>
  <c r="L133" i="2" s="1"/>
  <c r="K133" i="2"/>
  <c r="J342" i="2"/>
  <c r="L342" i="2" s="1"/>
  <c r="K342" i="2"/>
  <c r="J14" i="2"/>
  <c r="L14" i="2" s="1"/>
  <c r="K14" i="2"/>
  <c r="J154" i="2"/>
  <c r="L154" i="2" s="1"/>
  <c r="K154" i="2"/>
  <c r="J289" i="2"/>
  <c r="L289" i="2" s="1"/>
  <c r="K289" i="2"/>
  <c r="J63" i="2"/>
  <c r="L63" i="2" s="1"/>
  <c r="K63" i="2"/>
  <c r="J198" i="2"/>
  <c r="L198" i="2" s="1"/>
  <c r="K198" i="2"/>
  <c r="J344" i="2"/>
  <c r="L344" i="2" s="1"/>
  <c r="K344" i="2"/>
  <c r="J88" i="2"/>
  <c r="L88" i="2" s="1"/>
  <c r="K88" i="2"/>
  <c r="J231" i="2"/>
  <c r="L231" i="2" s="1"/>
  <c r="K231" i="2"/>
  <c r="J147" i="2"/>
  <c r="L147" i="2" s="1"/>
  <c r="K147" i="2"/>
  <c r="J294" i="2"/>
  <c r="L294" i="2" s="1"/>
  <c r="K294" i="2"/>
  <c r="J1854" i="2"/>
  <c r="L1854" i="2" s="1"/>
  <c r="K1854" i="2"/>
  <c r="J146" i="2"/>
  <c r="L146" i="2" s="1"/>
  <c r="K146" i="2"/>
  <c r="J281" i="2"/>
  <c r="L281" i="2" s="1"/>
  <c r="K281" i="2"/>
  <c r="J419" i="2"/>
  <c r="L419" i="2" s="1"/>
  <c r="K419" i="2"/>
  <c r="J688" i="2"/>
  <c r="L688" i="2" s="1"/>
  <c r="K688" i="2"/>
  <c r="J841" i="2"/>
  <c r="L841" i="2" s="1"/>
  <c r="K841" i="2"/>
  <c r="J973" i="2"/>
  <c r="L973" i="2" s="1"/>
  <c r="J1111" i="2"/>
  <c r="L1111" i="2" s="1"/>
  <c r="K1111" i="2"/>
  <c r="J1235" i="2"/>
  <c r="L1235" i="2" s="1"/>
  <c r="K1235" i="2"/>
  <c r="J1389" i="2"/>
  <c r="L1389" i="2" s="1"/>
  <c r="K1389" i="2"/>
  <c r="J1533" i="2"/>
  <c r="L1533" i="2" s="1"/>
  <c r="J1663" i="2"/>
  <c r="L1663" i="2" s="1"/>
  <c r="K1663" i="2"/>
  <c r="J1829" i="2"/>
  <c r="L1829" i="2" s="1"/>
  <c r="K1829" i="2"/>
  <c r="J1965" i="2"/>
  <c r="L1965" i="2" s="1"/>
  <c r="K1965" i="2"/>
  <c r="J1866" i="2"/>
  <c r="L1866" i="2" s="1"/>
  <c r="K1866" i="2"/>
  <c r="J502" i="2"/>
  <c r="L502" i="2" s="1"/>
  <c r="K502" i="2"/>
  <c r="J646" i="2"/>
  <c r="L646" i="2" s="1"/>
  <c r="K646" i="2"/>
  <c r="J785" i="2"/>
  <c r="L785" i="2" s="1"/>
  <c r="K785" i="2"/>
  <c r="J926" i="2"/>
  <c r="L926" i="2" s="1"/>
  <c r="K926" i="2"/>
  <c r="J1076" i="2"/>
  <c r="L1076" i="2" s="1"/>
  <c r="K1076" i="2"/>
  <c r="J1212" i="2"/>
  <c r="L1212" i="2" s="1"/>
  <c r="K1212" i="2"/>
  <c r="J1354" i="2"/>
  <c r="L1354" i="2" s="1"/>
  <c r="K1354" i="2"/>
  <c r="J1664" i="2"/>
  <c r="L1664" i="2" s="1"/>
  <c r="K1664" i="2"/>
  <c r="J1806" i="2"/>
  <c r="L1806" i="2" s="1"/>
  <c r="K1806" i="2"/>
  <c r="J1954" i="2"/>
  <c r="L1954" i="2" s="1"/>
  <c r="K1954" i="2"/>
  <c r="J104" i="2"/>
  <c r="L104" i="2" s="1"/>
  <c r="K104" i="2"/>
  <c r="J373" i="2"/>
  <c r="L373" i="2" s="1"/>
  <c r="K373" i="2"/>
  <c r="J503" i="2"/>
  <c r="L503" i="2" s="1"/>
  <c r="K503" i="2"/>
  <c r="J647" i="2"/>
  <c r="L647" i="2" s="1"/>
  <c r="K647" i="2"/>
  <c r="J774" i="2"/>
  <c r="L774" i="2" s="1"/>
  <c r="K774" i="2"/>
  <c r="J915" i="2"/>
  <c r="L915" i="2" s="1"/>
  <c r="K915" i="2"/>
  <c r="J1167" i="2"/>
  <c r="L1167" i="2" s="1"/>
  <c r="K1167" i="2"/>
  <c r="J1451" i="2"/>
  <c r="L1451" i="2" s="1"/>
  <c r="K1451" i="2"/>
  <c r="J1665" i="2"/>
  <c r="L1665" i="2" s="1"/>
  <c r="K1665" i="2"/>
  <c r="J1831" i="2"/>
  <c r="L1831" i="2" s="1"/>
  <c r="K1831" i="2"/>
  <c r="J1967" i="2"/>
  <c r="L1967" i="2" s="1"/>
  <c r="K1967" i="2"/>
  <c r="J9" i="2"/>
  <c r="L9" i="2" s="1"/>
  <c r="K9" i="2"/>
  <c r="J149" i="2"/>
  <c r="L149" i="2" s="1"/>
  <c r="K149" i="2"/>
  <c r="J284" i="2"/>
  <c r="L284" i="2" s="1"/>
  <c r="K284" i="2"/>
  <c r="J422" i="2"/>
  <c r="L422" i="2" s="1"/>
  <c r="K422" i="2"/>
  <c r="J564" i="2"/>
  <c r="L564" i="2" s="1"/>
  <c r="K564" i="2"/>
  <c r="J703" i="2"/>
  <c r="L703" i="2" s="1"/>
  <c r="K703" i="2"/>
  <c r="J832" i="2"/>
  <c r="L832" i="2" s="1"/>
  <c r="K832" i="2"/>
  <c r="J976" i="2"/>
  <c r="L976" i="2" s="1"/>
  <c r="K976" i="2"/>
  <c r="J1260" i="2"/>
  <c r="L1260" i="2" s="1"/>
  <c r="K1260" i="2"/>
  <c r="J1488" i="2"/>
  <c r="L1488" i="2" s="1"/>
  <c r="K1488" i="2"/>
  <c r="J1632" i="2"/>
  <c r="L1632" i="2" s="1"/>
  <c r="K1632" i="2"/>
  <c r="J1808" i="2"/>
  <c r="L1808" i="2" s="1"/>
  <c r="K1808" i="2"/>
  <c r="J1968" i="2"/>
  <c r="L1968" i="2" s="1"/>
  <c r="K1968" i="2"/>
  <c r="J565" i="2"/>
  <c r="L565" i="2" s="1"/>
  <c r="K565" i="2"/>
  <c r="J704" i="2"/>
  <c r="L704" i="2" s="1"/>
  <c r="K704" i="2"/>
  <c r="J845" i="2"/>
  <c r="L845" i="2" s="1"/>
  <c r="K845" i="2"/>
  <c r="J989" i="2"/>
  <c r="L989" i="2" s="1"/>
  <c r="K989" i="2"/>
  <c r="J1136" i="2"/>
  <c r="L1136" i="2" s="1"/>
  <c r="K1136" i="2"/>
  <c r="J1273" i="2"/>
  <c r="L1273" i="2" s="1"/>
  <c r="K1273" i="2"/>
  <c r="J1405" i="2"/>
  <c r="L1405" i="2" s="1"/>
  <c r="K1405" i="2"/>
  <c r="J1609" i="2"/>
  <c r="L1609" i="2" s="1"/>
  <c r="K1609" i="2"/>
  <c r="J1785" i="2"/>
  <c r="L1785" i="2" s="1"/>
  <c r="K1785" i="2"/>
  <c r="J1981" i="2"/>
  <c r="L1981" i="2" s="1"/>
  <c r="K1981" i="2"/>
  <c r="J876" i="2"/>
  <c r="L876" i="2" s="1"/>
  <c r="K876" i="2"/>
  <c r="J1952" i="2"/>
  <c r="L1952" i="2" s="1"/>
  <c r="K1952" i="2"/>
  <c r="J578" i="2"/>
  <c r="L578" i="2" s="1"/>
  <c r="K578" i="2"/>
  <c r="J705" i="2"/>
  <c r="L705" i="2" s="1"/>
  <c r="K705" i="2"/>
  <c r="J978" i="2"/>
  <c r="L978" i="2" s="1"/>
  <c r="K978" i="2"/>
  <c r="J1116" i="2"/>
  <c r="L1116" i="2" s="1"/>
  <c r="K1116" i="2"/>
  <c r="J1250" i="2"/>
  <c r="L1250" i="2" s="1"/>
  <c r="K1250" i="2"/>
  <c r="J1394" i="2"/>
  <c r="L1394" i="2" s="1"/>
  <c r="K1394" i="2"/>
  <c r="J101" i="2"/>
  <c r="L101" i="2" s="1"/>
  <c r="K101" i="2"/>
  <c r="J1062" i="2"/>
  <c r="L1062" i="2" s="1"/>
  <c r="K1062" i="2"/>
  <c r="J531" i="2"/>
  <c r="L531" i="2" s="1"/>
  <c r="K531" i="2"/>
  <c r="J718" i="2"/>
  <c r="L718" i="2" s="1"/>
  <c r="J835" i="2"/>
  <c r="L835" i="2" s="1"/>
  <c r="K835" i="2"/>
  <c r="J991" i="2"/>
  <c r="L991" i="2" s="1"/>
  <c r="K991" i="2"/>
  <c r="J1126" i="2"/>
  <c r="L1126" i="2" s="1"/>
  <c r="K1126" i="2"/>
  <c r="J1275" i="2"/>
  <c r="L1275" i="2" s="1"/>
  <c r="K1275" i="2"/>
  <c r="J1407" i="2"/>
  <c r="L1407" i="2" s="1"/>
  <c r="K1407" i="2"/>
  <c r="J1551" i="2"/>
  <c r="L1551" i="2" s="1"/>
  <c r="K1551" i="2"/>
  <c r="J1703" i="2"/>
  <c r="L1703" i="2" s="1"/>
  <c r="K1703" i="2"/>
  <c r="J900" i="2"/>
  <c r="L900" i="2" s="1"/>
  <c r="K900" i="2"/>
  <c r="J532" i="2"/>
  <c r="L532" i="2" s="1"/>
  <c r="K532" i="2"/>
  <c r="J707" i="2"/>
  <c r="L707" i="2" s="1"/>
  <c r="K707" i="2"/>
  <c r="J860" i="2"/>
  <c r="L860" i="2" s="1"/>
  <c r="K860" i="2"/>
  <c r="J1016" i="2"/>
  <c r="L1016" i="2" s="1"/>
  <c r="K1016" i="2"/>
  <c r="J1151" i="2"/>
  <c r="L1151" i="2" s="1"/>
  <c r="K1151" i="2"/>
  <c r="J1300" i="2"/>
  <c r="L1300" i="2" s="1"/>
  <c r="K1300" i="2"/>
  <c r="J1432" i="2"/>
  <c r="L1432" i="2" s="1"/>
  <c r="K1432" i="2"/>
  <c r="J1576" i="2"/>
  <c r="L1576" i="2" s="1"/>
  <c r="K1576" i="2"/>
  <c r="J1716" i="2"/>
  <c r="L1716" i="2" s="1"/>
  <c r="K1716" i="2"/>
  <c r="J1857" i="2"/>
  <c r="L1857" i="2" s="1"/>
  <c r="K1857" i="2"/>
  <c r="J1991" i="2"/>
  <c r="L1991" i="2" s="1"/>
  <c r="K1991" i="2"/>
  <c r="J548" i="2"/>
  <c r="L548" i="2" s="1"/>
  <c r="K548" i="2"/>
  <c r="J1592" i="2"/>
  <c r="L1592" i="2" s="1"/>
  <c r="K1592" i="2"/>
  <c r="J485" i="2"/>
  <c r="L485" i="2" s="1"/>
  <c r="K485" i="2"/>
  <c r="J629" i="2"/>
  <c r="L629" i="2" s="1"/>
  <c r="K629" i="2"/>
  <c r="J780" i="2"/>
  <c r="L780" i="2" s="1"/>
  <c r="K780" i="2"/>
  <c r="J921" i="2"/>
  <c r="L921" i="2" s="1"/>
  <c r="K921" i="2"/>
  <c r="J1059" i="2"/>
  <c r="L1059" i="2" s="1"/>
  <c r="K1059" i="2"/>
  <c r="J1207" i="2"/>
  <c r="L1207" i="2" s="1"/>
  <c r="K1207" i="2"/>
  <c r="J1349" i="2"/>
  <c r="L1349" i="2" s="1"/>
  <c r="K1349" i="2"/>
  <c r="J1481" i="2"/>
  <c r="L1481" i="2" s="1"/>
  <c r="K1481" i="2"/>
  <c r="J1625" i="2"/>
  <c r="L1625" i="2" s="1"/>
  <c r="K1625" i="2"/>
  <c r="J382" i="2"/>
  <c r="L382" i="2" s="1"/>
  <c r="K382" i="2"/>
  <c r="J1628" i="2"/>
  <c r="L1628" i="2" s="1"/>
  <c r="K1628" i="2"/>
  <c r="J428" i="2"/>
  <c r="L428" i="2" s="1"/>
  <c r="K428" i="2"/>
  <c r="J558" i="2"/>
  <c r="L558" i="2" s="1"/>
  <c r="K558" i="2"/>
  <c r="J697" i="2"/>
  <c r="L697" i="2" s="1"/>
  <c r="K697" i="2"/>
  <c r="J838" i="2"/>
  <c r="L838" i="2" s="1"/>
  <c r="K838" i="2"/>
  <c r="J982" i="2"/>
  <c r="L982" i="2" s="1"/>
  <c r="K982" i="2"/>
  <c r="J1129" i="2"/>
  <c r="L1129" i="2" s="1"/>
  <c r="K1129" i="2"/>
  <c r="J1266" i="2"/>
  <c r="L1266" i="2" s="1"/>
  <c r="K1266" i="2"/>
  <c r="J1410" i="2"/>
  <c r="L1410" i="2" s="1"/>
  <c r="K1410" i="2"/>
  <c r="J1614" i="2"/>
  <c r="L1614" i="2" s="1"/>
  <c r="K1614" i="2"/>
  <c r="J370" i="2"/>
  <c r="L370" i="2" s="1"/>
  <c r="K370" i="2"/>
  <c r="J1400" i="2"/>
  <c r="L1400" i="2" s="1"/>
  <c r="K1400" i="2"/>
  <c r="J453" i="2"/>
  <c r="L453" i="2" s="1"/>
  <c r="K453" i="2"/>
  <c r="J583" i="2"/>
  <c r="L583" i="2" s="1"/>
  <c r="K583" i="2"/>
  <c r="J722" i="2"/>
  <c r="L722" i="2" s="1"/>
  <c r="K722" i="2"/>
  <c r="J875" i="2"/>
  <c r="L875" i="2" s="1"/>
  <c r="K875" i="2"/>
  <c r="J1007" i="2"/>
  <c r="L1007" i="2" s="1"/>
  <c r="K1007" i="2"/>
  <c r="J1142" i="2"/>
  <c r="L1142" i="2" s="1"/>
  <c r="K1142" i="2"/>
  <c r="J1255" i="2"/>
  <c r="L1255" i="2" s="1"/>
  <c r="K1255" i="2"/>
  <c r="J1399" i="2"/>
  <c r="L1399" i="2" s="1"/>
  <c r="K1399" i="2"/>
  <c r="J1555" i="2"/>
  <c r="L1555" i="2" s="1"/>
  <c r="K1555" i="2"/>
  <c r="J1695" i="2"/>
  <c r="L1695" i="2" s="1"/>
  <c r="K1695" i="2"/>
  <c r="J1827" i="2"/>
  <c r="L1827" i="2" s="1"/>
  <c r="K1827" i="2"/>
  <c r="J1963" i="2"/>
  <c r="L1963" i="2" s="1"/>
  <c r="K1963" i="2"/>
  <c r="J852" i="2"/>
  <c r="L852" i="2" s="1"/>
  <c r="K852" i="2"/>
  <c r="J195" i="2"/>
  <c r="L195" i="2" s="1"/>
  <c r="K195" i="2"/>
  <c r="J28" i="2"/>
  <c r="L28" i="2" s="1"/>
  <c r="K28" i="2"/>
  <c r="J359" i="2"/>
  <c r="L359" i="2" s="1"/>
  <c r="K359" i="2"/>
  <c r="J1605" i="2"/>
  <c r="L1605" i="2" s="1"/>
  <c r="K1605" i="2"/>
  <c r="J1166" i="2"/>
  <c r="L1166" i="2" s="1"/>
  <c r="K1166" i="2"/>
  <c r="J319" i="2"/>
  <c r="L319" i="2" s="1"/>
  <c r="K319" i="2"/>
  <c r="J1123" i="2"/>
  <c r="L1123" i="2" s="1"/>
  <c r="K1123" i="2"/>
  <c r="J929" i="2"/>
  <c r="L929" i="2" s="1"/>
  <c r="K929" i="2"/>
  <c r="J1635" i="2"/>
  <c r="L1635" i="2" s="1"/>
  <c r="K1635" i="2"/>
  <c r="J1094" i="2"/>
  <c r="L1094" i="2" s="1"/>
  <c r="K1094" i="2"/>
  <c r="J1110" i="2"/>
  <c r="L1110" i="2" s="1"/>
  <c r="K1110" i="2"/>
  <c r="J17" i="2"/>
  <c r="L17" i="2" s="1"/>
  <c r="K17" i="2"/>
  <c r="J781" i="2"/>
  <c r="L781" i="2" s="1"/>
  <c r="K781" i="2"/>
  <c r="J1908" i="2"/>
  <c r="L1908" i="2" s="1"/>
  <c r="K1908" i="2"/>
  <c r="J206" i="2"/>
  <c r="L206" i="2" s="1"/>
  <c r="K206" i="2"/>
  <c r="J187" i="2"/>
  <c r="L187" i="2" s="1"/>
  <c r="K187" i="2"/>
  <c r="J245" i="2"/>
  <c r="L245" i="2" s="1"/>
  <c r="K245" i="2"/>
  <c r="J1617" i="2"/>
  <c r="L1617" i="2" s="1"/>
  <c r="K1617" i="2"/>
  <c r="J1030" i="2"/>
  <c r="L1030" i="2" s="1"/>
  <c r="K1030" i="2"/>
  <c r="J56" i="2"/>
  <c r="L56" i="2" s="1"/>
  <c r="K56" i="2"/>
  <c r="J867" i="2"/>
  <c r="L867" i="2" s="1"/>
  <c r="K867" i="2"/>
  <c r="J658" i="2"/>
  <c r="L658" i="2" s="1"/>
  <c r="K658" i="2"/>
  <c r="J1922" i="2"/>
  <c r="L1922" i="2" s="1"/>
  <c r="K1922" i="2"/>
  <c r="J800" i="2"/>
  <c r="L800" i="2" s="1"/>
  <c r="K800" i="2"/>
  <c r="J1935" i="2"/>
  <c r="L1935" i="2" s="1"/>
  <c r="K1935" i="2"/>
  <c r="J918" i="2"/>
  <c r="L918" i="2" s="1"/>
  <c r="K918" i="2"/>
  <c r="J1744" i="2"/>
  <c r="L1744" i="2" s="1"/>
  <c r="K1744" i="2"/>
  <c r="J943" i="2"/>
  <c r="L943" i="2" s="1"/>
  <c r="K943" i="2"/>
  <c r="J1828" i="2"/>
  <c r="L1828" i="2" s="1"/>
  <c r="K1828" i="2"/>
  <c r="J968" i="2"/>
  <c r="L968" i="2" s="1"/>
  <c r="K968" i="2"/>
  <c r="J1528" i="2"/>
  <c r="L1528" i="2" s="1"/>
  <c r="K1528" i="2"/>
  <c r="J89" i="2"/>
  <c r="L89" i="2" s="1"/>
  <c r="K89" i="2"/>
  <c r="J481" i="2"/>
  <c r="L481" i="2" s="1"/>
  <c r="K481" i="2"/>
  <c r="J314" i="2"/>
  <c r="L314" i="2" s="1"/>
  <c r="K314" i="2"/>
  <c r="J1330" i="2"/>
  <c r="L1330" i="2" s="1"/>
  <c r="K1330" i="2"/>
  <c r="J215" i="2"/>
  <c r="L215" i="2" s="1"/>
  <c r="K215" i="2"/>
  <c r="J1608" i="2"/>
  <c r="L1608" i="2" s="1"/>
  <c r="K1608" i="2"/>
  <c r="J954" i="2"/>
  <c r="L954" i="2" s="1"/>
  <c r="K954" i="2"/>
  <c r="J94" i="2"/>
  <c r="L94" i="2" s="1"/>
  <c r="K94" i="2"/>
  <c r="J237" i="2"/>
  <c r="L237" i="2" s="1"/>
  <c r="K237" i="2"/>
  <c r="J375" i="2"/>
  <c r="L375" i="2" s="1"/>
  <c r="K375" i="2"/>
  <c r="J517" i="2"/>
  <c r="L517" i="2" s="1"/>
  <c r="K517" i="2"/>
  <c r="J107" i="2"/>
  <c r="L107" i="2" s="1"/>
  <c r="K107" i="2"/>
  <c r="J286" i="2"/>
  <c r="L286" i="2" s="1"/>
  <c r="K286" i="2"/>
  <c r="J448" i="2"/>
  <c r="L448" i="2" s="1"/>
  <c r="K448" i="2"/>
  <c r="J84" i="2"/>
  <c r="L84" i="2" s="1"/>
  <c r="K84" i="2"/>
  <c r="J287" i="2"/>
  <c r="L287" i="2" s="1"/>
  <c r="K287" i="2"/>
  <c r="J153" i="2"/>
  <c r="L153" i="2" s="1"/>
  <c r="K153" i="2"/>
  <c r="J354" i="2"/>
  <c r="L354" i="2" s="1"/>
  <c r="K354" i="2"/>
  <c r="J26" i="2"/>
  <c r="L26" i="2" s="1"/>
  <c r="K26" i="2"/>
  <c r="J161" i="2"/>
  <c r="L161" i="2" s="1"/>
  <c r="K161" i="2"/>
  <c r="J301" i="2"/>
  <c r="L301" i="2" s="1"/>
  <c r="K301" i="2"/>
  <c r="J75" i="2"/>
  <c r="L75" i="2" s="1"/>
  <c r="K75" i="2"/>
  <c r="J210" i="2"/>
  <c r="L210" i="2" s="1"/>
  <c r="K210" i="2"/>
  <c r="J356" i="2"/>
  <c r="L356" i="2" s="1"/>
  <c r="K356" i="2"/>
  <c r="J100" i="2"/>
  <c r="L100" i="2" s="1"/>
  <c r="K100" i="2"/>
  <c r="J243" i="2"/>
  <c r="L243" i="2" s="1"/>
  <c r="K243" i="2"/>
  <c r="J7" i="2"/>
  <c r="L7" i="2" s="1"/>
  <c r="K7" i="2"/>
  <c r="J159" i="2"/>
  <c r="L159" i="2" s="1"/>
  <c r="K159" i="2"/>
  <c r="J306" i="2"/>
  <c r="L306" i="2" s="1"/>
  <c r="K306" i="2"/>
  <c r="J6" i="2"/>
  <c r="L6" i="2" s="1"/>
  <c r="K6" i="2"/>
  <c r="J158" i="2"/>
  <c r="L158" i="2" s="1"/>
  <c r="K158" i="2"/>
  <c r="J293" i="2"/>
  <c r="L293" i="2" s="1"/>
  <c r="K293" i="2"/>
  <c r="J431" i="2"/>
  <c r="L431" i="2" s="1"/>
  <c r="K431" i="2"/>
  <c r="J561" i="2"/>
  <c r="L561" i="2" s="1"/>
  <c r="K561" i="2"/>
  <c r="J700" i="2"/>
  <c r="L700" i="2" s="1"/>
  <c r="K700" i="2"/>
  <c r="J853" i="2"/>
  <c r="L853" i="2" s="1"/>
  <c r="K853" i="2"/>
  <c r="J1120" i="2"/>
  <c r="L1120" i="2" s="1"/>
  <c r="K1120" i="2"/>
  <c r="J1257" i="2"/>
  <c r="L1257" i="2" s="1"/>
  <c r="K1257" i="2"/>
  <c r="J1401" i="2"/>
  <c r="L1401" i="2" s="1"/>
  <c r="K1401" i="2"/>
  <c r="J1697" i="2"/>
  <c r="L1697" i="2" s="1"/>
  <c r="K1697" i="2"/>
  <c r="J1841" i="2"/>
  <c r="L1841" i="2" s="1"/>
  <c r="K1841" i="2"/>
  <c r="J1977" i="2"/>
  <c r="L1977" i="2" s="1"/>
  <c r="K1977" i="2"/>
  <c r="J372" i="2"/>
  <c r="L372" i="2" s="1"/>
  <c r="K372" i="2"/>
  <c r="J514" i="2"/>
  <c r="L514" i="2" s="1"/>
  <c r="K514" i="2"/>
  <c r="J656" i="2"/>
  <c r="L656" i="2" s="1"/>
  <c r="K656" i="2"/>
  <c r="J797" i="2"/>
  <c r="L797" i="2" s="1"/>
  <c r="K797" i="2"/>
  <c r="J938" i="2"/>
  <c r="L938" i="2" s="1"/>
  <c r="K938" i="2"/>
  <c r="J1088" i="2"/>
  <c r="L1088" i="2" s="1"/>
  <c r="K1088" i="2"/>
  <c r="J1224" i="2"/>
  <c r="L1224" i="2" s="1"/>
  <c r="K1224" i="2"/>
  <c r="J1366" i="2"/>
  <c r="L1366" i="2" s="1"/>
  <c r="K1366" i="2"/>
  <c r="J1676" i="2"/>
  <c r="L1676" i="2" s="1"/>
  <c r="K1676" i="2"/>
  <c r="J1818" i="2"/>
  <c r="L1818" i="2" s="1"/>
  <c r="K1818" i="2"/>
  <c r="J1966" i="2"/>
  <c r="L1966" i="2" s="1"/>
  <c r="K1966" i="2"/>
  <c r="J116" i="2"/>
  <c r="L116" i="2" s="1"/>
  <c r="K116" i="2"/>
  <c r="J247" i="2"/>
  <c r="L247" i="2" s="1"/>
  <c r="K247" i="2"/>
  <c r="J385" i="2"/>
  <c r="L385" i="2" s="1"/>
  <c r="K385" i="2"/>
  <c r="J515" i="2"/>
  <c r="L515" i="2" s="1"/>
  <c r="K515" i="2"/>
  <c r="J657" i="2"/>
  <c r="L657" i="2" s="1"/>
  <c r="K657" i="2"/>
  <c r="J786" i="2"/>
  <c r="L786" i="2" s="1"/>
  <c r="K786" i="2"/>
  <c r="J927" i="2"/>
  <c r="L927" i="2" s="1"/>
  <c r="K927" i="2"/>
  <c r="J1201" i="2"/>
  <c r="L1201" i="2" s="1"/>
  <c r="K1201" i="2"/>
  <c r="J1463" i="2"/>
  <c r="L1463" i="2" s="1"/>
  <c r="K1463" i="2"/>
  <c r="J1677" i="2"/>
  <c r="L1677" i="2" s="1"/>
  <c r="K1677" i="2"/>
  <c r="J1843" i="2"/>
  <c r="L1843" i="2" s="1"/>
  <c r="K1843" i="2"/>
  <c r="J1979" i="2"/>
  <c r="L1979" i="2" s="1"/>
  <c r="K1979" i="2"/>
  <c r="J21" i="2"/>
  <c r="L21" i="2" s="1"/>
  <c r="K21" i="2"/>
  <c r="J168" i="2"/>
  <c r="L168" i="2" s="1"/>
  <c r="K168" i="2"/>
  <c r="J296" i="2"/>
  <c r="L296" i="2" s="1"/>
  <c r="K296" i="2"/>
  <c r="J434" i="2"/>
  <c r="L434" i="2" s="1"/>
  <c r="K434" i="2"/>
  <c r="J576" i="2"/>
  <c r="L576" i="2" s="1"/>
  <c r="K576" i="2"/>
  <c r="J715" i="2"/>
  <c r="L715" i="2" s="1"/>
  <c r="K715" i="2"/>
  <c r="J844" i="2"/>
  <c r="L844" i="2" s="1"/>
  <c r="K844" i="2"/>
  <c r="J988" i="2"/>
  <c r="L988" i="2" s="1"/>
  <c r="K988" i="2"/>
  <c r="J1296" i="2"/>
  <c r="L1296" i="2" s="1"/>
  <c r="K1296" i="2"/>
  <c r="J1500" i="2"/>
  <c r="L1500" i="2" s="1"/>
  <c r="K1500" i="2"/>
  <c r="J1644" i="2"/>
  <c r="L1644" i="2" s="1"/>
  <c r="K1644" i="2"/>
  <c r="J1820" i="2"/>
  <c r="L1820" i="2" s="1"/>
  <c r="K1820" i="2"/>
  <c r="J1980" i="2"/>
  <c r="L1980" i="2" s="1"/>
  <c r="K1980" i="2"/>
  <c r="J577" i="2"/>
  <c r="L577" i="2" s="1"/>
  <c r="K577" i="2"/>
  <c r="J716" i="2"/>
  <c r="L716" i="2" s="1"/>
  <c r="K716" i="2"/>
  <c r="J857" i="2"/>
  <c r="L857" i="2" s="1"/>
  <c r="K857" i="2"/>
  <c r="J1001" i="2"/>
  <c r="L1001" i="2" s="1"/>
  <c r="K1001" i="2"/>
  <c r="J1148" i="2"/>
  <c r="L1148" i="2" s="1"/>
  <c r="K1148" i="2"/>
  <c r="J1285" i="2"/>
  <c r="L1285" i="2" s="1"/>
  <c r="K1285" i="2"/>
  <c r="J1417" i="2"/>
  <c r="L1417" i="2" s="1"/>
  <c r="K1417" i="2"/>
  <c r="J1633" i="2"/>
  <c r="L1633" i="2" s="1"/>
  <c r="K1633" i="2"/>
  <c r="J1797" i="2"/>
  <c r="L1797" i="2" s="1"/>
  <c r="K1797" i="2"/>
  <c r="J948" i="2"/>
  <c r="L948" i="2" s="1"/>
  <c r="K948" i="2"/>
  <c r="J2024" i="2"/>
  <c r="L2024" i="2" s="1"/>
  <c r="K2024" i="2"/>
  <c r="J590" i="2"/>
  <c r="L590" i="2" s="1"/>
  <c r="K590" i="2"/>
  <c r="J717" i="2"/>
  <c r="L717" i="2" s="1"/>
  <c r="K717" i="2"/>
  <c r="J834" i="2"/>
  <c r="L834" i="2" s="1"/>
  <c r="K834" i="2"/>
  <c r="J990" i="2"/>
  <c r="L990" i="2" s="1"/>
  <c r="K990" i="2"/>
  <c r="J1125" i="2"/>
  <c r="L1125" i="2" s="1"/>
  <c r="K1125" i="2"/>
  <c r="J1262" i="2"/>
  <c r="L1262" i="2" s="1"/>
  <c r="K1262" i="2"/>
  <c r="J1406" i="2"/>
  <c r="L1406" i="2" s="1"/>
  <c r="K1406" i="2"/>
  <c r="J164" i="2"/>
  <c r="L164" i="2" s="1"/>
  <c r="K164" i="2"/>
  <c r="J1143" i="2"/>
  <c r="L1143" i="2" s="1"/>
  <c r="K1143" i="2"/>
  <c r="J543" i="2"/>
  <c r="L543" i="2" s="1"/>
  <c r="K543" i="2"/>
  <c r="J847" i="2"/>
  <c r="L847" i="2" s="1"/>
  <c r="K847" i="2"/>
  <c r="J1003" i="2"/>
  <c r="L1003" i="2" s="1"/>
  <c r="K1003" i="2"/>
  <c r="J1138" i="2"/>
  <c r="L1138" i="2" s="1"/>
  <c r="K1138" i="2"/>
  <c r="J1287" i="2"/>
  <c r="L1287" i="2" s="1"/>
  <c r="K1287" i="2"/>
  <c r="J1419" i="2"/>
  <c r="L1419" i="2" s="1"/>
  <c r="K1419" i="2"/>
  <c r="J1563" i="2"/>
  <c r="L1563" i="2" s="1"/>
  <c r="K1563" i="2"/>
  <c r="J1715" i="2"/>
  <c r="L1715" i="2" s="1"/>
  <c r="K1715" i="2"/>
  <c r="J960" i="2"/>
  <c r="L960" i="2" s="1"/>
  <c r="K960" i="2"/>
  <c r="J719" i="2"/>
  <c r="L719" i="2" s="1"/>
  <c r="K719" i="2"/>
  <c r="J872" i="2"/>
  <c r="L872" i="2" s="1"/>
  <c r="K872" i="2"/>
  <c r="J1024" i="2"/>
  <c r="L1024" i="2" s="1"/>
  <c r="K1024" i="2"/>
  <c r="J1160" i="2"/>
  <c r="L1160" i="2" s="1"/>
  <c r="K1160" i="2"/>
  <c r="J1312" i="2"/>
  <c r="L1312" i="2" s="1"/>
  <c r="K1312" i="2"/>
  <c r="J1444" i="2"/>
  <c r="L1444" i="2" s="1"/>
  <c r="K1444" i="2"/>
  <c r="J1728" i="2"/>
  <c r="L1728" i="2" s="1"/>
  <c r="K1728" i="2"/>
  <c r="J1869" i="2"/>
  <c r="L1869" i="2" s="1"/>
  <c r="K1869" i="2"/>
  <c r="J2001" i="2"/>
  <c r="L2001" i="2" s="1"/>
  <c r="K2001" i="2"/>
  <c r="J620" i="2"/>
  <c r="L620" i="2" s="1"/>
  <c r="K620" i="2"/>
  <c r="J497" i="2"/>
  <c r="L497" i="2" s="1"/>
  <c r="K497" i="2"/>
  <c r="J641" i="2"/>
  <c r="L641" i="2" s="1"/>
  <c r="K641" i="2"/>
  <c r="J792" i="2"/>
  <c r="L792" i="2" s="1"/>
  <c r="K792" i="2"/>
  <c r="J933" i="2"/>
  <c r="L933" i="2" s="1"/>
  <c r="K933" i="2"/>
  <c r="J1071" i="2"/>
  <c r="L1071" i="2" s="1"/>
  <c r="K1071" i="2"/>
  <c r="J1219" i="2"/>
  <c r="L1219" i="2" s="1"/>
  <c r="K1219" i="2"/>
  <c r="J1361" i="2"/>
  <c r="L1361" i="2" s="1"/>
  <c r="K1361" i="2"/>
  <c r="J1493" i="2"/>
  <c r="L1493" i="2" s="1"/>
  <c r="K1493" i="2"/>
  <c r="J1637" i="2"/>
  <c r="L1637" i="2" s="1"/>
  <c r="K1637" i="2"/>
  <c r="J442" i="2"/>
  <c r="L442" i="2" s="1"/>
  <c r="K442" i="2"/>
  <c r="J1780" i="2"/>
  <c r="L1780" i="2" s="1"/>
  <c r="K1780" i="2"/>
  <c r="J440" i="2"/>
  <c r="L440" i="2" s="1"/>
  <c r="K440" i="2"/>
  <c r="J570" i="2"/>
  <c r="L570" i="2" s="1"/>
  <c r="K570" i="2"/>
  <c r="J709" i="2"/>
  <c r="L709" i="2" s="1"/>
  <c r="K709" i="2"/>
  <c r="J850" i="2"/>
  <c r="L850" i="2" s="1"/>
  <c r="K850" i="2"/>
  <c r="J994" i="2"/>
  <c r="L994" i="2" s="1"/>
  <c r="K994" i="2"/>
  <c r="J1141" i="2"/>
  <c r="L1141" i="2" s="1"/>
  <c r="K1141" i="2"/>
  <c r="J1278" i="2"/>
  <c r="L1278" i="2" s="1"/>
  <c r="K1278" i="2"/>
  <c r="J1422" i="2"/>
  <c r="L1422" i="2" s="1"/>
  <c r="K1422" i="2"/>
  <c r="J1626" i="2"/>
  <c r="L1626" i="2" s="1"/>
  <c r="K1626" i="2"/>
  <c r="J454" i="2"/>
  <c r="L454" i="2" s="1"/>
  <c r="K454" i="2"/>
  <c r="J1484" i="2"/>
  <c r="L1484" i="2" s="1"/>
  <c r="K1484" i="2"/>
  <c r="J463" i="2"/>
  <c r="L463" i="2" s="1"/>
  <c r="K463" i="2"/>
  <c r="J595" i="2"/>
  <c r="L595" i="2" s="1"/>
  <c r="K595" i="2"/>
  <c r="J734" i="2"/>
  <c r="L734" i="2" s="1"/>
  <c r="K734" i="2"/>
  <c r="J887" i="2"/>
  <c r="L887" i="2" s="1"/>
  <c r="K887" i="2"/>
  <c r="J1019" i="2"/>
  <c r="L1019" i="2" s="1"/>
  <c r="K1019" i="2"/>
  <c r="J1267" i="2"/>
  <c r="L1267" i="2" s="1"/>
  <c r="K1267" i="2"/>
  <c r="J1411" i="2"/>
  <c r="L1411" i="2" s="1"/>
  <c r="K1411" i="2"/>
  <c r="J1567" i="2"/>
  <c r="L1567" i="2" s="1"/>
  <c r="K1567" i="2"/>
  <c r="J1707" i="2"/>
  <c r="L1707" i="2" s="1"/>
  <c r="K1707" i="2"/>
  <c r="J1839" i="2"/>
  <c r="L1839" i="2" s="1"/>
  <c r="K1839" i="2"/>
  <c r="J1975" i="2"/>
  <c r="L1975" i="2" s="1"/>
  <c r="K1975" i="2"/>
  <c r="J936" i="2"/>
  <c r="L936" i="2" s="1"/>
  <c r="K936" i="2"/>
  <c r="J169" i="2"/>
  <c r="L169" i="2" s="1"/>
  <c r="K169" i="2"/>
  <c r="J98" i="2"/>
  <c r="L98" i="2" s="1"/>
  <c r="K98" i="2"/>
  <c r="J234" i="2"/>
  <c r="L234" i="2" s="1"/>
  <c r="K234" i="2"/>
  <c r="J1329" i="2"/>
  <c r="L1329" i="2" s="1"/>
  <c r="K1329" i="2"/>
  <c r="J866" i="2"/>
  <c r="L866" i="2" s="1"/>
  <c r="K866" i="2"/>
  <c r="J2026" i="2"/>
  <c r="L2026" i="2" s="1"/>
  <c r="K2026" i="2"/>
  <c r="J855" i="2"/>
  <c r="L855" i="2" s="1"/>
  <c r="K855" i="2"/>
  <c r="J1748" i="2"/>
  <c r="L1748" i="2" s="1"/>
  <c r="K1748" i="2"/>
  <c r="J777" i="2"/>
  <c r="L777" i="2" s="1"/>
  <c r="K777" i="2"/>
  <c r="J687" i="2"/>
  <c r="L687" i="2" s="1"/>
  <c r="K687" i="2"/>
  <c r="J919" i="2"/>
  <c r="L919" i="2" s="1"/>
  <c r="K919" i="2"/>
  <c r="J1732" i="2"/>
  <c r="L1732" i="2" s="1"/>
  <c r="K1732" i="2"/>
  <c r="J1384" i="2"/>
  <c r="L1384" i="2" s="1"/>
  <c r="K1384" i="2"/>
  <c r="J1152" i="2"/>
  <c r="L1152" i="2" s="1"/>
  <c r="K1152" i="2"/>
  <c r="J642" i="2"/>
  <c r="L642" i="2" s="1"/>
  <c r="K642" i="2"/>
  <c r="J29" i="2"/>
  <c r="L29" i="2" s="1"/>
  <c r="K29" i="2"/>
  <c r="J665" i="2"/>
  <c r="L665" i="2" s="1"/>
  <c r="K665" i="2"/>
  <c r="J1197" i="2"/>
  <c r="L1197" i="2" s="1"/>
  <c r="K1197" i="2"/>
  <c r="J1767" i="2"/>
  <c r="L1767" i="2" s="1"/>
  <c r="K1767" i="2"/>
  <c r="J34" i="2"/>
  <c r="L34" i="2" s="1"/>
  <c r="K34" i="2"/>
  <c r="J207" i="2"/>
  <c r="L207" i="2" s="1"/>
  <c r="K207" i="2"/>
  <c r="J155" i="2"/>
  <c r="L155" i="2" s="1"/>
  <c r="K155" i="2"/>
  <c r="J784" i="2"/>
  <c r="L784" i="2" s="1"/>
  <c r="K784" i="2"/>
  <c r="J1306" i="2"/>
  <c r="L1306" i="2" s="1"/>
  <c r="K1306" i="2"/>
  <c r="J457" i="2"/>
  <c r="L457" i="2" s="1"/>
  <c r="K457" i="2"/>
  <c r="J928" i="2"/>
  <c r="L928" i="2" s="1"/>
  <c r="K928" i="2"/>
  <c r="J1737" i="2"/>
  <c r="L1737" i="2" s="1"/>
  <c r="K1737" i="2"/>
  <c r="J1610" i="2"/>
  <c r="L1610" i="2" s="1"/>
  <c r="K1610" i="2"/>
  <c r="J560" i="2"/>
  <c r="L560" i="2" s="1"/>
  <c r="K560" i="2"/>
  <c r="J380" i="2"/>
  <c r="L380" i="2" s="1"/>
  <c r="K380" i="2"/>
  <c r="J59" i="2"/>
  <c r="L59" i="2" s="1"/>
  <c r="K59" i="2"/>
  <c r="J134" i="2"/>
  <c r="L134" i="2" s="1"/>
  <c r="K134" i="2"/>
  <c r="J115" i="2"/>
  <c r="L115" i="2" s="1"/>
  <c r="K115" i="2"/>
  <c r="J395" i="2"/>
  <c r="L395" i="2" s="1"/>
  <c r="K395" i="2"/>
  <c r="J1365" i="2"/>
  <c r="L1365" i="2" s="1"/>
  <c r="K1365" i="2"/>
  <c r="J622" i="2"/>
  <c r="L622" i="2" s="1"/>
  <c r="K622" i="2"/>
  <c r="J1782" i="2"/>
  <c r="L1782" i="2" s="1"/>
  <c r="K1782" i="2"/>
  <c r="J623" i="2"/>
  <c r="L623" i="2" s="1"/>
  <c r="K623" i="2"/>
  <c r="J1403" i="2"/>
  <c r="L1403" i="2" s="1"/>
  <c r="K1403" i="2"/>
  <c r="J398" i="2"/>
  <c r="L398" i="2" s="1"/>
  <c r="K398" i="2"/>
  <c r="J1464" i="2"/>
  <c r="L1464" i="2" s="1"/>
  <c r="K1464" i="2"/>
  <c r="J965" i="2"/>
  <c r="L965" i="2" s="1"/>
  <c r="K965" i="2"/>
  <c r="J1573" i="2"/>
  <c r="L1573" i="2" s="1"/>
  <c r="K1573" i="2"/>
  <c r="J1792" i="2"/>
  <c r="L1792" i="2" s="1"/>
  <c r="K1792" i="2"/>
  <c r="J1092" i="2"/>
  <c r="L1092" i="2" s="1"/>
  <c r="K1092" i="2"/>
  <c r="J1885" i="2"/>
  <c r="L1885" i="2" s="1"/>
  <c r="K1885" i="2"/>
  <c r="J673" i="2"/>
  <c r="L673" i="2" s="1"/>
  <c r="K673" i="2"/>
  <c r="J1251" i="2"/>
  <c r="L1251" i="2" s="1"/>
  <c r="K1251" i="2"/>
  <c r="J1527" i="2"/>
  <c r="L1527" i="2" s="1"/>
  <c r="K1527" i="2"/>
  <c r="J992" i="2"/>
  <c r="L992" i="2" s="1"/>
  <c r="K992" i="2"/>
  <c r="J1692" i="2"/>
  <c r="L1692" i="2" s="1"/>
  <c r="K1692" i="2"/>
  <c r="J1352" i="2"/>
  <c r="L1352" i="2" s="1"/>
  <c r="K1352" i="2"/>
  <c r="J451" i="2"/>
  <c r="L451" i="2" s="1"/>
  <c r="K451" i="2"/>
  <c r="J1037" i="2"/>
  <c r="L1037" i="2" s="1"/>
  <c r="K1037" i="2"/>
  <c r="J1472" i="2"/>
  <c r="L1472" i="2" s="1"/>
  <c r="K1472" i="2"/>
  <c r="J817" i="2"/>
  <c r="L817" i="2" s="1"/>
  <c r="K817" i="2"/>
  <c r="J1386" i="2"/>
  <c r="L1386" i="2" s="1"/>
  <c r="K1386" i="2"/>
  <c r="J698" i="2"/>
  <c r="L698" i="2" s="1"/>
  <c r="K698" i="2"/>
  <c r="J1375" i="2"/>
  <c r="L1375" i="2" s="1"/>
  <c r="K1375" i="2"/>
  <c r="J1804" i="2"/>
  <c r="L1804" i="2" s="1"/>
  <c r="K1804" i="2"/>
  <c r="J106" i="2"/>
  <c r="L106" i="2" s="1"/>
  <c r="K106" i="2"/>
  <c r="J249" i="2"/>
  <c r="L249" i="2" s="1"/>
  <c r="K249" i="2"/>
  <c r="J387" i="2"/>
  <c r="L387" i="2" s="1"/>
  <c r="K387" i="2"/>
  <c r="J529" i="2"/>
  <c r="L529" i="2" s="1"/>
  <c r="K529" i="2"/>
  <c r="J298" i="2"/>
  <c r="L298" i="2" s="1"/>
  <c r="K298" i="2"/>
  <c r="J470" i="2"/>
  <c r="L470" i="2" s="1"/>
  <c r="K470" i="2"/>
  <c r="J108" i="2"/>
  <c r="L108" i="2" s="1"/>
  <c r="K108" i="2"/>
  <c r="J299" i="2"/>
  <c r="L299" i="2" s="1"/>
  <c r="K299" i="2"/>
  <c r="J172" i="2"/>
  <c r="L172" i="2" s="1"/>
  <c r="K172" i="2"/>
  <c r="J378" i="2"/>
  <c r="L378" i="2" s="1"/>
  <c r="K378" i="2"/>
  <c r="J38" i="2"/>
  <c r="L38" i="2" s="1"/>
  <c r="K38" i="2"/>
  <c r="J173" i="2"/>
  <c r="L173" i="2" s="1"/>
  <c r="K173" i="2"/>
  <c r="J313" i="2"/>
  <c r="L313" i="2" s="1"/>
  <c r="K313" i="2"/>
  <c r="J87" i="2"/>
  <c r="L87" i="2" s="1"/>
  <c r="K87" i="2"/>
  <c r="J222" i="2"/>
  <c r="L222" i="2" s="1"/>
  <c r="K222" i="2"/>
  <c r="J112" i="2"/>
  <c r="L112" i="2" s="1"/>
  <c r="K112" i="2"/>
  <c r="J255" i="2"/>
  <c r="L255" i="2" s="1"/>
  <c r="K255" i="2"/>
  <c r="J19" i="2"/>
  <c r="L19" i="2" s="1"/>
  <c r="K19" i="2"/>
  <c r="J166" i="2"/>
  <c r="L166" i="2" s="1"/>
  <c r="K166" i="2"/>
  <c r="J318" i="2"/>
  <c r="L318" i="2" s="1"/>
  <c r="K318" i="2"/>
  <c r="J18" i="2"/>
  <c r="L18" i="2" s="1"/>
  <c r="K18" i="2"/>
  <c r="J165" i="2"/>
  <c r="L165" i="2" s="1"/>
  <c r="K165" i="2"/>
  <c r="J305" i="2"/>
  <c r="L305" i="2" s="1"/>
  <c r="K305" i="2"/>
  <c r="J443" i="2"/>
  <c r="L443" i="2" s="1"/>
  <c r="K443" i="2"/>
  <c r="J573" i="2"/>
  <c r="L573" i="2" s="1"/>
  <c r="K573" i="2"/>
  <c r="J712" i="2"/>
  <c r="L712" i="2" s="1"/>
  <c r="K712" i="2"/>
  <c r="J865" i="2"/>
  <c r="L865" i="2" s="1"/>
  <c r="K865" i="2"/>
  <c r="J985" i="2"/>
  <c r="L985" i="2" s="1"/>
  <c r="K985" i="2"/>
  <c r="J1132" i="2"/>
  <c r="L1132" i="2" s="1"/>
  <c r="K1132" i="2"/>
  <c r="J1269" i="2"/>
  <c r="L1269" i="2" s="1"/>
  <c r="K1269" i="2"/>
  <c r="J1413" i="2"/>
  <c r="L1413" i="2" s="1"/>
  <c r="K1413" i="2"/>
  <c r="J1545" i="2"/>
  <c r="L1545" i="2" s="1"/>
  <c r="K1545" i="2"/>
  <c r="J1709" i="2"/>
  <c r="L1709" i="2" s="1"/>
  <c r="K1709" i="2"/>
  <c r="J1853" i="2"/>
  <c r="L1853" i="2" s="1"/>
  <c r="K1853" i="2"/>
  <c r="J384" i="2"/>
  <c r="L384" i="2" s="1"/>
  <c r="K384" i="2"/>
  <c r="J526" i="2"/>
  <c r="L526" i="2" s="1"/>
  <c r="K526" i="2"/>
  <c r="J668" i="2"/>
  <c r="L668" i="2" s="1"/>
  <c r="K668" i="2"/>
  <c r="J809" i="2"/>
  <c r="L809" i="2" s="1"/>
  <c r="K809" i="2"/>
  <c r="J950" i="2"/>
  <c r="L950" i="2" s="1"/>
  <c r="K950" i="2"/>
  <c r="J1100" i="2"/>
  <c r="L1100" i="2" s="1"/>
  <c r="K1100" i="2"/>
  <c r="J1236" i="2"/>
  <c r="L1236" i="2" s="1"/>
  <c r="K1236" i="2"/>
  <c r="J1378" i="2"/>
  <c r="L1378" i="2" s="1"/>
  <c r="K1378" i="2"/>
  <c r="J1686" i="2"/>
  <c r="L1686" i="2" s="1"/>
  <c r="K1686" i="2"/>
  <c r="J1830" i="2"/>
  <c r="L1830" i="2" s="1"/>
  <c r="K1830" i="2"/>
  <c r="J1978" i="2"/>
  <c r="L1978" i="2" s="1"/>
  <c r="K1978" i="2"/>
  <c r="J128" i="2"/>
  <c r="L128" i="2" s="1"/>
  <c r="K128" i="2"/>
  <c r="J259" i="2"/>
  <c r="L259" i="2" s="1"/>
  <c r="K259" i="2"/>
  <c r="J397" i="2"/>
  <c r="L397" i="2" s="1"/>
  <c r="K397" i="2"/>
  <c r="J527" i="2"/>
  <c r="L527" i="2" s="1"/>
  <c r="K527" i="2"/>
  <c r="J669" i="2"/>
  <c r="L669" i="2" s="1"/>
  <c r="K669" i="2"/>
  <c r="J798" i="2"/>
  <c r="L798" i="2" s="1"/>
  <c r="K798" i="2"/>
  <c r="J939" i="2"/>
  <c r="L939" i="2" s="1"/>
  <c r="K939" i="2"/>
  <c r="J1213" i="2"/>
  <c r="L1213" i="2" s="1"/>
  <c r="K1213" i="2"/>
  <c r="J1487" i="2"/>
  <c r="L1487" i="2" s="1"/>
  <c r="K1487" i="2"/>
  <c r="J1711" i="2"/>
  <c r="L1711" i="2" s="1"/>
  <c r="K1711" i="2"/>
  <c r="J1864" i="2"/>
  <c r="L1864" i="2" s="1"/>
  <c r="K1864" i="2"/>
  <c r="J1996" i="2"/>
  <c r="L1996" i="2" s="1"/>
  <c r="K1996" i="2"/>
  <c r="J33" i="2"/>
  <c r="L33" i="2" s="1"/>
  <c r="K33" i="2"/>
  <c r="J180" i="2"/>
  <c r="L180" i="2" s="1"/>
  <c r="J308" i="2"/>
  <c r="L308" i="2" s="1"/>
  <c r="K308" i="2"/>
  <c r="J446" i="2"/>
  <c r="L446" i="2" s="1"/>
  <c r="K446" i="2"/>
  <c r="J588" i="2"/>
  <c r="L588" i="2" s="1"/>
  <c r="K588" i="2"/>
  <c r="J727" i="2"/>
  <c r="L727" i="2" s="1"/>
  <c r="K727" i="2"/>
  <c r="J856" i="2"/>
  <c r="L856" i="2" s="1"/>
  <c r="K856" i="2"/>
  <c r="J1020" i="2"/>
  <c r="L1020" i="2" s="1"/>
  <c r="K1020" i="2"/>
  <c r="J1308" i="2"/>
  <c r="L1308" i="2" s="1"/>
  <c r="K1308" i="2"/>
  <c r="J1512" i="2"/>
  <c r="L1512" i="2" s="1"/>
  <c r="K1512" i="2"/>
  <c r="J1666" i="2"/>
  <c r="L1666" i="2" s="1"/>
  <c r="K1666" i="2"/>
  <c r="J1832" i="2"/>
  <c r="L1832" i="2" s="1"/>
  <c r="K1832" i="2"/>
  <c r="J1997" i="2"/>
  <c r="L1997" i="2" s="1"/>
  <c r="K1997" i="2"/>
  <c r="J589" i="2"/>
  <c r="L589" i="2" s="1"/>
  <c r="K589" i="2"/>
  <c r="J728" i="2"/>
  <c r="L728" i="2" s="1"/>
  <c r="K728" i="2"/>
  <c r="J869" i="2"/>
  <c r="L869" i="2" s="1"/>
  <c r="K869" i="2"/>
  <c r="J1013" i="2"/>
  <c r="L1013" i="2" s="1"/>
  <c r="K1013" i="2"/>
  <c r="J1157" i="2"/>
  <c r="L1157" i="2" s="1"/>
  <c r="K1157" i="2"/>
  <c r="J1297" i="2"/>
  <c r="L1297" i="2" s="1"/>
  <c r="K1297" i="2"/>
  <c r="J1429" i="2"/>
  <c r="L1429" i="2" s="1"/>
  <c r="K1429" i="2"/>
  <c r="J1645" i="2"/>
  <c r="L1645" i="2" s="1"/>
  <c r="K1645" i="2"/>
  <c r="J1809" i="2"/>
  <c r="L1809" i="2" s="1"/>
  <c r="K1809" i="2"/>
  <c r="J1074" i="2"/>
  <c r="L1074" i="2" s="1"/>
  <c r="K1074" i="2"/>
  <c r="J602" i="2"/>
  <c r="L602" i="2" s="1"/>
  <c r="K602" i="2"/>
  <c r="J729" i="2"/>
  <c r="L729" i="2" s="1"/>
  <c r="K729" i="2"/>
  <c r="J846" i="2"/>
  <c r="L846" i="2" s="1"/>
  <c r="K846" i="2"/>
  <c r="J1002" i="2"/>
  <c r="L1002" i="2" s="1"/>
  <c r="K1002" i="2"/>
  <c r="J1137" i="2"/>
  <c r="L1137" i="2" s="1"/>
  <c r="K1137" i="2"/>
  <c r="J1274" i="2"/>
  <c r="L1274" i="2" s="1"/>
  <c r="K1274" i="2"/>
  <c r="J1418" i="2"/>
  <c r="L1418" i="2" s="1"/>
  <c r="K1418" i="2"/>
  <c r="J232" i="2"/>
  <c r="L232" i="2" s="1"/>
  <c r="K232" i="2"/>
  <c r="J1328" i="2"/>
  <c r="L1328" i="2" s="1"/>
  <c r="K1328" i="2"/>
  <c r="J567" i="2"/>
  <c r="L567" i="2" s="1"/>
  <c r="K567" i="2"/>
  <c r="J730" i="2"/>
  <c r="L730" i="2" s="1"/>
  <c r="K730" i="2"/>
  <c r="J859" i="2"/>
  <c r="L859" i="2" s="1"/>
  <c r="K859" i="2"/>
  <c r="J1015" i="2"/>
  <c r="L1015" i="2" s="1"/>
  <c r="K1015" i="2"/>
  <c r="J1150" i="2"/>
  <c r="L1150" i="2" s="1"/>
  <c r="K1150" i="2"/>
  <c r="J1299" i="2"/>
  <c r="L1299" i="2" s="1"/>
  <c r="K1299" i="2"/>
  <c r="J1431" i="2"/>
  <c r="L1431" i="2" s="1"/>
  <c r="K1431" i="2"/>
  <c r="J1575" i="2"/>
  <c r="L1575" i="2" s="1"/>
  <c r="K1575" i="2"/>
  <c r="J5" i="2"/>
  <c r="L5" i="2" s="1"/>
  <c r="K5" i="2"/>
  <c r="J1040" i="2"/>
  <c r="L1040" i="2" s="1"/>
  <c r="K1040" i="2"/>
  <c r="J731" i="2"/>
  <c r="L731" i="2" s="1"/>
  <c r="K731" i="2"/>
  <c r="J896" i="2"/>
  <c r="L896" i="2" s="1"/>
  <c r="K896" i="2"/>
  <c r="J1036" i="2"/>
  <c r="L1036" i="2" s="1"/>
  <c r="K1036" i="2"/>
  <c r="J1172" i="2"/>
  <c r="L1172" i="2" s="1"/>
  <c r="K1172" i="2"/>
  <c r="J1324" i="2"/>
  <c r="L1324" i="2" s="1"/>
  <c r="K1324" i="2"/>
  <c r="J1456" i="2"/>
  <c r="L1456" i="2" s="1"/>
  <c r="K1456" i="2"/>
  <c r="J1740" i="2"/>
  <c r="L1740" i="2" s="1"/>
  <c r="K1740" i="2"/>
  <c r="J1881" i="2"/>
  <c r="L1881" i="2" s="1"/>
  <c r="K1881" i="2"/>
  <c r="J2010" i="2"/>
  <c r="L2010" i="2" s="1"/>
  <c r="K2010" i="2"/>
  <c r="J666" i="2"/>
  <c r="L666" i="2" s="1"/>
  <c r="K666" i="2"/>
  <c r="J1756" i="2"/>
  <c r="L1756" i="2" s="1"/>
  <c r="K1756" i="2"/>
  <c r="J355" i="2"/>
  <c r="L355" i="2" s="1"/>
  <c r="K355" i="2"/>
  <c r="J509" i="2"/>
  <c r="L509" i="2" s="1"/>
  <c r="K509" i="2"/>
  <c r="J651" i="2"/>
  <c r="L651" i="2" s="1"/>
  <c r="K651" i="2"/>
  <c r="J804" i="2"/>
  <c r="L804" i="2" s="1"/>
  <c r="K804" i="2"/>
  <c r="J945" i="2"/>
  <c r="L945" i="2" s="1"/>
  <c r="K945" i="2"/>
  <c r="J1083" i="2"/>
  <c r="L1083" i="2" s="1"/>
  <c r="K1083" i="2"/>
  <c r="J1231" i="2"/>
  <c r="L1231" i="2" s="1"/>
  <c r="K1231" i="2"/>
  <c r="J1373" i="2"/>
  <c r="L1373" i="2" s="1"/>
  <c r="K1373" i="2"/>
  <c r="J1505" i="2"/>
  <c r="L1505" i="2" s="1"/>
  <c r="K1505" i="2"/>
  <c r="J1649" i="2"/>
  <c r="L1649" i="2" s="1"/>
  <c r="K1649" i="2"/>
  <c r="J524" i="2"/>
  <c r="L524" i="2" s="1"/>
  <c r="K524" i="2"/>
  <c r="J1840" i="2"/>
  <c r="L1840" i="2" s="1"/>
  <c r="K1840" i="2"/>
  <c r="J452" i="2"/>
  <c r="L452" i="2" s="1"/>
  <c r="K452" i="2"/>
  <c r="J582" i="2"/>
  <c r="L582" i="2" s="1"/>
  <c r="K582" i="2"/>
  <c r="J721" i="2"/>
  <c r="L721" i="2" s="1"/>
  <c r="K721" i="2"/>
  <c r="J862" i="2"/>
  <c r="L862" i="2" s="1"/>
  <c r="K862" i="2"/>
  <c r="J1006" i="2"/>
  <c r="L1006" i="2" s="1"/>
  <c r="K1006" i="2"/>
  <c r="J1153" i="2"/>
  <c r="L1153" i="2" s="1"/>
  <c r="K1153" i="2"/>
  <c r="J1290" i="2"/>
  <c r="L1290" i="2" s="1"/>
  <c r="K1290" i="2"/>
  <c r="J1434" i="2"/>
  <c r="L1434" i="2" s="1"/>
  <c r="K1434" i="2"/>
  <c r="J1650" i="2"/>
  <c r="L1650" i="2" s="1"/>
  <c r="K1650" i="2"/>
  <c r="J536" i="2"/>
  <c r="L536" i="2" s="1"/>
  <c r="K536" i="2"/>
  <c r="J1544" i="2"/>
  <c r="L1544" i="2" s="1"/>
  <c r="K1544" i="2"/>
  <c r="J475" i="2"/>
  <c r="L475" i="2" s="1"/>
  <c r="K475" i="2"/>
  <c r="J607" i="2"/>
  <c r="L607" i="2" s="1"/>
  <c r="K607" i="2"/>
  <c r="J746" i="2"/>
  <c r="L746" i="2" s="1"/>
  <c r="K746" i="2"/>
  <c r="J899" i="2"/>
  <c r="L899" i="2" s="1"/>
  <c r="K899" i="2"/>
  <c r="J1279" i="2"/>
  <c r="L1279" i="2" s="1"/>
  <c r="K1279" i="2"/>
  <c r="J1435" i="2"/>
  <c r="L1435" i="2" s="1"/>
  <c r="K1435" i="2"/>
  <c r="J1579" i="2"/>
  <c r="L1579" i="2" s="1"/>
  <c r="K1579" i="2"/>
  <c r="J1719" i="2"/>
  <c r="L1719" i="2" s="1"/>
  <c r="K1719" i="2"/>
  <c r="J1851" i="2"/>
  <c r="L1851" i="2" s="1"/>
  <c r="K1851" i="2"/>
  <c r="J1987" i="2"/>
  <c r="L1987" i="2" s="1"/>
  <c r="K1987" i="2"/>
  <c r="J1028" i="2"/>
  <c r="L1028" i="2" s="1"/>
  <c r="K1028" i="2"/>
  <c r="J22" i="2"/>
  <c r="L22" i="2" s="1"/>
  <c r="K22" i="2"/>
  <c r="J11" i="2"/>
  <c r="L11" i="2" s="1"/>
  <c r="K11" i="2"/>
  <c r="J229" i="2"/>
  <c r="L229" i="2" s="1"/>
  <c r="K229" i="2"/>
  <c r="J1187" i="2"/>
  <c r="L1187" i="2" s="1"/>
  <c r="K1187" i="2"/>
  <c r="J725" i="2"/>
  <c r="L725" i="2" s="1"/>
  <c r="K725" i="2"/>
  <c r="J1343" i="2"/>
  <c r="L1343" i="2" s="1"/>
  <c r="K1343" i="2"/>
  <c r="J224" i="2"/>
  <c r="L224" i="2" s="1"/>
  <c r="K224" i="2"/>
  <c r="J1901" i="2"/>
  <c r="L1901" i="2" s="1"/>
  <c r="K1901" i="2"/>
  <c r="J1923" i="2"/>
  <c r="L1923" i="2" s="1"/>
  <c r="K1923" i="2"/>
  <c r="J1334" i="2"/>
  <c r="L1334" i="2" s="1"/>
  <c r="K1334" i="2"/>
  <c r="J1217" i="2"/>
  <c r="L1217" i="2" s="1"/>
  <c r="K1217" i="2"/>
  <c r="J1368" i="2"/>
  <c r="L1368" i="2" s="1"/>
  <c r="K1368" i="2"/>
  <c r="J1800" i="2"/>
  <c r="L1800" i="2" s="1"/>
  <c r="K1800" i="2"/>
  <c r="J720" i="2"/>
  <c r="L720" i="2" s="1"/>
  <c r="K720" i="2"/>
  <c r="J1433" i="2"/>
  <c r="L1433" i="2" s="1"/>
  <c r="K1433" i="2"/>
  <c r="J922" i="2"/>
  <c r="L922" i="2" s="1"/>
  <c r="K922" i="2"/>
  <c r="J2014" i="2"/>
  <c r="L2014" i="2" s="1"/>
  <c r="K2014" i="2"/>
  <c r="J806" i="2"/>
  <c r="L806" i="2" s="1"/>
  <c r="K806" i="2"/>
  <c r="J1339" i="2"/>
  <c r="L1339" i="2" s="1"/>
  <c r="K1339" i="2"/>
  <c r="J1495" i="2"/>
  <c r="L1495" i="2" s="1"/>
  <c r="K1495" i="2"/>
  <c r="J23" i="2"/>
  <c r="L23" i="2" s="1"/>
  <c r="K23" i="2"/>
  <c r="J15" i="2"/>
  <c r="L15" i="2" s="1"/>
  <c r="K15" i="2"/>
  <c r="J1063" i="2"/>
  <c r="L1063" i="2" s="1"/>
  <c r="K1063" i="2"/>
  <c r="J1522" i="2"/>
  <c r="L1522" i="2" s="1"/>
  <c r="K1522" i="2"/>
  <c r="J329" i="2"/>
  <c r="L329" i="2" s="1"/>
  <c r="K329" i="2"/>
  <c r="J1595" i="2"/>
  <c r="L1595" i="2" s="1"/>
  <c r="K1595" i="2"/>
  <c r="J516" i="2"/>
  <c r="L516" i="2" s="1"/>
  <c r="K516" i="2"/>
  <c r="J1537" i="2"/>
  <c r="L1537" i="2" s="1"/>
  <c r="K1537" i="2"/>
  <c r="J1068" i="2"/>
  <c r="L1068" i="2" s="1"/>
  <c r="K1068" i="2"/>
  <c r="J1503" i="2"/>
  <c r="L1503" i="2" s="1"/>
  <c r="K1503" i="2"/>
  <c r="J793" i="2"/>
  <c r="L793" i="2" s="1"/>
  <c r="K793" i="2"/>
  <c r="J238" i="2"/>
  <c r="L238" i="2" s="1"/>
  <c r="K238" i="2"/>
  <c r="J211" i="2"/>
  <c r="L211" i="2" s="1"/>
  <c r="K211" i="2"/>
  <c r="J667" i="2"/>
  <c r="L667" i="2" s="1"/>
  <c r="K667" i="2"/>
  <c r="J1805" i="2"/>
  <c r="L1805" i="2" s="1"/>
  <c r="K1805" i="2"/>
  <c r="J1054" i="2"/>
  <c r="L1054" i="2" s="1"/>
  <c r="K1054" i="2"/>
  <c r="J80" i="2"/>
  <c r="L80" i="2" s="1"/>
  <c r="K80" i="2"/>
  <c r="J891" i="2"/>
  <c r="L891" i="2" s="1"/>
  <c r="K891" i="2"/>
  <c r="J129" i="2"/>
  <c r="L129" i="2" s="1"/>
  <c r="K129" i="2"/>
  <c r="J811" i="2"/>
  <c r="L811" i="2" s="1"/>
  <c r="K811" i="2"/>
  <c r="J683" i="2"/>
  <c r="L683" i="2" s="1"/>
  <c r="K683" i="2"/>
  <c r="J1381" i="2"/>
  <c r="L1381" i="2" s="1"/>
  <c r="K1381" i="2"/>
  <c r="J723" i="2"/>
  <c r="L723" i="2" s="1"/>
  <c r="K723" i="2"/>
  <c r="J684" i="2"/>
  <c r="L684" i="2" s="1"/>
  <c r="K684" i="2"/>
  <c r="J1370" i="2"/>
  <c r="L1370" i="2" s="1"/>
  <c r="K1370" i="2"/>
  <c r="J495" i="2"/>
  <c r="L495" i="2" s="1"/>
  <c r="K495" i="2"/>
  <c r="J1105" i="2"/>
  <c r="L1105" i="2" s="1"/>
  <c r="K1105" i="2"/>
  <c r="J1669" i="2"/>
  <c r="L1669" i="2" s="1"/>
  <c r="K1669" i="2"/>
  <c r="J662" i="2"/>
  <c r="L662" i="2" s="1"/>
  <c r="K662" i="2"/>
  <c r="J1276" i="2"/>
  <c r="L1276" i="2" s="1"/>
  <c r="K1276" i="2"/>
  <c r="J1836" i="2"/>
  <c r="L1836" i="2" s="1"/>
  <c r="K1836" i="2"/>
  <c r="J756" i="2"/>
  <c r="L756" i="2" s="1"/>
  <c r="K756" i="2"/>
  <c r="J897" i="2"/>
  <c r="L897" i="2" s="1"/>
  <c r="K897" i="2"/>
  <c r="J1601" i="2"/>
  <c r="L1601" i="2" s="1"/>
  <c r="K1601" i="2"/>
  <c r="J534" i="2"/>
  <c r="L534" i="2" s="1"/>
  <c r="K534" i="2"/>
  <c r="J958" i="2"/>
  <c r="L958" i="2" s="1"/>
  <c r="K958" i="2"/>
  <c r="J1578" i="2"/>
  <c r="L1578" i="2" s="1"/>
  <c r="K1578" i="2"/>
  <c r="J429" i="2"/>
  <c r="L429" i="2" s="1"/>
  <c r="K429" i="2"/>
  <c r="J983" i="2"/>
  <c r="L983" i="2" s="1"/>
  <c r="K983" i="2"/>
  <c r="J1673" i="2"/>
  <c r="L1673" i="2" s="1"/>
  <c r="K1673" i="2"/>
  <c r="J118" i="2"/>
  <c r="L118" i="2" s="1"/>
  <c r="K118" i="2"/>
  <c r="J261" i="2"/>
  <c r="L261" i="2" s="1"/>
  <c r="K261" i="2"/>
  <c r="J399" i="2"/>
  <c r="L399" i="2" s="1"/>
  <c r="K399" i="2"/>
  <c r="J541" i="2"/>
  <c r="L541" i="2" s="1"/>
  <c r="K541" i="2"/>
  <c r="J310" i="2"/>
  <c r="L310" i="2" s="1"/>
  <c r="K310" i="2"/>
  <c r="J482" i="2"/>
  <c r="L482" i="2" s="1"/>
  <c r="K482" i="2"/>
  <c r="J120" i="2"/>
  <c r="L120" i="2" s="1"/>
  <c r="K120" i="2"/>
  <c r="J311" i="2"/>
  <c r="L311" i="2" s="1"/>
  <c r="K311" i="2"/>
  <c r="J196" i="2"/>
  <c r="L196" i="2" s="1"/>
  <c r="K196" i="2"/>
  <c r="J390" i="2"/>
  <c r="L390" i="2" s="1"/>
  <c r="K390" i="2"/>
  <c r="J50" i="2"/>
  <c r="L50" i="2" s="1"/>
  <c r="K50" i="2"/>
  <c r="J185" i="2"/>
  <c r="L185" i="2" s="1"/>
  <c r="K185" i="2"/>
  <c r="J323" i="2"/>
  <c r="L323" i="2" s="1"/>
  <c r="K323" i="2"/>
  <c r="J99" i="2"/>
  <c r="L99" i="2" s="1"/>
  <c r="K99" i="2"/>
  <c r="J230" i="2"/>
  <c r="L230" i="2" s="1"/>
  <c r="K230" i="2"/>
  <c r="J124" i="2"/>
  <c r="L124" i="2" s="1"/>
  <c r="K124" i="2"/>
  <c r="J267" i="2"/>
  <c r="L267" i="2" s="1"/>
  <c r="K267" i="2"/>
  <c r="J31" i="2"/>
  <c r="L31" i="2" s="1"/>
  <c r="K31" i="2"/>
  <c r="J178" i="2"/>
  <c r="L178" i="2" s="1"/>
  <c r="K178" i="2"/>
  <c r="J328" i="2"/>
  <c r="L328" i="2" s="1"/>
  <c r="K328" i="2"/>
  <c r="J30" i="2"/>
  <c r="L30" i="2" s="1"/>
  <c r="K30" i="2"/>
  <c r="J177" i="2"/>
  <c r="L177" i="2" s="1"/>
  <c r="K177" i="2"/>
  <c r="J317" i="2"/>
  <c r="L317" i="2" s="1"/>
  <c r="K317" i="2"/>
  <c r="J455" i="2"/>
  <c r="L455" i="2" s="1"/>
  <c r="K455" i="2"/>
  <c r="J585" i="2"/>
  <c r="L585" i="2" s="1"/>
  <c r="K585" i="2"/>
  <c r="J724" i="2"/>
  <c r="L724" i="2" s="1"/>
  <c r="K724" i="2"/>
  <c r="J877" i="2"/>
  <c r="L877" i="2" s="1"/>
  <c r="K877" i="2"/>
  <c r="J997" i="2"/>
  <c r="L997" i="2" s="1"/>
  <c r="K997" i="2"/>
  <c r="J1144" i="2"/>
  <c r="L1144" i="2" s="1"/>
  <c r="K1144" i="2"/>
  <c r="J1281" i="2"/>
  <c r="L1281" i="2" s="1"/>
  <c r="K1281" i="2"/>
  <c r="J1425" i="2"/>
  <c r="L1425" i="2" s="1"/>
  <c r="K1425" i="2"/>
  <c r="J1557" i="2"/>
  <c r="L1557" i="2" s="1"/>
  <c r="K1557" i="2"/>
  <c r="J1721" i="2"/>
  <c r="L1721" i="2" s="1"/>
  <c r="K1721" i="2"/>
  <c r="J1862" i="2"/>
  <c r="L1862" i="2" s="1"/>
  <c r="K1862" i="2"/>
  <c r="J396" i="2"/>
  <c r="L396" i="2" s="1"/>
  <c r="K396" i="2"/>
  <c r="J538" i="2"/>
  <c r="L538" i="2" s="1"/>
  <c r="K538" i="2"/>
  <c r="J680" i="2"/>
  <c r="L680" i="2" s="1"/>
  <c r="K680" i="2"/>
  <c r="J821" i="2"/>
  <c r="L821" i="2" s="1"/>
  <c r="K821" i="2"/>
  <c r="J962" i="2"/>
  <c r="L962" i="2" s="1"/>
  <c r="K962" i="2"/>
  <c r="J1112" i="2"/>
  <c r="L1112" i="2" s="1"/>
  <c r="K1112" i="2"/>
  <c r="J1246" i="2"/>
  <c r="L1246" i="2" s="1"/>
  <c r="K1246" i="2"/>
  <c r="J1390" i="2"/>
  <c r="L1390" i="2" s="1"/>
  <c r="K1390" i="2"/>
  <c r="J1698" i="2"/>
  <c r="L1698" i="2" s="1"/>
  <c r="K1698" i="2"/>
  <c r="J1842" i="2"/>
  <c r="L1842" i="2" s="1"/>
  <c r="K1842" i="2"/>
  <c r="J1995" i="2"/>
  <c r="L1995" i="2" s="1"/>
  <c r="K1995" i="2"/>
  <c r="J1890" i="2"/>
  <c r="L1890" i="2" s="1"/>
  <c r="K1890" i="2"/>
  <c r="J136" i="2"/>
  <c r="L136" i="2" s="1"/>
  <c r="K136" i="2"/>
  <c r="J271" i="2"/>
  <c r="L271" i="2" s="1"/>
  <c r="K271" i="2"/>
  <c r="J409" i="2"/>
  <c r="L409" i="2" s="1"/>
  <c r="J539" i="2"/>
  <c r="L539" i="2" s="1"/>
  <c r="K539" i="2"/>
  <c r="J681" i="2"/>
  <c r="L681" i="2" s="1"/>
  <c r="K681" i="2"/>
  <c r="J810" i="2"/>
  <c r="L810" i="2" s="1"/>
  <c r="K810" i="2"/>
  <c r="J951" i="2"/>
  <c r="L951" i="2" s="1"/>
  <c r="K951" i="2"/>
  <c r="J1247" i="2"/>
  <c r="L1247" i="2" s="1"/>
  <c r="K1247" i="2"/>
  <c r="J1499" i="2"/>
  <c r="L1499" i="2" s="1"/>
  <c r="K1499" i="2"/>
  <c r="J1723" i="2"/>
  <c r="L1723" i="2" s="1"/>
  <c r="K1723" i="2"/>
  <c r="J1876" i="2"/>
  <c r="L1876" i="2" s="1"/>
  <c r="K1876" i="2"/>
  <c r="J2007" i="2"/>
  <c r="L2007" i="2" s="1"/>
  <c r="K2007" i="2"/>
  <c r="J45" i="2"/>
  <c r="L45" i="2" s="1"/>
  <c r="K45" i="2"/>
  <c r="J320" i="2"/>
  <c r="L320" i="2" s="1"/>
  <c r="K320" i="2"/>
  <c r="J458" i="2"/>
  <c r="L458" i="2" s="1"/>
  <c r="K458" i="2"/>
  <c r="J600" i="2"/>
  <c r="L600" i="2" s="1"/>
  <c r="K600" i="2"/>
  <c r="J739" i="2"/>
  <c r="L739" i="2" s="1"/>
  <c r="K739" i="2"/>
  <c r="J868" i="2"/>
  <c r="L868" i="2" s="1"/>
  <c r="K868" i="2"/>
  <c r="J1032" i="2"/>
  <c r="L1032" i="2" s="1"/>
  <c r="K1032" i="2"/>
  <c r="J1344" i="2"/>
  <c r="L1344" i="2" s="1"/>
  <c r="K1344" i="2"/>
  <c r="J1524" i="2"/>
  <c r="L1524" i="2" s="1"/>
  <c r="K1524" i="2"/>
  <c r="J1678" i="2"/>
  <c r="L1678" i="2" s="1"/>
  <c r="K1678" i="2"/>
  <c r="J1844" i="2"/>
  <c r="L1844" i="2" s="1"/>
  <c r="K1844" i="2"/>
  <c r="J2008" i="2"/>
  <c r="L2008" i="2" s="1"/>
  <c r="K2008" i="2"/>
  <c r="J601" i="2"/>
  <c r="L601" i="2" s="1"/>
  <c r="K601" i="2"/>
  <c r="J740" i="2"/>
  <c r="L740" i="2" s="1"/>
  <c r="K740" i="2"/>
  <c r="J881" i="2"/>
  <c r="L881" i="2" s="1"/>
  <c r="K881" i="2"/>
  <c r="J1021" i="2"/>
  <c r="L1021" i="2" s="1"/>
  <c r="K1021" i="2"/>
  <c r="J1169" i="2"/>
  <c r="L1169" i="2" s="1"/>
  <c r="K1169" i="2"/>
  <c r="J1309" i="2"/>
  <c r="L1309" i="2" s="1"/>
  <c r="K1309" i="2"/>
  <c r="J1453" i="2"/>
  <c r="L1453" i="2" s="1"/>
  <c r="K1453" i="2"/>
  <c r="J1667" i="2"/>
  <c r="L1667" i="2" s="1"/>
  <c r="K1667" i="2"/>
  <c r="J1821" i="2"/>
  <c r="L1821" i="2" s="1"/>
  <c r="K1821" i="2"/>
  <c r="J65" i="2"/>
  <c r="L65" i="2" s="1"/>
  <c r="K65" i="2"/>
  <c r="J1155" i="2"/>
  <c r="L1155" i="2" s="1"/>
  <c r="K1155" i="2"/>
  <c r="J614" i="2"/>
  <c r="L614" i="2" s="1"/>
  <c r="K614" i="2"/>
  <c r="J741" i="2"/>
  <c r="L741" i="2" s="1"/>
  <c r="K741" i="2"/>
  <c r="J858" i="2"/>
  <c r="L858" i="2" s="1"/>
  <c r="K858" i="2"/>
  <c r="J1014" i="2"/>
  <c r="L1014" i="2" s="1"/>
  <c r="K1014" i="2"/>
  <c r="J1149" i="2"/>
  <c r="L1149" i="2" s="1"/>
  <c r="K1149" i="2"/>
  <c r="J1286" i="2"/>
  <c r="L1286" i="2" s="1"/>
  <c r="K1286" i="2"/>
  <c r="J1430" i="2"/>
  <c r="L1430" i="2" s="1"/>
  <c r="K1430" i="2"/>
  <c r="J326" i="2"/>
  <c r="L326" i="2" s="1"/>
  <c r="K326" i="2"/>
  <c r="J1424" i="2"/>
  <c r="L1424" i="2" s="1"/>
  <c r="K1424" i="2"/>
  <c r="J579" i="2"/>
  <c r="L579" i="2" s="1"/>
  <c r="K579" i="2"/>
  <c r="J754" i="2"/>
  <c r="L754" i="2" s="1"/>
  <c r="J871" i="2"/>
  <c r="L871" i="2" s="1"/>
  <c r="J1023" i="2"/>
  <c r="L1023" i="2" s="1"/>
  <c r="K1023" i="2"/>
  <c r="J1159" i="2"/>
  <c r="L1159" i="2" s="1"/>
  <c r="K1159" i="2"/>
  <c r="J1311" i="2"/>
  <c r="L1311" i="2" s="1"/>
  <c r="J1443" i="2"/>
  <c r="L1443" i="2" s="1"/>
  <c r="K1443" i="2"/>
  <c r="J1587" i="2"/>
  <c r="L1587" i="2" s="1"/>
  <c r="K1587" i="2"/>
  <c r="J125" i="2"/>
  <c r="L125" i="2" s="1"/>
  <c r="K125" i="2"/>
  <c r="J1119" i="2"/>
  <c r="L1119" i="2" s="1"/>
  <c r="K1119" i="2"/>
  <c r="J568" i="2"/>
  <c r="L568" i="2" s="1"/>
  <c r="K568" i="2"/>
  <c r="J755" i="2"/>
  <c r="L755" i="2" s="1"/>
  <c r="K755" i="2"/>
  <c r="J908" i="2"/>
  <c r="L908" i="2" s="1"/>
  <c r="K908" i="2"/>
  <c r="J1048" i="2"/>
  <c r="L1048" i="2" s="1"/>
  <c r="K1048" i="2"/>
  <c r="J1194" i="2"/>
  <c r="L1194" i="2" s="1"/>
  <c r="K1194" i="2"/>
  <c r="J1336" i="2"/>
  <c r="L1336" i="2" s="1"/>
  <c r="K1336" i="2"/>
  <c r="J1468" i="2"/>
  <c r="L1468" i="2" s="1"/>
  <c r="K1468" i="2"/>
  <c r="J1600" i="2"/>
  <c r="L1600" i="2" s="1"/>
  <c r="K1600" i="2"/>
  <c r="J1752" i="2"/>
  <c r="L1752" i="2" s="1"/>
  <c r="K1752" i="2"/>
  <c r="J1893" i="2"/>
  <c r="L1893" i="2" s="1"/>
  <c r="K1893" i="2"/>
  <c r="J2022" i="2"/>
  <c r="L2022" i="2" s="1"/>
  <c r="K2022" i="2"/>
  <c r="J759" i="2"/>
  <c r="L759" i="2" s="1"/>
  <c r="K759" i="2"/>
  <c r="J1852" i="2"/>
  <c r="L1852" i="2" s="1"/>
  <c r="K1852" i="2"/>
  <c r="J367" i="2"/>
  <c r="L367" i="2" s="1"/>
  <c r="K367" i="2"/>
  <c r="J521" i="2"/>
  <c r="L521" i="2" s="1"/>
  <c r="K521" i="2"/>
  <c r="J663" i="2"/>
  <c r="L663" i="2" s="1"/>
  <c r="K663" i="2"/>
  <c r="J816" i="2"/>
  <c r="L816" i="2" s="1"/>
  <c r="K816" i="2"/>
  <c r="J957" i="2"/>
  <c r="L957" i="2" s="1"/>
  <c r="K957" i="2"/>
  <c r="J1095" i="2"/>
  <c r="L1095" i="2" s="1"/>
  <c r="K1095" i="2"/>
  <c r="J1243" i="2"/>
  <c r="L1243" i="2" s="1"/>
  <c r="K1243" i="2"/>
  <c r="J1385" i="2"/>
  <c r="L1385" i="2" s="1"/>
  <c r="K1385" i="2"/>
  <c r="J1517" i="2"/>
  <c r="L1517" i="2" s="1"/>
  <c r="K1517" i="2"/>
  <c r="J1659" i="2"/>
  <c r="L1659" i="2" s="1"/>
  <c r="K1659" i="2"/>
  <c r="J608" i="2"/>
  <c r="L608" i="2" s="1"/>
  <c r="K608" i="2"/>
  <c r="J1930" i="2"/>
  <c r="L1930" i="2" s="1"/>
  <c r="K1930" i="2"/>
  <c r="J462" i="2"/>
  <c r="L462" i="2" s="1"/>
  <c r="J594" i="2"/>
  <c r="L594" i="2" s="1"/>
  <c r="K594" i="2"/>
  <c r="J733" i="2"/>
  <c r="L733" i="2" s="1"/>
  <c r="K733" i="2"/>
  <c r="J874" i="2"/>
  <c r="L874" i="2" s="1"/>
  <c r="K874" i="2"/>
  <c r="J1018" i="2"/>
  <c r="L1018" i="2" s="1"/>
  <c r="K1018" i="2"/>
  <c r="J1162" i="2"/>
  <c r="L1162" i="2" s="1"/>
  <c r="K1162" i="2"/>
  <c r="J1302" i="2"/>
  <c r="L1302" i="2" s="1"/>
  <c r="K1302" i="2"/>
  <c r="J1446" i="2"/>
  <c r="L1446" i="2" s="1"/>
  <c r="K1446" i="2"/>
  <c r="J1660" i="2"/>
  <c r="L1660" i="2" s="1"/>
  <c r="K1660" i="2"/>
  <c r="J632" i="2"/>
  <c r="L632" i="2" s="1"/>
  <c r="K632" i="2"/>
  <c r="J1616" i="2"/>
  <c r="L1616" i="2" s="1"/>
  <c r="K1616" i="2"/>
  <c r="J1700" i="2"/>
  <c r="L1700" i="2" s="1"/>
  <c r="K1700" i="2"/>
  <c r="J487" i="2"/>
  <c r="L487" i="2" s="1"/>
  <c r="K487" i="2"/>
  <c r="J619" i="2"/>
  <c r="L619" i="2" s="1"/>
  <c r="K619" i="2"/>
  <c r="J758" i="2"/>
  <c r="L758" i="2" s="1"/>
  <c r="K758" i="2"/>
  <c r="J911" i="2"/>
  <c r="L911" i="2" s="1"/>
  <c r="K911" i="2"/>
  <c r="J1163" i="2"/>
  <c r="L1163" i="2" s="1"/>
  <c r="J1291" i="2"/>
  <c r="L1291" i="2" s="1"/>
  <c r="K1291" i="2"/>
  <c r="J1447" i="2"/>
  <c r="L1447" i="2" s="1"/>
  <c r="K1447" i="2"/>
  <c r="J1591" i="2"/>
  <c r="L1591" i="2" s="1"/>
  <c r="K1591" i="2"/>
  <c r="J1731" i="2"/>
  <c r="L1731" i="2" s="1"/>
  <c r="K1731" i="2"/>
  <c r="J1860" i="2"/>
  <c r="L1860" i="2" s="1"/>
  <c r="K1860" i="2"/>
  <c r="J1994" i="2"/>
  <c r="L1994" i="2" s="1"/>
  <c r="K1994" i="2"/>
  <c r="J1086" i="2"/>
  <c r="L1086" i="2" s="1"/>
  <c r="K1086" i="2"/>
  <c r="J447" i="2"/>
  <c r="L447" i="2" s="1"/>
  <c r="K447" i="2"/>
  <c r="J3" i="2"/>
  <c r="L3" i="2" s="1"/>
  <c r="K3" i="2"/>
  <c r="J1053" i="2"/>
  <c r="L1053" i="2" s="1"/>
  <c r="K1053" i="2"/>
  <c r="J444" i="2"/>
  <c r="L444" i="2" s="1"/>
  <c r="K444" i="2"/>
  <c r="J1746" i="2"/>
  <c r="L1746" i="2" s="1"/>
  <c r="K1746" i="2"/>
  <c r="J714" i="2"/>
  <c r="L714" i="2" s="1"/>
  <c r="K714" i="2"/>
  <c r="J93" i="2"/>
  <c r="L93" i="2" s="1"/>
  <c r="K93" i="2"/>
  <c r="J1572" i="2"/>
  <c r="L1572" i="2" s="1"/>
  <c r="K1572" i="2"/>
  <c r="J1215" i="2"/>
  <c r="L1215" i="2" s="1"/>
  <c r="K1215" i="2"/>
  <c r="J650" i="2"/>
  <c r="L650" i="2" s="1"/>
  <c r="K650" i="2"/>
  <c r="J1574" i="2"/>
  <c r="L1574" i="2" s="1"/>
  <c r="K1574" i="2"/>
  <c r="J1347" i="2"/>
  <c r="L1347" i="2" s="1"/>
  <c r="K1347" i="2"/>
  <c r="J956" i="2"/>
  <c r="L956" i="2" s="1"/>
  <c r="K956" i="2"/>
  <c r="J1948" i="2"/>
  <c r="L1948" i="2" s="1"/>
  <c r="K1948" i="2"/>
  <c r="J1005" i="2"/>
  <c r="L1005" i="2" s="1"/>
  <c r="K1005" i="2"/>
  <c r="J498" i="2"/>
  <c r="L498" i="2" s="1"/>
  <c r="K498" i="2"/>
  <c r="J1518" i="2"/>
  <c r="L1518" i="2" s="1"/>
  <c r="K1518" i="2"/>
  <c r="J1073" i="2"/>
  <c r="L1073" i="2" s="1"/>
  <c r="K1073" i="2"/>
  <c r="J12" i="2"/>
  <c r="L12" i="2" s="1"/>
  <c r="K12" i="2"/>
  <c r="J241" i="2"/>
  <c r="L241" i="2" s="1"/>
  <c r="K241" i="2"/>
  <c r="J90" i="2"/>
  <c r="L90" i="2" s="1"/>
  <c r="K90" i="2"/>
  <c r="J1919" i="2"/>
  <c r="L1919" i="2" s="1"/>
  <c r="K1919" i="2"/>
  <c r="J599" i="2"/>
  <c r="L599" i="2" s="1"/>
  <c r="K599" i="2"/>
  <c r="J795" i="2"/>
  <c r="L795" i="2" s="1"/>
  <c r="K795" i="2"/>
  <c r="J339" i="2"/>
  <c r="L339" i="2" s="1"/>
  <c r="K339" i="2"/>
  <c r="J425" i="2"/>
  <c r="L425" i="2" s="1"/>
  <c r="K425" i="2"/>
  <c r="J265" i="2"/>
  <c r="L265" i="2" s="1"/>
  <c r="K265" i="2"/>
  <c r="J270" i="2"/>
  <c r="L270" i="2" s="1"/>
  <c r="K270" i="2"/>
  <c r="J949" i="2"/>
  <c r="L949" i="2" s="1"/>
  <c r="K949" i="2"/>
  <c r="J478" i="2"/>
  <c r="L478" i="2" s="1"/>
  <c r="K478" i="2"/>
  <c r="J540" i="2"/>
  <c r="L540" i="2" s="1"/>
  <c r="K540" i="2"/>
  <c r="J496" i="2"/>
  <c r="L496" i="2" s="1"/>
  <c r="K496" i="2"/>
  <c r="J130" i="2"/>
  <c r="L130" i="2" s="1"/>
  <c r="K130" i="2"/>
  <c r="J273" i="2"/>
  <c r="L273" i="2" s="1"/>
  <c r="K273" i="2"/>
  <c r="J411" i="2"/>
  <c r="L411" i="2" s="1"/>
  <c r="K411" i="2"/>
  <c r="J131" i="2"/>
  <c r="L131" i="2" s="1"/>
  <c r="K131" i="2"/>
  <c r="J494" i="2"/>
  <c r="L494" i="2" s="1"/>
  <c r="K494" i="2"/>
  <c r="J132" i="2"/>
  <c r="L132" i="2" s="1"/>
  <c r="K132" i="2"/>
  <c r="J333" i="2"/>
  <c r="L333" i="2" s="1"/>
  <c r="K333" i="2"/>
  <c r="J13" i="2"/>
  <c r="L13" i="2" s="1"/>
  <c r="K13" i="2"/>
  <c r="J208" i="2"/>
  <c r="L208" i="2" s="1"/>
  <c r="K208" i="2"/>
  <c r="J402" i="2"/>
  <c r="L402" i="2" s="1"/>
  <c r="K402" i="2"/>
  <c r="J62" i="2"/>
  <c r="L62" i="2" s="1"/>
  <c r="K62" i="2"/>
  <c r="J197" i="2"/>
  <c r="L197" i="2" s="1"/>
  <c r="K197" i="2"/>
  <c r="J343" i="2"/>
  <c r="L343" i="2" s="1"/>
  <c r="K343" i="2"/>
  <c r="J111" i="2"/>
  <c r="L111" i="2" s="1"/>
  <c r="K111" i="2"/>
  <c r="J242" i="2"/>
  <c r="L242" i="2" s="1"/>
  <c r="K242" i="2"/>
  <c r="J144" i="2"/>
  <c r="L144" i="2" s="1"/>
  <c r="K144" i="2"/>
  <c r="J279" i="2"/>
  <c r="L279" i="2" s="1"/>
  <c r="K279" i="2"/>
  <c r="J43" i="2"/>
  <c r="L43" i="2" s="1"/>
  <c r="K43" i="2"/>
  <c r="J190" i="2"/>
  <c r="L190" i="2" s="1"/>
  <c r="K190" i="2"/>
  <c r="J336" i="2"/>
  <c r="L336" i="2" s="1"/>
  <c r="K336" i="2"/>
  <c r="J42" i="2"/>
  <c r="L42" i="2" s="1"/>
  <c r="K42" i="2"/>
  <c r="J189" i="2"/>
  <c r="L189" i="2" s="1"/>
  <c r="K189" i="2"/>
  <c r="J327" i="2"/>
  <c r="L327" i="2" s="1"/>
  <c r="K327" i="2"/>
  <c r="J465" i="2"/>
  <c r="L465" i="2" s="1"/>
  <c r="K465" i="2"/>
  <c r="J597" i="2"/>
  <c r="L597" i="2" s="1"/>
  <c r="K597" i="2"/>
  <c r="J736" i="2"/>
  <c r="L736" i="2" s="1"/>
  <c r="K736" i="2"/>
  <c r="J1009" i="2"/>
  <c r="L1009" i="2" s="1"/>
  <c r="K1009" i="2"/>
  <c r="J1156" i="2"/>
  <c r="L1156" i="2" s="1"/>
  <c r="K1156" i="2"/>
  <c r="J1293" i="2"/>
  <c r="L1293" i="2" s="1"/>
  <c r="K1293" i="2"/>
  <c r="J1437" i="2"/>
  <c r="L1437" i="2" s="1"/>
  <c r="K1437" i="2"/>
  <c r="J1569" i="2"/>
  <c r="L1569" i="2" s="1"/>
  <c r="K1569" i="2"/>
  <c r="J1733" i="2"/>
  <c r="L1733" i="2" s="1"/>
  <c r="K1733" i="2"/>
  <c r="J1874" i="2"/>
  <c r="L1874" i="2" s="1"/>
  <c r="K1874" i="2"/>
  <c r="J2015" i="2"/>
  <c r="L2015" i="2" s="1"/>
  <c r="K2015" i="2"/>
  <c r="J408" i="2"/>
  <c r="L408" i="2" s="1"/>
  <c r="K408" i="2"/>
  <c r="J550" i="2"/>
  <c r="L550" i="2" s="1"/>
  <c r="K550" i="2"/>
  <c r="J689" i="2"/>
  <c r="L689" i="2" s="1"/>
  <c r="K689" i="2"/>
  <c r="J830" i="2"/>
  <c r="L830" i="2" s="1"/>
  <c r="K830" i="2"/>
  <c r="J974" i="2"/>
  <c r="L974" i="2" s="1"/>
  <c r="K974" i="2"/>
  <c r="J1121" i="2"/>
  <c r="L1121" i="2" s="1"/>
  <c r="K1121" i="2"/>
  <c r="J1258" i="2"/>
  <c r="L1258" i="2" s="1"/>
  <c r="K1258" i="2"/>
  <c r="J1402" i="2"/>
  <c r="L1402" i="2" s="1"/>
  <c r="K1402" i="2"/>
  <c r="J1710" i="2"/>
  <c r="L1710" i="2" s="1"/>
  <c r="K1710" i="2"/>
  <c r="J1863" i="2"/>
  <c r="L1863" i="2" s="1"/>
  <c r="K1863" i="2"/>
  <c r="J8" i="2"/>
  <c r="L8" i="2" s="1"/>
  <c r="K8" i="2"/>
  <c r="J148" i="2"/>
  <c r="L148" i="2" s="1"/>
  <c r="K148" i="2"/>
  <c r="J283" i="2"/>
  <c r="L283" i="2" s="1"/>
  <c r="K283" i="2"/>
  <c r="J551" i="2"/>
  <c r="L551" i="2" s="1"/>
  <c r="K551" i="2"/>
  <c r="J822" i="2"/>
  <c r="L822" i="2" s="1"/>
  <c r="K822" i="2"/>
  <c r="J963" i="2"/>
  <c r="L963" i="2" s="1"/>
  <c r="K963" i="2"/>
  <c r="J1259" i="2"/>
  <c r="L1259" i="2" s="1"/>
  <c r="K1259" i="2"/>
  <c r="J1523" i="2"/>
  <c r="L1523" i="2" s="1"/>
  <c r="K1523" i="2"/>
  <c r="J1735" i="2"/>
  <c r="L1735" i="2" s="1"/>
  <c r="K1735" i="2"/>
  <c r="J1888" i="2"/>
  <c r="L1888" i="2" s="1"/>
  <c r="K1888" i="2"/>
  <c r="J2027" i="2"/>
  <c r="L2027" i="2" s="1"/>
  <c r="K2027" i="2"/>
  <c r="J57" i="2"/>
  <c r="L57" i="2" s="1"/>
  <c r="K57" i="2"/>
  <c r="J192" i="2"/>
  <c r="L192" i="2" s="1"/>
  <c r="K192" i="2"/>
  <c r="J330" i="2"/>
  <c r="L330" i="2" s="1"/>
  <c r="K330" i="2"/>
  <c r="J468" i="2"/>
  <c r="L468" i="2" s="1"/>
  <c r="K468" i="2"/>
  <c r="J612" i="2"/>
  <c r="L612" i="2" s="1"/>
  <c r="K612" i="2"/>
  <c r="J751" i="2"/>
  <c r="L751" i="2" s="1"/>
  <c r="K751" i="2"/>
  <c r="J880" i="2"/>
  <c r="L880" i="2" s="1"/>
  <c r="K880" i="2"/>
  <c r="J1066" i="2"/>
  <c r="L1066" i="2" s="1"/>
  <c r="K1066" i="2"/>
  <c r="J1356" i="2"/>
  <c r="L1356" i="2" s="1"/>
  <c r="K1356" i="2"/>
  <c r="J1536" i="2"/>
  <c r="L1536" i="2" s="1"/>
  <c r="K1536" i="2"/>
  <c r="J1712" i="2"/>
  <c r="L1712" i="2" s="1"/>
  <c r="K1712" i="2"/>
  <c r="J1865" i="2"/>
  <c r="L1865" i="2" s="1"/>
  <c r="K1865" i="2"/>
  <c r="J613" i="2"/>
  <c r="L613" i="2" s="1"/>
  <c r="K613" i="2"/>
  <c r="J752" i="2"/>
  <c r="L752" i="2" s="1"/>
  <c r="K752" i="2"/>
  <c r="J893" i="2"/>
  <c r="L893" i="2" s="1"/>
  <c r="K893" i="2"/>
  <c r="J1033" i="2"/>
  <c r="L1033" i="2" s="1"/>
  <c r="K1033" i="2"/>
  <c r="J1181" i="2"/>
  <c r="L1181" i="2" s="1"/>
  <c r="K1181" i="2"/>
  <c r="J1321" i="2"/>
  <c r="L1321" i="2" s="1"/>
  <c r="K1321" i="2"/>
  <c r="J1465" i="2"/>
  <c r="L1465" i="2" s="1"/>
  <c r="K1465" i="2"/>
  <c r="J1679" i="2"/>
  <c r="L1679" i="2" s="1"/>
  <c r="K1679" i="2"/>
  <c r="J1833" i="2"/>
  <c r="L1833" i="2" s="1"/>
  <c r="K1833" i="2"/>
  <c r="J256" i="2"/>
  <c r="L256" i="2" s="1"/>
  <c r="K256" i="2"/>
  <c r="J1234" i="2"/>
  <c r="L1234" i="2" s="1"/>
  <c r="K1234" i="2"/>
  <c r="J753" i="2"/>
  <c r="L753" i="2" s="1"/>
  <c r="K753" i="2"/>
  <c r="J870" i="2"/>
  <c r="L870" i="2" s="1"/>
  <c r="K870" i="2"/>
  <c r="J1022" i="2"/>
  <c r="L1022" i="2" s="1"/>
  <c r="K1022" i="2"/>
  <c r="J1158" i="2"/>
  <c r="L1158" i="2" s="1"/>
  <c r="K1158" i="2"/>
  <c r="J1298" i="2"/>
  <c r="L1298" i="2" s="1"/>
  <c r="K1298" i="2"/>
  <c r="J1466" i="2"/>
  <c r="L1466" i="2" s="1"/>
  <c r="K1466" i="2"/>
  <c r="J406" i="2"/>
  <c r="L406" i="2" s="1"/>
  <c r="K406" i="2"/>
  <c r="J1520" i="2"/>
  <c r="L1520" i="2" s="1"/>
  <c r="K1520" i="2"/>
  <c r="J591" i="2"/>
  <c r="L591" i="2" s="1"/>
  <c r="K591" i="2"/>
  <c r="J1035" i="2"/>
  <c r="L1035" i="2" s="1"/>
  <c r="K1035" i="2"/>
  <c r="J1171" i="2"/>
  <c r="L1171" i="2" s="1"/>
  <c r="K1171" i="2"/>
  <c r="J1455" i="2"/>
  <c r="L1455" i="2" s="1"/>
  <c r="K1455" i="2"/>
  <c r="J1599" i="2"/>
  <c r="L1599" i="2" s="1"/>
  <c r="K1599" i="2"/>
  <c r="J200" i="2"/>
  <c r="L200" i="2" s="1"/>
  <c r="K200" i="2"/>
  <c r="J1198" i="2"/>
  <c r="L1198" i="2" s="1"/>
  <c r="K1198" i="2"/>
  <c r="J580" i="2"/>
  <c r="L580" i="2" s="1"/>
  <c r="K580" i="2"/>
  <c r="J767" i="2"/>
  <c r="L767" i="2" s="1"/>
  <c r="K767" i="2"/>
  <c r="J920" i="2"/>
  <c r="L920" i="2" s="1"/>
  <c r="K920" i="2"/>
  <c r="J1058" i="2"/>
  <c r="L1058" i="2" s="1"/>
  <c r="K1058" i="2"/>
  <c r="J1206" i="2"/>
  <c r="L1206" i="2" s="1"/>
  <c r="K1206" i="2"/>
  <c r="J1348" i="2"/>
  <c r="L1348" i="2" s="1"/>
  <c r="K1348" i="2"/>
  <c r="J1480" i="2"/>
  <c r="L1480" i="2" s="1"/>
  <c r="K1480" i="2"/>
  <c r="J1612" i="2"/>
  <c r="L1612" i="2" s="1"/>
  <c r="K1612" i="2"/>
  <c r="J1764" i="2"/>
  <c r="L1764" i="2" s="1"/>
  <c r="K1764" i="2"/>
  <c r="J1905" i="2"/>
  <c r="L1905" i="2" s="1"/>
  <c r="K1905" i="2"/>
  <c r="J41" i="2"/>
  <c r="L41" i="2" s="1"/>
  <c r="K41" i="2"/>
  <c r="J840" i="2"/>
  <c r="L840" i="2" s="1"/>
  <c r="K840" i="2"/>
  <c r="J1918" i="2"/>
  <c r="L1918" i="2" s="1"/>
  <c r="K1918" i="2"/>
  <c r="J379" i="2"/>
  <c r="L379" i="2" s="1"/>
  <c r="K379" i="2"/>
  <c r="J533" i="2"/>
  <c r="L533" i="2" s="1"/>
  <c r="K533" i="2"/>
  <c r="J675" i="2"/>
  <c r="L675" i="2" s="1"/>
  <c r="K675" i="2"/>
  <c r="J828" i="2"/>
  <c r="L828" i="2" s="1"/>
  <c r="K828" i="2"/>
  <c r="J969" i="2"/>
  <c r="L969" i="2" s="1"/>
  <c r="K969" i="2"/>
  <c r="J1107" i="2"/>
  <c r="L1107" i="2" s="1"/>
  <c r="K1107" i="2"/>
  <c r="J1253" i="2"/>
  <c r="L1253" i="2" s="1"/>
  <c r="K1253" i="2"/>
  <c r="J1397" i="2"/>
  <c r="L1397" i="2" s="1"/>
  <c r="K1397" i="2"/>
  <c r="J1529" i="2"/>
  <c r="L1529" i="2" s="1"/>
  <c r="K1529" i="2"/>
  <c r="J1671" i="2"/>
  <c r="L1671" i="2" s="1"/>
  <c r="K1671" i="2"/>
  <c r="J678" i="2"/>
  <c r="L678" i="2" s="1"/>
  <c r="K678" i="2"/>
  <c r="J2004" i="2"/>
  <c r="L2004" i="2" s="1"/>
  <c r="K2004" i="2"/>
  <c r="J606" i="2"/>
  <c r="L606" i="2" s="1"/>
  <c r="K606" i="2"/>
  <c r="J745" i="2"/>
  <c r="L745" i="2" s="1"/>
  <c r="K745" i="2"/>
  <c r="J886" i="2"/>
  <c r="L886" i="2" s="1"/>
  <c r="K886" i="2"/>
  <c r="J1026" i="2"/>
  <c r="L1026" i="2" s="1"/>
  <c r="K1026" i="2"/>
  <c r="J1174" i="2"/>
  <c r="L1174" i="2" s="1"/>
  <c r="K1174" i="2"/>
  <c r="J1314" i="2"/>
  <c r="L1314" i="2" s="1"/>
  <c r="K1314" i="2"/>
  <c r="J1470" i="2"/>
  <c r="L1470" i="2" s="1"/>
  <c r="K1470" i="2"/>
  <c r="J1682" i="2"/>
  <c r="L1682" i="2" s="1"/>
  <c r="K1682" i="2"/>
  <c r="J699" i="2"/>
  <c r="L699" i="2" s="1"/>
  <c r="K699" i="2"/>
  <c r="J1768" i="2"/>
  <c r="L1768" i="2" s="1"/>
  <c r="K1768" i="2"/>
  <c r="J369" i="2"/>
  <c r="L369" i="2" s="1"/>
  <c r="K369" i="2"/>
  <c r="J499" i="2"/>
  <c r="L499" i="2" s="1"/>
  <c r="K499" i="2"/>
  <c r="J631" i="2"/>
  <c r="L631" i="2" s="1"/>
  <c r="K631" i="2"/>
  <c r="J770" i="2"/>
  <c r="L770" i="2" s="1"/>
  <c r="K770" i="2"/>
  <c r="J923" i="2"/>
  <c r="L923" i="2" s="1"/>
  <c r="K923" i="2"/>
  <c r="J1039" i="2"/>
  <c r="L1039" i="2" s="1"/>
  <c r="K1039" i="2"/>
  <c r="J1303" i="2"/>
  <c r="L1303" i="2" s="1"/>
  <c r="K1303" i="2"/>
  <c r="J1459" i="2"/>
  <c r="L1459" i="2" s="1"/>
  <c r="K1459" i="2"/>
  <c r="J1603" i="2"/>
  <c r="L1603" i="2" s="1"/>
  <c r="K1603" i="2"/>
  <c r="J1743" i="2"/>
  <c r="L1743" i="2" s="1"/>
  <c r="J1872" i="2"/>
  <c r="L1872" i="2" s="1"/>
  <c r="K1872" i="2"/>
  <c r="J2013" i="2"/>
  <c r="L2013" i="2" s="1"/>
  <c r="K2013" i="2"/>
  <c r="J1164" i="2"/>
  <c r="L1164" i="2" s="1"/>
  <c r="K1164" i="2"/>
  <c r="J377" i="2"/>
  <c r="L377" i="2" s="1"/>
  <c r="K377" i="2"/>
  <c r="J278" i="2"/>
  <c r="L278" i="2" s="1"/>
  <c r="K278" i="2"/>
  <c r="J501" i="2"/>
  <c r="L501" i="2" s="1"/>
  <c r="K501" i="2"/>
  <c r="J1473" i="2"/>
  <c r="L1473" i="2" s="1"/>
  <c r="K1473" i="2"/>
  <c r="J586" i="2"/>
  <c r="L586" i="2" s="1"/>
  <c r="K586" i="2"/>
  <c r="J1486" i="2"/>
  <c r="L1486" i="2" s="1"/>
  <c r="K1486" i="2"/>
  <c r="J445" i="2"/>
  <c r="L445" i="2" s="1"/>
  <c r="K445" i="2"/>
  <c r="J916" i="2"/>
  <c r="L916" i="2" s="1"/>
  <c r="K916" i="2"/>
  <c r="J788" i="2"/>
  <c r="L788" i="2" s="1"/>
  <c r="K788" i="2"/>
  <c r="J1436" i="2"/>
  <c r="L1436" i="2" s="1"/>
  <c r="K1436" i="2"/>
  <c r="J1708" i="2"/>
  <c r="L1708" i="2" s="1"/>
  <c r="K1708" i="2"/>
  <c r="J1491" i="2"/>
  <c r="L1491" i="2" s="1"/>
  <c r="K1491" i="2"/>
  <c r="J1242" i="2"/>
  <c r="L1242" i="2" s="1"/>
  <c r="K1242" i="2"/>
  <c r="J1289" i="2"/>
  <c r="L1289" i="2" s="1"/>
  <c r="K1289" i="2"/>
  <c r="J1060" i="2"/>
  <c r="L1060" i="2" s="1"/>
  <c r="K1060" i="2"/>
  <c r="J430" i="2"/>
  <c r="L430" i="2" s="1"/>
  <c r="K430" i="2"/>
  <c r="J389" i="2"/>
  <c r="L389" i="2" s="1"/>
  <c r="K389" i="2"/>
  <c r="J40" i="2"/>
  <c r="L40" i="2" s="1"/>
  <c r="K40" i="2"/>
  <c r="J513" i="2"/>
  <c r="L513" i="2" s="1"/>
  <c r="K513" i="2"/>
  <c r="J1485" i="2"/>
  <c r="L1485" i="2" s="1"/>
  <c r="K1485" i="2"/>
  <c r="J878" i="2"/>
  <c r="L878" i="2" s="1"/>
  <c r="K878" i="2"/>
  <c r="J1065" i="2"/>
  <c r="L1065" i="2" s="1"/>
  <c r="K1065" i="2"/>
  <c r="J236" i="2"/>
  <c r="L236" i="2" s="1"/>
  <c r="K236" i="2"/>
  <c r="J1440" i="2"/>
  <c r="L1440" i="2" s="1"/>
  <c r="K1440" i="2"/>
  <c r="J941" i="2"/>
  <c r="L941" i="2" s="1"/>
  <c r="K941" i="2"/>
  <c r="J530" i="2"/>
  <c r="L530" i="2" s="1"/>
  <c r="K530" i="2"/>
  <c r="J1346" i="2"/>
  <c r="L1346" i="2" s="1"/>
  <c r="K1346" i="2"/>
  <c r="J639" i="2"/>
  <c r="L639" i="2" s="1"/>
  <c r="K639" i="2"/>
  <c r="J1647" i="2"/>
  <c r="L1647" i="2" s="1"/>
  <c r="K1647" i="2"/>
  <c r="J628" i="2"/>
  <c r="L628" i="2" s="1"/>
  <c r="K628" i="2"/>
  <c r="J1658" i="2"/>
  <c r="L1658" i="2" s="1"/>
  <c r="K1658" i="2"/>
  <c r="J1072" i="2"/>
  <c r="L1072" i="2" s="1"/>
  <c r="K1072" i="2"/>
  <c r="J58" i="2"/>
  <c r="L58" i="2" s="1"/>
  <c r="K58" i="2"/>
  <c r="J36" i="2"/>
  <c r="L36" i="2" s="1"/>
  <c r="K36" i="2"/>
  <c r="J174" i="2"/>
  <c r="L174" i="2" s="1"/>
  <c r="K174" i="2"/>
  <c r="J114" i="2"/>
  <c r="L114" i="2" s="1"/>
  <c r="K114" i="2"/>
  <c r="J1087" i="2"/>
  <c r="L1087" i="2" s="1"/>
  <c r="K1087" i="2"/>
  <c r="J1594" i="2"/>
  <c r="L1594" i="2" s="1"/>
  <c r="K1594" i="2"/>
  <c r="J479" i="2"/>
  <c r="L479" i="2" s="1"/>
  <c r="K479" i="2"/>
  <c r="J1943" i="2"/>
  <c r="L1943" i="2" s="1"/>
  <c r="K1943" i="2"/>
  <c r="J1784" i="2"/>
  <c r="L1784" i="2" s="1"/>
  <c r="K1784" i="2"/>
  <c r="J711" i="2"/>
  <c r="L711" i="2" s="1"/>
  <c r="K711" i="2"/>
  <c r="J138" i="2"/>
  <c r="L138" i="2" s="1"/>
  <c r="K138" i="2"/>
  <c r="J285" i="2"/>
  <c r="L285" i="2" s="1"/>
  <c r="K285" i="2"/>
  <c r="J423" i="2"/>
  <c r="L423" i="2" s="1"/>
  <c r="K423" i="2"/>
  <c r="J151" i="2"/>
  <c r="L151" i="2" s="1"/>
  <c r="K151" i="2"/>
  <c r="J152" i="2"/>
  <c r="L152" i="2" s="1"/>
  <c r="K152" i="2"/>
  <c r="J341" i="2"/>
  <c r="L341" i="2" s="1"/>
  <c r="K341" i="2"/>
  <c r="J25" i="2"/>
  <c r="L25" i="2" s="1"/>
  <c r="K25" i="2"/>
  <c r="J220" i="2"/>
  <c r="L220" i="2" s="1"/>
  <c r="K220" i="2"/>
  <c r="J426" i="2"/>
  <c r="L426" i="2" s="1"/>
  <c r="K426" i="2"/>
  <c r="J74" i="2"/>
  <c r="L74" i="2" s="1"/>
  <c r="K74" i="2"/>
  <c r="J209" i="2"/>
  <c r="L209" i="2" s="1"/>
  <c r="K209" i="2"/>
  <c r="J123" i="2"/>
  <c r="L123" i="2" s="1"/>
  <c r="K123" i="2"/>
  <c r="J254" i="2"/>
  <c r="L254" i="2" s="1"/>
  <c r="K254" i="2"/>
  <c r="J4" i="2"/>
  <c r="L4" i="2" s="1"/>
  <c r="K4" i="2"/>
  <c r="J156" i="2"/>
  <c r="L156" i="2" s="1"/>
  <c r="K156" i="2"/>
  <c r="J291" i="2"/>
  <c r="L291" i="2" s="1"/>
  <c r="K291" i="2"/>
  <c r="J55" i="2"/>
  <c r="L55" i="2" s="1"/>
  <c r="K55" i="2"/>
  <c r="J202" i="2"/>
  <c r="L202" i="2" s="1"/>
  <c r="K202" i="2"/>
  <c r="J348" i="2"/>
  <c r="L348" i="2" s="1"/>
  <c r="K348" i="2"/>
  <c r="J54" i="2"/>
  <c r="L54" i="2" s="1"/>
  <c r="K54" i="2"/>
  <c r="J201" i="2"/>
  <c r="L201" i="2" s="1"/>
  <c r="K201" i="2"/>
  <c r="J335" i="2"/>
  <c r="L335" i="2" s="1"/>
  <c r="K335" i="2"/>
  <c r="J477" i="2"/>
  <c r="L477" i="2" s="1"/>
  <c r="K477" i="2"/>
  <c r="J609" i="2"/>
  <c r="L609" i="2" s="1"/>
  <c r="K609" i="2"/>
  <c r="J748" i="2"/>
  <c r="L748" i="2" s="1"/>
  <c r="K748" i="2"/>
  <c r="J1029" i="2"/>
  <c r="L1029" i="2" s="1"/>
  <c r="K1029" i="2"/>
  <c r="J1165" i="2"/>
  <c r="L1165" i="2" s="1"/>
  <c r="K1165" i="2"/>
  <c r="J1305" i="2"/>
  <c r="L1305" i="2" s="1"/>
  <c r="K1305" i="2"/>
  <c r="J1449" i="2"/>
  <c r="L1449" i="2" s="1"/>
  <c r="K1449" i="2"/>
  <c r="J1581" i="2"/>
  <c r="L1581" i="2" s="1"/>
  <c r="K1581" i="2"/>
  <c r="J1745" i="2"/>
  <c r="L1745" i="2" s="1"/>
  <c r="K1745" i="2"/>
  <c r="J1886" i="2"/>
  <c r="L1886" i="2" s="1"/>
  <c r="K1886" i="2"/>
  <c r="J2025" i="2"/>
  <c r="L2025" i="2" s="1"/>
  <c r="K2025" i="2"/>
  <c r="J420" i="2"/>
  <c r="L420" i="2" s="1"/>
  <c r="K420" i="2"/>
  <c r="J562" i="2"/>
  <c r="L562" i="2" s="1"/>
  <c r="K562" i="2"/>
  <c r="J701" i="2"/>
  <c r="L701" i="2" s="1"/>
  <c r="K701" i="2"/>
  <c r="J842" i="2"/>
  <c r="L842" i="2" s="1"/>
  <c r="K842" i="2"/>
  <c r="J986" i="2"/>
  <c r="L986" i="2" s="1"/>
  <c r="K986" i="2"/>
  <c r="J1133" i="2"/>
  <c r="L1133" i="2" s="1"/>
  <c r="K1133" i="2"/>
  <c r="J1270" i="2"/>
  <c r="L1270" i="2" s="1"/>
  <c r="K1270" i="2"/>
  <c r="J1414" i="2"/>
  <c r="L1414" i="2" s="1"/>
  <c r="K1414" i="2"/>
  <c r="J1875" i="2"/>
  <c r="L1875" i="2" s="1"/>
  <c r="K1875" i="2"/>
  <c r="J20" i="2"/>
  <c r="L20" i="2" s="1"/>
  <c r="K20" i="2"/>
  <c r="J160" i="2"/>
  <c r="L160" i="2" s="1"/>
  <c r="K160" i="2"/>
  <c r="J295" i="2"/>
  <c r="L295" i="2" s="1"/>
  <c r="K295" i="2"/>
  <c r="J421" i="2"/>
  <c r="L421" i="2" s="1"/>
  <c r="K421" i="2"/>
  <c r="J563" i="2"/>
  <c r="L563" i="2" s="1"/>
  <c r="K563" i="2"/>
  <c r="J831" i="2"/>
  <c r="L831" i="2" s="1"/>
  <c r="K831" i="2"/>
  <c r="J975" i="2"/>
  <c r="L975" i="2" s="1"/>
  <c r="K975" i="2"/>
  <c r="J1295" i="2"/>
  <c r="L1295" i="2" s="1"/>
  <c r="K1295" i="2"/>
  <c r="J1535" i="2"/>
  <c r="L1535" i="2" s="1"/>
  <c r="K1535" i="2"/>
  <c r="J1747" i="2"/>
  <c r="L1747" i="2" s="1"/>
  <c r="K1747" i="2"/>
  <c r="J1900" i="2"/>
  <c r="L1900" i="2" s="1"/>
  <c r="K1900" i="2"/>
  <c r="J69" i="2"/>
  <c r="L69" i="2" s="1"/>
  <c r="K69" i="2"/>
  <c r="J204" i="2"/>
  <c r="L204" i="2" s="1"/>
  <c r="K204" i="2"/>
  <c r="J338" i="2"/>
  <c r="L338" i="2" s="1"/>
  <c r="K338" i="2"/>
  <c r="J480" i="2"/>
  <c r="L480" i="2" s="1"/>
  <c r="K480" i="2"/>
  <c r="J624" i="2"/>
  <c r="L624" i="2" s="1"/>
  <c r="K624" i="2"/>
  <c r="J763" i="2"/>
  <c r="L763" i="2" s="1"/>
  <c r="K763" i="2"/>
  <c r="J892" i="2"/>
  <c r="L892" i="2" s="1"/>
  <c r="K892" i="2"/>
  <c r="J1078" i="2"/>
  <c r="L1078" i="2" s="1"/>
  <c r="K1078" i="2"/>
  <c r="J1392" i="2"/>
  <c r="L1392" i="2" s="1"/>
  <c r="K1392" i="2"/>
  <c r="J1548" i="2"/>
  <c r="L1548" i="2" s="1"/>
  <c r="K1548" i="2"/>
  <c r="J1724" i="2"/>
  <c r="L1724" i="2" s="1"/>
  <c r="K1724" i="2"/>
  <c r="J1877" i="2"/>
  <c r="L1877" i="2" s="1"/>
  <c r="K1877" i="2"/>
  <c r="J625" i="2"/>
  <c r="L625" i="2" s="1"/>
  <c r="K625" i="2"/>
  <c r="J764" i="2"/>
  <c r="L764" i="2" s="1"/>
  <c r="K764" i="2"/>
  <c r="J905" i="2"/>
  <c r="L905" i="2" s="1"/>
  <c r="K905" i="2"/>
  <c r="J1045" i="2"/>
  <c r="L1045" i="2" s="1"/>
  <c r="K1045" i="2"/>
  <c r="J1191" i="2"/>
  <c r="L1191" i="2" s="1"/>
  <c r="K1191" i="2"/>
  <c r="J1333" i="2"/>
  <c r="L1333" i="2" s="1"/>
  <c r="K1333" i="2"/>
  <c r="J1489" i="2"/>
  <c r="L1489" i="2" s="1"/>
  <c r="K1489" i="2"/>
  <c r="J1689" i="2"/>
  <c r="L1689" i="2" s="1"/>
  <c r="K1689" i="2"/>
  <c r="J1845" i="2"/>
  <c r="L1845" i="2" s="1"/>
  <c r="K1845" i="2"/>
  <c r="J346" i="2"/>
  <c r="L346" i="2" s="1"/>
  <c r="K346" i="2"/>
  <c r="J1292" i="2"/>
  <c r="L1292" i="2" s="1"/>
  <c r="K1292" i="2"/>
  <c r="J882" i="2"/>
  <c r="L882" i="2" s="1"/>
  <c r="K882" i="2"/>
  <c r="J1034" i="2"/>
  <c r="L1034" i="2" s="1"/>
  <c r="K1034" i="2"/>
  <c r="J1170" i="2"/>
  <c r="L1170" i="2" s="1"/>
  <c r="K1170" i="2"/>
  <c r="J1310" i="2"/>
  <c r="L1310" i="2" s="1"/>
  <c r="K1310" i="2"/>
  <c r="J1502" i="2"/>
  <c r="L1502" i="2" s="1"/>
  <c r="K1502" i="2"/>
  <c r="J500" i="2"/>
  <c r="L500" i="2" s="1"/>
  <c r="K500" i="2"/>
  <c r="J1580" i="2"/>
  <c r="L1580" i="2" s="1"/>
  <c r="K1580" i="2"/>
  <c r="J603" i="2"/>
  <c r="L603" i="2" s="1"/>
  <c r="K603" i="2"/>
  <c r="J766" i="2"/>
  <c r="L766" i="2" s="1"/>
  <c r="K766" i="2"/>
  <c r="J895" i="2"/>
  <c r="L895" i="2" s="1"/>
  <c r="K895" i="2"/>
  <c r="J1047" i="2"/>
  <c r="L1047" i="2" s="1"/>
  <c r="K1047" i="2"/>
  <c r="J1193" i="2"/>
  <c r="L1193" i="2" s="1"/>
  <c r="K1193" i="2"/>
  <c r="J1323" i="2"/>
  <c r="L1323" i="2" s="1"/>
  <c r="K1323" i="2"/>
  <c r="J1467" i="2"/>
  <c r="L1467" i="2" s="1"/>
  <c r="K1467" i="2"/>
  <c r="J1611" i="2"/>
  <c r="L1611" i="2" s="1"/>
  <c r="K1611" i="2"/>
  <c r="J268" i="2"/>
  <c r="L268" i="2" s="1"/>
  <c r="K268" i="2"/>
  <c r="J1268" i="2"/>
  <c r="L1268" i="2" s="1"/>
  <c r="K1268" i="2"/>
  <c r="J592" i="2"/>
  <c r="L592" i="2" s="1"/>
  <c r="K592" i="2"/>
  <c r="J779" i="2"/>
  <c r="L779" i="2" s="1"/>
  <c r="K779" i="2"/>
  <c r="J932" i="2"/>
  <c r="L932" i="2" s="1"/>
  <c r="K932" i="2"/>
  <c r="J1070" i="2"/>
  <c r="L1070" i="2" s="1"/>
  <c r="K1070" i="2"/>
  <c r="J1218" i="2"/>
  <c r="L1218" i="2" s="1"/>
  <c r="K1218" i="2"/>
  <c r="J1360" i="2"/>
  <c r="L1360" i="2" s="1"/>
  <c r="K1360" i="2"/>
  <c r="J1492" i="2"/>
  <c r="L1492" i="2" s="1"/>
  <c r="K1492" i="2"/>
  <c r="J1624" i="2"/>
  <c r="L1624" i="2" s="1"/>
  <c r="K1624" i="2"/>
  <c r="J1776" i="2"/>
  <c r="L1776" i="2" s="1"/>
  <c r="K1776" i="2"/>
  <c r="J1914" i="2"/>
  <c r="L1914" i="2" s="1"/>
  <c r="K1914" i="2"/>
  <c r="J77" i="2"/>
  <c r="L77" i="2" s="1"/>
  <c r="K77" i="2"/>
  <c r="J912" i="2"/>
  <c r="L912" i="2" s="1"/>
  <c r="K912" i="2"/>
  <c r="J1976" i="2"/>
  <c r="L1976" i="2" s="1"/>
  <c r="K1976" i="2"/>
  <c r="J391" i="2"/>
  <c r="L391" i="2" s="1"/>
  <c r="K391" i="2"/>
  <c r="J545" i="2"/>
  <c r="L545" i="2" s="1"/>
  <c r="K545" i="2"/>
  <c r="J696" i="2"/>
  <c r="L696" i="2" s="1"/>
  <c r="K696" i="2"/>
  <c r="J837" i="2"/>
  <c r="L837" i="2" s="1"/>
  <c r="K837" i="2"/>
  <c r="J981" i="2"/>
  <c r="L981" i="2" s="1"/>
  <c r="K981" i="2"/>
  <c r="J1128" i="2"/>
  <c r="L1128" i="2" s="1"/>
  <c r="K1128" i="2"/>
  <c r="J1265" i="2"/>
  <c r="L1265" i="2" s="1"/>
  <c r="K1265" i="2"/>
  <c r="J1409" i="2"/>
  <c r="L1409" i="2" s="1"/>
  <c r="K1409" i="2"/>
  <c r="J1541" i="2"/>
  <c r="L1541" i="2" s="1"/>
  <c r="K1541" i="2"/>
  <c r="J1681" i="2"/>
  <c r="L1681" i="2" s="1"/>
  <c r="K1681" i="2"/>
  <c r="J747" i="2"/>
  <c r="L747" i="2" s="1"/>
  <c r="K747" i="2"/>
  <c r="J474" i="2"/>
  <c r="L474" i="2" s="1"/>
  <c r="K474" i="2"/>
  <c r="J618" i="2"/>
  <c r="L618" i="2" s="1"/>
  <c r="K618" i="2"/>
  <c r="J757" i="2"/>
  <c r="L757" i="2" s="1"/>
  <c r="K757" i="2"/>
  <c r="J898" i="2"/>
  <c r="L898" i="2" s="1"/>
  <c r="K898" i="2"/>
  <c r="J1038" i="2"/>
  <c r="L1038" i="2" s="1"/>
  <c r="K1038" i="2"/>
  <c r="J1184" i="2"/>
  <c r="L1184" i="2" s="1"/>
  <c r="K1184" i="2"/>
  <c r="J1326" i="2"/>
  <c r="L1326" i="2" s="1"/>
  <c r="K1326" i="2"/>
  <c r="J1482" i="2"/>
  <c r="L1482" i="2" s="1"/>
  <c r="K1482" i="2"/>
  <c r="J1694" i="2"/>
  <c r="L1694" i="2" s="1"/>
  <c r="K1694" i="2"/>
  <c r="J783" i="2"/>
  <c r="L783" i="2" s="1"/>
  <c r="K783" i="2"/>
  <c r="J1873" i="2"/>
  <c r="L1873" i="2" s="1"/>
  <c r="K1873" i="2"/>
  <c r="J381" i="2"/>
  <c r="L381" i="2" s="1"/>
  <c r="K381" i="2"/>
  <c r="J511" i="2"/>
  <c r="L511" i="2" s="1"/>
  <c r="K511" i="2"/>
  <c r="J643" i="2"/>
  <c r="L643" i="2" s="1"/>
  <c r="K643" i="2"/>
  <c r="J782" i="2"/>
  <c r="L782" i="2" s="1"/>
  <c r="K782" i="2"/>
  <c r="J935" i="2"/>
  <c r="L935" i="2" s="1"/>
  <c r="K935" i="2"/>
  <c r="J1051" i="2"/>
  <c r="L1051" i="2" s="1"/>
  <c r="K1051" i="2"/>
  <c r="J1175" i="2"/>
  <c r="L1175" i="2" s="1"/>
  <c r="K1175" i="2"/>
  <c r="J1315" i="2"/>
  <c r="L1315" i="2" s="1"/>
  <c r="K1315" i="2"/>
  <c r="J1471" i="2"/>
  <c r="L1471" i="2" s="1"/>
  <c r="K1471" i="2"/>
  <c r="J1615" i="2"/>
  <c r="L1615" i="2" s="1"/>
  <c r="K1615" i="2"/>
  <c r="J1884" i="2"/>
  <c r="L1884" i="2" s="1"/>
  <c r="K1884" i="2"/>
  <c r="J304" i="2"/>
  <c r="L304" i="2" s="1"/>
  <c r="K304" i="2"/>
  <c r="J1304" i="2"/>
  <c r="L1304" i="2" s="1"/>
  <c r="K1304" i="2"/>
  <c r="J352" i="2"/>
  <c r="L352" i="2" s="1"/>
  <c r="K352" i="2"/>
  <c r="J143" i="2"/>
  <c r="L143" i="2" s="1"/>
  <c r="K143" i="2"/>
  <c r="J78" i="2"/>
  <c r="L78" i="2" s="1"/>
  <c r="K78" i="2"/>
  <c r="J913" i="2"/>
  <c r="L913" i="2" s="1"/>
  <c r="K913" i="2"/>
  <c r="J1910" i="2"/>
  <c r="L1910" i="2" s="1"/>
  <c r="K1910" i="2"/>
  <c r="J1010" i="2"/>
  <c r="L1010" i="2" s="1"/>
  <c r="K1010" i="2"/>
  <c r="J179" i="2"/>
  <c r="L179" i="2" s="1"/>
  <c r="K179" i="2"/>
  <c r="J1771" i="2"/>
  <c r="L1771" i="2" s="1"/>
  <c r="K1771" i="2"/>
  <c r="J648" i="2"/>
  <c r="L648" i="2" s="1"/>
  <c r="K648" i="2"/>
  <c r="J649" i="2"/>
  <c r="L649" i="2" s="1"/>
  <c r="K649" i="2"/>
  <c r="J518" i="2"/>
  <c r="L518" i="2" s="1"/>
  <c r="K518" i="2"/>
  <c r="J1340" i="2"/>
  <c r="L1340" i="2" s="1"/>
  <c r="K1340" i="2"/>
  <c r="J476" i="2"/>
  <c r="L476" i="2" s="1"/>
  <c r="K476" i="2"/>
  <c r="J1516" i="2"/>
  <c r="L1516" i="2" s="1"/>
  <c r="K1516" i="2"/>
  <c r="J569" i="2"/>
  <c r="L569" i="2" s="1"/>
  <c r="K569" i="2"/>
  <c r="J1565" i="2"/>
  <c r="L1565" i="2" s="1"/>
  <c r="K1565" i="2"/>
  <c r="J1208" i="2"/>
  <c r="L1208" i="2" s="1"/>
  <c r="K1208" i="2"/>
  <c r="J181" i="2"/>
  <c r="L181" i="2" s="1"/>
  <c r="K181" i="2"/>
  <c r="J73" i="2"/>
  <c r="L73" i="2" s="1"/>
  <c r="K73" i="2"/>
  <c r="J290" i="2"/>
  <c r="L290" i="2" s="1"/>
  <c r="K290" i="2"/>
  <c r="J371" i="2"/>
  <c r="L371" i="2" s="1"/>
  <c r="K371" i="2"/>
  <c r="J1341" i="2"/>
  <c r="L1341" i="2" s="1"/>
  <c r="K1341" i="2"/>
  <c r="J737" i="2"/>
  <c r="L737" i="2" s="1"/>
  <c r="K737" i="2"/>
  <c r="J726" i="2"/>
  <c r="L726" i="2" s="1"/>
  <c r="K726" i="2"/>
  <c r="J105" i="2"/>
  <c r="L105" i="2" s="1"/>
  <c r="K105" i="2"/>
  <c r="J1760" i="2"/>
  <c r="L1760" i="2" s="1"/>
  <c r="K1760" i="2"/>
  <c r="J1227" i="2"/>
  <c r="L1227" i="2" s="1"/>
  <c r="K1227" i="2"/>
  <c r="J584" i="2"/>
  <c r="L584" i="2" s="1"/>
  <c r="K584" i="2"/>
  <c r="J789" i="2"/>
  <c r="L789" i="2" s="1"/>
  <c r="K789" i="2"/>
  <c r="J1359" i="2"/>
  <c r="L1359" i="2" s="1"/>
  <c r="K1359" i="2"/>
  <c r="J815" i="2"/>
  <c r="L815" i="2" s="1"/>
  <c r="K815" i="2"/>
  <c r="J1252" i="2"/>
  <c r="L1252" i="2" s="1"/>
  <c r="K1252" i="2"/>
  <c r="J1812" i="2"/>
  <c r="L1812" i="2" s="1"/>
  <c r="K1812" i="2"/>
  <c r="J1577" i="2"/>
  <c r="L1577" i="2" s="1"/>
  <c r="K1577" i="2"/>
  <c r="J205" i="2"/>
  <c r="L205" i="2" s="1"/>
  <c r="K205" i="2"/>
  <c r="J300" i="2"/>
  <c r="L300" i="2" s="1"/>
  <c r="K300" i="2"/>
  <c r="J357" i="2"/>
  <c r="L357" i="2" s="1"/>
  <c r="K357" i="2"/>
  <c r="J808" i="2"/>
  <c r="L808" i="2" s="1"/>
  <c r="K808" i="2"/>
  <c r="J1941" i="2"/>
  <c r="L1941" i="2" s="1"/>
  <c r="K1941" i="2"/>
  <c r="J349" i="2"/>
  <c r="L349" i="2" s="1"/>
  <c r="K349" i="2"/>
  <c r="J1807" i="2"/>
  <c r="L1807" i="2" s="1"/>
  <c r="K1807" i="2"/>
  <c r="J1214" i="2"/>
  <c r="L1214" i="2" s="1"/>
  <c r="K1214" i="2"/>
  <c r="J1228" i="2"/>
  <c r="L1228" i="2" s="1"/>
  <c r="K1228" i="2"/>
  <c r="J1939" i="2"/>
  <c r="L1939" i="2" s="1"/>
  <c r="K1939" i="2"/>
  <c r="J10" i="2"/>
  <c r="L10" i="2" s="1"/>
  <c r="K10" i="2"/>
  <c r="J150" i="2"/>
  <c r="L150" i="2" s="1"/>
  <c r="K150" i="2"/>
  <c r="J297" i="2"/>
  <c r="L297" i="2" s="1"/>
  <c r="K297" i="2"/>
  <c r="J435" i="2"/>
  <c r="L435" i="2" s="1"/>
  <c r="K435" i="2"/>
  <c r="J170" i="2"/>
  <c r="L170" i="2" s="1"/>
  <c r="K170" i="2"/>
  <c r="J340" i="2"/>
  <c r="L340" i="2" s="1"/>
  <c r="K340" i="2"/>
  <c r="J171" i="2"/>
  <c r="L171" i="2" s="1"/>
  <c r="K171" i="2"/>
  <c r="J353" i="2"/>
  <c r="L353" i="2" s="1"/>
  <c r="K353" i="2"/>
  <c r="J37" i="2"/>
  <c r="L37" i="2" s="1"/>
  <c r="K37" i="2"/>
  <c r="J240" i="2"/>
  <c r="L240" i="2" s="1"/>
  <c r="K240" i="2"/>
  <c r="J438" i="2"/>
  <c r="L438" i="2" s="1"/>
  <c r="K438" i="2"/>
  <c r="J86" i="2"/>
  <c r="L86" i="2" s="1"/>
  <c r="K86" i="2"/>
  <c r="J221" i="2"/>
  <c r="L221" i="2" s="1"/>
  <c r="K221" i="2"/>
  <c r="J135" i="2"/>
  <c r="L135" i="2" s="1"/>
  <c r="K135" i="2"/>
  <c r="J266" i="2"/>
  <c r="L266" i="2" s="1"/>
  <c r="K266" i="2"/>
  <c r="J16" i="2"/>
  <c r="L16" i="2" s="1"/>
  <c r="K16" i="2"/>
  <c r="J163" i="2"/>
  <c r="L163" i="2" s="1"/>
  <c r="K163" i="2"/>
  <c r="J303" i="2"/>
  <c r="L303" i="2" s="1"/>
  <c r="K303" i="2"/>
  <c r="J67" i="2"/>
  <c r="L67" i="2" s="1"/>
  <c r="K67" i="2"/>
  <c r="J214" i="2"/>
  <c r="L214" i="2" s="1"/>
  <c r="K214" i="2"/>
  <c r="J360" i="2"/>
  <c r="L360" i="2" s="1"/>
  <c r="K360" i="2"/>
  <c r="J66" i="2"/>
  <c r="L66" i="2" s="1"/>
  <c r="K66" i="2"/>
  <c r="J213" i="2"/>
  <c r="L213" i="2" s="1"/>
  <c r="K213" i="2"/>
  <c r="J347" i="2"/>
  <c r="L347" i="2" s="1"/>
  <c r="K347" i="2"/>
  <c r="J489" i="2"/>
  <c r="L489" i="2" s="1"/>
  <c r="K489" i="2"/>
  <c r="J621" i="2"/>
  <c r="L621" i="2" s="1"/>
  <c r="K621" i="2"/>
  <c r="J760" i="2"/>
  <c r="L760" i="2" s="1"/>
  <c r="K760" i="2"/>
  <c r="J901" i="2"/>
  <c r="L901" i="2" s="1"/>
  <c r="K901" i="2"/>
  <c r="J1041" i="2"/>
  <c r="L1041" i="2" s="1"/>
  <c r="K1041" i="2"/>
  <c r="J1177" i="2"/>
  <c r="L1177" i="2" s="1"/>
  <c r="K1177" i="2"/>
  <c r="J1317" i="2"/>
  <c r="L1317" i="2" s="1"/>
  <c r="K1317" i="2"/>
  <c r="J1461" i="2"/>
  <c r="L1461" i="2" s="1"/>
  <c r="K1461" i="2"/>
  <c r="J1593" i="2"/>
  <c r="L1593" i="2" s="1"/>
  <c r="K1593" i="2"/>
  <c r="J1757" i="2"/>
  <c r="L1757" i="2" s="1"/>
  <c r="K1757" i="2"/>
  <c r="J1898" i="2"/>
  <c r="L1898" i="2" s="1"/>
  <c r="K1898" i="2"/>
  <c r="J432" i="2"/>
  <c r="L432" i="2" s="1"/>
  <c r="K432" i="2"/>
  <c r="J574" i="2"/>
  <c r="L574" i="2" s="1"/>
  <c r="K574" i="2"/>
  <c r="J713" i="2"/>
  <c r="L713" i="2" s="1"/>
  <c r="K713" i="2"/>
  <c r="J854" i="2"/>
  <c r="L854" i="2" s="1"/>
  <c r="K854" i="2"/>
  <c r="J998" i="2"/>
  <c r="L998" i="2" s="1"/>
  <c r="K998" i="2"/>
  <c r="J1145" i="2"/>
  <c r="L1145" i="2" s="1"/>
  <c r="K1145" i="2"/>
  <c r="J1282" i="2"/>
  <c r="L1282" i="2" s="1"/>
  <c r="K1282" i="2"/>
  <c r="J1450" i="2"/>
  <c r="L1450" i="2" s="1"/>
  <c r="K1450" i="2"/>
  <c r="J1734" i="2"/>
  <c r="L1734" i="2" s="1"/>
  <c r="K1734" i="2"/>
  <c r="J1887" i="2"/>
  <c r="L1887" i="2" s="1"/>
  <c r="K1887" i="2"/>
  <c r="J2016" i="2"/>
  <c r="L2016" i="2" s="1"/>
  <c r="K2016" i="2"/>
  <c r="J32" i="2"/>
  <c r="L32" i="2" s="1"/>
  <c r="K32" i="2"/>
  <c r="J167" i="2"/>
  <c r="L167" i="2" s="1"/>
  <c r="K167" i="2"/>
  <c r="J307" i="2"/>
  <c r="L307" i="2" s="1"/>
  <c r="K307" i="2"/>
  <c r="J433" i="2"/>
  <c r="L433" i="2" s="1"/>
  <c r="K433" i="2"/>
  <c r="J575" i="2"/>
  <c r="L575" i="2" s="1"/>
  <c r="K575" i="2"/>
  <c r="J702" i="2"/>
  <c r="L702" i="2" s="1"/>
  <c r="K702" i="2"/>
  <c r="J843" i="2"/>
  <c r="L843" i="2" s="1"/>
  <c r="K843" i="2"/>
  <c r="J987" i="2"/>
  <c r="L987" i="2" s="1"/>
  <c r="K987" i="2"/>
  <c r="J1307" i="2"/>
  <c r="L1307" i="2" s="1"/>
  <c r="K1307" i="2"/>
  <c r="J1559" i="2"/>
  <c r="L1559" i="2" s="1"/>
  <c r="K1559" i="2"/>
  <c r="J1759" i="2"/>
  <c r="L1759" i="2" s="1"/>
  <c r="K1759" i="2"/>
  <c r="J1912" i="2"/>
  <c r="L1912" i="2" s="1"/>
  <c r="K1912" i="2"/>
  <c r="J81" i="2"/>
  <c r="L81" i="2" s="1"/>
  <c r="K81" i="2"/>
  <c r="J216" i="2"/>
  <c r="L216" i="2" s="1"/>
  <c r="K216" i="2"/>
  <c r="J350" i="2"/>
  <c r="L350" i="2" s="1"/>
  <c r="K350" i="2"/>
  <c r="J492" i="2"/>
  <c r="L492" i="2" s="1"/>
  <c r="K492" i="2"/>
  <c r="J636" i="2"/>
  <c r="L636" i="2" s="1"/>
  <c r="K636" i="2"/>
  <c r="J775" i="2"/>
  <c r="L775" i="2" s="1"/>
  <c r="J904" i="2"/>
  <c r="L904" i="2" s="1"/>
  <c r="K904" i="2"/>
  <c r="J1114" i="2"/>
  <c r="L1114" i="2" s="1"/>
  <c r="K1114" i="2"/>
  <c r="J1404" i="2"/>
  <c r="L1404" i="2" s="1"/>
  <c r="K1404" i="2"/>
  <c r="J1560" i="2"/>
  <c r="L1560" i="2" s="1"/>
  <c r="K1560" i="2"/>
  <c r="J1736" i="2"/>
  <c r="L1736" i="2" s="1"/>
  <c r="K1736" i="2"/>
  <c r="J1889" i="2"/>
  <c r="L1889" i="2" s="1"/>
  <c r="K1889" i="2"/>
  <c r="J637" i="2"/>
  <c r="L637" i="2" s="1"/>
  <c r="K637" i="2"/>
  <c r="J776" i="2"/>
  <c r="L776" i="2" s="1"/>
  <c r="K776" i="2"/>
  <c r="J917" i="2"/>
  <c r="L917" i="2" s="1"/>
  <c r="K917" i="2"/>
  <c r="J1067" i="2"/>
  <c r="L1067" i="2" s="1"/>
  <c r="K1067" i="2"/>
  <c r="J1203" i="2"/>
  <c r="L1203" i="2" s="1"/>
  <c r="K1203" i="2"/>
  <c r="J1345" i="2"/>
  <c r="L1345" i="2" s="1"/>
  <c r="K1345" i="2"/>
  <c r="J1501" i="2"/>
  <c r="L1501" i="2" s="1"/>
  <c r="K1501" i="2"/>
  <c r="J1701" i="2"/>
  <c r="L1701" i="2" s="1"/>
  <c r="K1701" i="2"/>
  <c r="J1878" i="2"/>
  <c r="L1878" i="2" s="1"/>
  <c r="K1878" i="2"/>
  <c r="J418" i="2"/>
  <c r="L418" i="2" s="1"/>
  <c r="K418" i="2"/>
  <c r="J1376" i="2"/>
  <c r="L1376" i="2" s="1"/>
  <c r="K1376" i="2"/>
  <c r="J638" i="2"/>
  <c r="L638" i="2" s="1"/>
  <c r="K638" i="2"/>
  <c r="J894" i="2"/>
  <c r="L894" i="2" s="1"/>
  <c r="K894" i="2"/>
  <c r="J1046" i="2"/>
  <c r="L1046" i="2" s="1"/>
  <c r="K1046" i="2"/>
  <c r="J1182" i="2"/>
  <c r="L1182" i="2" s="1"/>
  <c r="K1182" i="2"/>
  <c r="J1322" i="2"/>
  <c r="L1322" i="2" s="1"/>
  <c r="K1322" i="2"/>
  <c r="J1538" i="2"/>
  <c r="L1538" i="2" s="1"/>
  <c r="K1538" i="2"/>
  <c r="J572" i="2"/>
  <c r="L572" i="2" s="1"/>
  <c r="K572" i="2"/>
  <c r="J1652" i="2"/>
  <c r="L1652" i="2" s="1"/>
  <c r="K1652" i="2"/>
  <c r="J615" i="2"/>
  <c r="L615" i="2" s="1"/>
  <c r="K615" i="2"/>
  <c r="J778" i="2"/>
  <c r="L778" i="2" s="1"/>
  <c r="K778" i="2"/>
  <c r="J907" i="2"/>
  <c r="L907" i="2" s="1"/>
  <c r="K907" i="2"/>
  <c r="J1057" i="2"/>
  <c r="L1057" i="2" s="1"/>
  <c r="K1057" i="2"/>
  <c r="J1205" i="2"/>
  <c r="L1205" i="2" s="1"/>
  <c r="K1205" i="2"/>
  <c r="J1335" i="2"/>
  <c r="L1335" i="2" s="1"/>
  <c r="K1335" i="2"/>
  <c r="J1479" i="2"/>
  <c r="L1479" i="2" s="1"/>
  <c r="K1479" i="2"/>
  <c r="J1623" i="2"/>
  <c r="L1623" i="2" s="1"/>
  <c r="K1623" i="2"/>
  <c r="J334" i="2"/>
  <c r="L334" i="2" s="1"/>
  <c r="K334" i="2"/>
  <c r="J1364" i="2"/>
  <c r="L1364" i="2" s="1"/>
  <c r="K1364" i="2"/>
  <c r="J604" i="2"/>
  <c r="L604" i="2" s="1"/>
  <c r="K604" i="2"/>
  <c r="J791" i="2"/>
  <c r="L791" i="2" s="1"/>
  <c r="K791" i="2"/>
  <c r="J944" i="2"/>
  <c r="L944" i="2" s="1"/>
  <c r="K944" i="2"/>
  <c r="J1082" i="2"/>
  <c r="L1082" i="2" s="1"/>
  <c r="K1082" i="2"/>
  <c r="J1230" i="2"/>
  <c r="L1230" i="2" s="1"/>
  <c r="K1230" i="2"/>
  <c r="J1372" i="2"/>
  <c r="L1372" i="2" s="1"/>
  <c r="K1372" i="2"/>
  <c r="J1504" i="2"/>
  <c r="L1504" i="2" s="1"/>
  <c r="K1504" i="2"/>
  <c r="J1636" i="2"/>
  <c r="L1636" i="2" s="1"/>
  <c r="K1636" i="2"/>
  <c r="J1788" i="2"/>
  <c r="L1788" i="2" s="1"/>
  <c r="K1788" i="2"/>
  <c r="J1926" i="2"/>
  <c r="L1926" i="2" s="1"/>
  <c r="K1926" i="2"/>
  <c r="J145" i="2"/>
  <c r="L145" i="2" s="1"/>
  <c r="K145" i="2"/>
  <c r="J1008" i="2"/>
  <c r="L1008" i="2" s="1"/>
  <c r="K1008" i="2"/>
  <c r="J403" i="2"/>
  <c r="L403" i="2" s="1"/>
  <c r="K403" i="2"/>
  <c r="J557" i="2"/>
  <c r="L557" i="2" s="1"/>
  <c r="K557" i="2"/>
  <c r="J708" i="2"/>
  <c r="L708" i="2" s="1"/>
  <c r="K708" i="2"/>
  <c r="J849" i="2"/>
  <c r="L849" i="2" s="1"/>
  <c r="K849" i="2"/>
  <c r="J993" i="2"/>
  <c r="L993" i="2" s="1"/>
  <c r="K993" i="2"/>
  <c r="J1140" i="2"/>
  <c r="L1140" i="2" s="1"/>
  <c r="K1140" i="2"/>
  <c r="J1277" i="2"/>
  <c r="L1277" i="2" s="1"/>
  <c r="K1277" i="2"/>
  <c r="J1421" i="2"/>
  <c r="L1421" i="2" s="1"/>
  <c r="K1421" i="2"/>
  <c r="J1553" i="2"/>
  <c r="L1553" i="2" s="1"/>
  <c r="K1553" i="2"/>
  <c r="J1693" i="2"/>
  <c r="L1693" i="2" s="1"/>
  <c r="K1693" i="2"/>
  <c r="J996" i="2"/>
  <c r="L996" i="2" s="1"/>
  <c r="K996" i="2"/>
  <c r="J486" i="2"/>
  <c r="L486" i="2" s="1"/>
  <c r="K486" i="2"/>
  <c r="J630" i="2"/>
  <c r="L630" i="2" s="1"/>
  <c r="K630" i="2"/>
  <c r="J769" i="2"/>
  <c r="L769" i="2" s="1"/>
  <c r="K769" i="2"/>
  <c r="J910" i="2"/>
  <c r="L910" i="2" s="1"/>
  <c r="K910" i="2"/>
  <c r="J1050" i="2"/>
  <c r="L1050" i="2" s="1"/>
  <c r="K1050" i="2"/>
  <c r="J1196" i="2"/>
  <c r="L1196" i="2" s="1"/>
  <c r="K1196" i="2"/>
  <c r="J1338" i="2"/>
  <c r="L1338" i="2" s="1"/>
  <c r="K1338" i="2"/>
  <c r="J1506" i="2"/>
  <c r="L1506" i="2" s="1"/>
  <c r="K1506" i="2"/>
  <c r="J1706" i="2"/>
  <c r="L1706" i="2" s="1"/>
  <c r="K1706" i="2"/>
  <c r="J888" i="2"/>
  <c r="L888" i="2" s="1"/>
  <c r="K888" i="2"/>
  <c r="J1940" i="2"/>
  <c r="L1940" i="2" s="1"/>
  <c r="K1940" i="2"/>
  <c r="J393" i="2"/>
  <c r="L393" i="2" s="1"/>
  <c r="K393" i="2"/>
  <c r="J523" i="2"/>
  <c r="L523" i="2" s="1"/>
  <c r="K523" i="2"/>
  <c r="J653" i="2"/>
  <c r="L653" i="2" s="1"/>
  <c r="K653" i="2"/>
  <c r="J794" i="2"/>
  <c r="L794" i="2" s="1"/>
  <c r="K794" i="2"/>
  <c r="J947" i="2"/>
  <c r="L947" i="2" s="1"/>
  <c r="J1061" i="2"/>
  <c r="L1061" i="2" s="1"/>
  <c r="K1061" i="2"/>
  <c r="J1185" i="2"/>
  <c r="L1185" i="2" s="1"/>
  <c r="K1185" i="2"/>
  <c r="J1327" i="2"/>
  <c r="L1327" i="2" s="1"/>
  <c r="K1327" i="2"/>
  <c r="J1483" i="2"/>
  <c r="L1483" i="2" s="1"/>
  <c r="K1483" i="2"/>
  <c r="J1627" i="2"/>
  <c r="L1627" i="2" s="1"/>
  <c r="K1627" i="2"/>
  <c r="J1755" i="2"/>
  <c r="L1755" i="2" s="1"/>
  <c r="K1755" i="2"/>
  <c r="J1896" i="2"/>
  <c r="L1896" i="2" s="1"/>
  <c r="K1896" i="2"/>
  <c r="J358" i="2"/>
  <c r="L358" i="2" s="1"/>
  <c r="K358" i="2"/>
  <c r="J1388" i="2"/>
  <c r="L1388" i="2" s="1"/>
  <c r="K1388" i="2"/>
  <c r="O2" i="2" a="1"/>
  <c r="W3" i="2" l="1"/>
  <c r="W9" i="2"/>
  <c r="W15" i="2"/>
  <c r="W21" i="2"/>
  <c r="X20" i="2"/>
  <c r="X3" i="2"/>
  <c r="X9" i="2"/>
  <c r="X15" i="2"/>
  <c r="X13" i="2"/>
  <c r="W14" i="2"/>
  <c r="X8" i="2"/>
  <c r="W4" i="2"/>
  <c r="W10" i="2"/>
  <c r="W16" i="2"/>
  <c r="X19" i="2"/>
  <c r="W8" i="2"/>
  <c r="X14" i="2"/>
  <c r="X4" i="2"/>
  <c r="X10" i="2"/>
  <c r="X16" i="2"/>
  <c r="X7" i="2"/>
  <c r="W20" i="2"/>
  <c r="W5" i="2"/>
  <c r="W11" i="2"/>
  <c r="W17" i="2"/>
  <c r="X5" i="2"/>
  <c r="X11" i="2"/>
  <c r="X17" i="2"/>
  <c r="W6" i="2"/>
  <c r="W12" i="2"/>
  <c r="W18" i="2"/>
  <c r="X6" i="2"/>
  <c r="X12" i="2"/>
  <c r="X18" i="2"/>
  <c r="W7" i="2"/>
  <c r="W13" i="2"/>
  <c r="W19" i="2"/>
  <c r="X21" i="2"/>
  <c r="U7" i="2"/>
  <c r="U13" i="2"/>
  <c r="U19" i="2"/>
  <c r="T6" i="2"/>
  <c r="T18" i="2"/>
  <c r="V7" i="2"/>
  <c r="V13" i="2"/>
  <c r="V19" i="2"/>
  <c r="T7" i="2"/>
  <c r="T19" i="2"/>
  <c r="U8" i="2"/>
  <c r="U14" i="2"/>
  <c r="U20" i="2"/>
  <c r="T8" i="2"/>
  <c r="T20" i="2"/>
  <c r="V8" i="2"/>
  <c r="V14" i="2"/>
  <c r="V20" i="2"/>
  <c r="T9" i="2"/>
  <c r="T21" i="2"/>
  <c r="U3" i="2"/>
  <c r="U11" i="2"/>
  <c r="U21" i="2"/>
  <c r="T14" i="2"/>
  <c r="V3" i="2"/>
  <c r="V11" i="2"/>
  <c r="V21" i="2"/>
  <c r="T15" i="2"/>
  <c r="U4" i="2"/>
  <c r="U12" i="2"/>
  <c r="T16" i="2"/>
  <c r="V4" i="2"/>
  <c r="V12" i="2"/>
  <c r="T17" i="2"/>
  <c r="V16" i="2"/>
  <c r="T13" i="2"/>
  <c r="U5" i="2"/>
  <c r="U17" i="2"/>
  <c r="V5" i="2"/>
  <c r="V17" i="2"/>
  <c r="U6" i="2"/>
  <c r="U18" i="2"/>
  <c r="V6" i="2"/>
  <c r="V18" i="2"/>
  <c r="T10" i="2"/>
  <c r="U9" i="2"/>
  <c r="T11" i="2"/>
  <c r="V9" i="2"/>
  <c r="T12" i="2"/>
  <c r="U10" i="2"/>
  <c r="V10" i="2"/>
  <c r="U15" i="2"/>
  <c r="V15" i="2"/>
  <c r="U16" i="2"/>
  <c r="T5" i="2"/>
  <c r="T3" i="2"/>
  <c r="T4" i="2"/>
  <c r="O2" i="2"/>
  <c r="R3" i="2"/>
  <c r="R15" i="2"/>
  <c r="Q8" i="2"/>
  <c r="Q20" i="2"/>
  <c r="P13" i="2"/>
  <c r="R4" i="2"/>
  <c r="R16" i="2"/>
  <c r="Q9" i="2"/>
  <c r="Q21" i="2"/>
  <c r="P14" i="2"/>
  <c r="R5" i="2"/>
  <c r="R17" i="2"/>
  <c r="Q10" i="2"/>
  <c r="P3" i="2"/>
  <c r="P15" i="2"/>
  <c r="R6" i="2"/>
  <c r="R18" i="2"/>
  <c r="Q11" i="2"/>
  <c r="P4" i="2"/>
  <c r="P16" i="2"/>
  <c r="R7" i="2"/>
  <c r="R19" i="2"/>
  <c r="Q12" i="2"/>
  <c r="P5" i="2"/>
  <c r="P17" i="2"/>
  <c r="R8" i="2"/>
  <c r="R20" i="2"/>
  <c r="Q13" i="2"/>
  <c r="P6" i="2"/>
  <c r="P18" i="2"/>
  <c r="R9" i="2"/>
  <c r="R21" i="2"/>
  <c r="Q14" i="2"/>
  <c r="P7" i="2"/>
  <c r="P19" i="2"/>
  <c r="R10" i="2"/>
  <c r="Q3" i="2"/>
  <c r="Q15" i="2"/>
  <c r="P8" i="2"/>
  <c r="P20" i="2"/>
  <c r="R11" i="2"/>
  <c r="Q4" i="2"/>
  <c r="Q16" i="2"/>
  <c r="P9" i="2"/>
  <c r="P21" i="2"/>
  <c r="R12" i="2"/>
  <c r="Q5" i="2"/>
  <c r="Q17" i="2"/>
  <c r="P10" i="2"/>
  <c r="R13" i="2"/>
  <c r="Q6" i="2"/>
  <c r="Q18" i="2"/>
  <c r="P11" i="2"/>
  <c r="R14" i="2"/>
  <c r="Q7" i="2"/>
  <c r="Q19" i="2"/>
  <c r="P12" i="2"/>
  <c r="X2" i="2" l="1"/>
  <c r="X22" i="2" s="1"/>
  <c r="W2" i="2"/>
  <c r="W22" i="2" s="1"/>
  <c r="V2" i="2"/>
  <c r="V22" i="2" s="1"/>
  <c r="U2" i="2"/>
  <c r="U22" i="2" s="1"/>
  <c r="R2" i="2"/>
  <c r="T2" i="2"/>
  <c r="T22" i="2" s="1"/>
  <c r="Q2" i="2"/>
  <c r="P2" i="2"/>
  <c r="P2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23C6F-214B-40D8-BD45-68E57600C1F9}" keepAlive="1" name="Query - northwind_order_details" description="Connection to the 'northwind_order_details' query in the workbook." type="5" refreshedVersion="7" background="1" saveData="1">
    <dbPr connection="Provider=Microsoft.Mashup.OleDb.1;Data Source=$Workbook$;Location=northwind_order_details;Extended Properties=&quot;&quot;" command="SELECT * FROM [northwind_order_details]"/>
  </connection>
  <connection id="2" xr16:uid="{91D034E4-EA9D-470B-9F5C-72F02B6D6262}" keepAlive="1" name="Query - northwind_order_details (2)" description="Connection to the 'northwind_order_details (2)' query in the workbook." type="5" refreshedVersion="7" background="1" saveData="1">
    <dbPr connection="Provider=Microsoft.Mashup.OleDb.1;Data Source=$Workbook$;Location=&quot;northwind_order_details (2)&quot;;Extended Properties=&quot;&quot;" command="SELECT * FROM [northwind_order_details (2)]"/>
  </connection>
  <connection id="3" xr16:uid="{93988361-B1E5-4CDE-8012-D45AE14E2A7E}" keepAlive="1" name="Query - northwind_orders" description="Connection to the 'northwind_orders' query in the workbook." type="5" refreshedVersion="7" background="1" saveData="1">
    <dbPr connection="Provider=Microsoft.Mashup.OleDb.1;Data Source=$Workbook$;Location=northwind_orders;Extended Properties=&quot;&quot;" command="SELECT * FROM [northwind_ord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<sst xmlns="http://schemas.openxmlformats.org/spreadsheetml/2006/main" count="7715" uniqueCount="537">
  <si>
    <t>order_id</t>
  </si>
  <si>
    <t>product_id</t>
  </si>
  <si>
    <t>unit_price</t>
  </si>
  <si>
    <t>quantity</t>
  </si>
  <si>
    <t>discount</t>
  </si>
  <si>
    <t>14</t>
  </si>
  <si>
    <t>0</t>
  </si>
  <si>
    <t>2</t>
  </si>
  <si>
    <t>10</t>
  </si>
  <si>
    <t>16</t>
  </si>
  <si>
    <t>8</t>
  </si>
  <si>
    <t>44</t>
  </si>
  <si>
    <t>17</t>
  </si>
  <si>
    <t>12</t>
  </si>
  <si>
    <t>24</t>
  </si>
  <si>
    <t>99</t>
  </si>
  <si>
    <t>50</t>
  </si>
  <si>
    <t>20</t>
  </si>
  <si>
    <t>32</t>
  </si>
  <si>
    <t>13</t>
  </si>
  <si>
    <t>19</t>
  </si>
  <si>
    <t>15</t>
  </si>
  <si>
    <t>46</t>
  </si>
  <si>
    <t>6</t>
  </si>
  <si>
    <t>18</t>
  </si>
  <si>
    <t>22</t>
  </si>
  <si>
    <t>30</t>
  </si>
  <si>
    <t>40</t>
  </si>
  <si>
    <t>34</t>
  </si>
  <si>
    <t>81</t>
  </si>
  <si>
    <t>38</t>
  </si>
  <si>
    <t>97</t>
  </si>
  <si>
    <t>7</t>
  </si>
  <si>
    <t>55</t>
  </si>
  <si>
    <t>31</t>
  </si>
  <si>
    <t>39</t>
  </si>
  <si>
    <t>26</t>
  </si>
  <si>
    <t>21</t>
  </si>
  <si>
    <t>36</t>
  </si>
  <si>
    <t>53</t>
  </si>
  <si>
    <t>9</t>
  </si>
  <si>
    <t>25</t>
  </si>
  <si>
    <t>customer_id</t>
  </si>
  <si>
    <t>employee_id</t>
  </si>
  <si>
    <t>order_date</t>
  </si>
  <si>
    <t>required_date</t>
  </si>
  <si>
    <t>shipped_date</t>
  </si>
  <si>
    <t>ship_via</t>
  </si>
  <si>
    <t>freight</t>
  </si>
  <si>
    <t>ship_name</t>
  </si>
  <si>
    <t>ship_address</t>
  </si>
  <si>
    <t>ship_city</t>
  </si>
  <si>
    <t>ship_region</t>
  </si>
  <si>
    <t>ship_postal_code</t>
  </si>
  <si>
    <t>ship_country</t>
  </si>
  <si>
    <t>VINET</t>
  </si>
  <si>
    <t>Vins et alcools Chevalier</t>
  </si>
  <si>
    <t>59 rue de l'Abbaye</t>
  </si>
  <si>
    <t>Reims</t>
  </si>
  <si>
    <t/>
  </si>
  <si>
    <t>51100</t>
  </si>
  <si>
    <t>France</t>
  </si>
  <si>
    <t>TOMSP</t>
  </si>
  <si>
    <t>Toms SpezialitГ¤ten</t>
  </si>
  <si>
    <t>Luisenstr. 48</t>
  </si>
  <si>
    <t>MГјnster</t>
  </si>
  <si>
    <t>44087</t>
  </si>
  <si>
    <t>Germany</t>
  </si>
  <si>
    <t>HANAR</t>
  </si>
  <si>
    <t>Hanari Carnes</t>
  </si>
  <si>
    <t>Rua do PaГ§o,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</si>
  <si>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</si>
  <si>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</si>
  <si>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</si>
  <si>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</si>
  <si>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</si>
  <si>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</si>
  <si>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</si>
  <si>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</si>
  <si>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</si>
  <si>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</si>
  <si>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SuprГЄmes dГ©lices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</si>
  <si>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</si>
  <si>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</si>
  <si>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</si>
  <si>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</si>
  <si>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</si>
  <si>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</si>
  <si>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</si>
  <si>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</si>
  <si>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</si>
  <si>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</si>
  <si>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</si>
  <si>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</si>
  <si>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</si>
  <si>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GenГЁve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</si>
  <si>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</si>
  <si>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</si>
  <si>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</si>
  <si>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</si>
  <si>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</si>
  <si>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</si>
  <si>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</si>
  <si>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</si>
  <si>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HILARION-Abastos</t>
  </si>
  <si>
    <t>Carrera 22 con Ave. Carlos Soublette #8-35</t>
  </si>
  <si>
    <t>San CristГіbal</t>
  </si>
  <si>
    <t>TГЎchira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</si>
  <si>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</si>
  <si>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</si>
  <si>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</si>
  <si>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</si>
  <si>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</si>
  <si>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</si>
  <si>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</si>
  <si>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</si>
  <si>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</si>
  <si>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</si>
  <si>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</si>
  <si>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MГ©xico D.F.</t>
  </si>
  <si>
    <t>05022</t>
  </si>
  <si>
    <t>Mexico</t>
  </si>
  <si>
    <t>OTTIK</t>
  </si>
  <si>
    <t>Ottilies KГ¤seladen</t>
  </si>
  <si>
    <t>Mehrheimerstr. 369</t>
  </si>
  <si>
    <t>KГ¶ln</t>
  </si>
  <si>
    <t>50739</t>
  </si>
  <si>
    <t>QUEDE</t>
  </si>
  <si>
    <t>Que DelГ­cia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</si>
  <si>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</si>
  <si>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</si>
  <si>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</si>
  <si>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</si>
  <si>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</si>
  <si>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</si>
  <si>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</si>
  <si>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</si>
  <si>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</si>
  <si>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</si>
  <si>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fГ¤ HB</t>
  </si>
  <si>
    <t>Г…kergatan 24</t>
  </si>
  <si>
    <t>BrГ¤cke</t>
  </si>
  <si>
    <t>S-844 67</t>
  </si>
  <si>
    <t>Sweden</t>
  </si>
  <si>
    <t>BLONP</t>
  </si>
  <si>
    <t>Blondel pГЁre et fils</t>
  </si>
  <si>
    <t>24, place KlГ©ber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</si>
  <si>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</si>
  <si>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</si>
  <si>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</si>
  <si>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</si>
  <si>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</si>
  <si>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</si>
  <si>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</si>
  <si>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</si>
  <si>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</si>
  <si>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</si>
  <si>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</si>
  <si>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MГјnchen</t>
  </si>
  <si>
    <t>80805</t>
  </si>
  <si>
    <t>GROSR</t>
  </si>
  <si>
    <t>GROSELLA-Restaurante</t>
  </si>
  <si>
    <t>5ВЄ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</si>
  <si>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</si>
  <si>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</si>
  <si>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</si>
  <si>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</si>
  <si>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</si>
  <si>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</si>
  <si>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</si>
  <si>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</si>
  <si>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</si>
  <si>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</si>
  <si>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</si>
  <si>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</si>
  <si>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</si>
  <si>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</si>
  <si>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</si>
  <si>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</si>
  <si>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</si>
  <si>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TaucherstraГџe 10</t>
  </si>
  <si>
    <t>Cunewalde</t>
  </si>
  <si>
    <t>01307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</si>
  <si>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</si>
  <si>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</si>
  <si>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</si>
  <si>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</si>
  <si>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</si>
  <si>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</si>
  <si>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</si>
  <si>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</si>
  <si>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</si>
  <si>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</si>
  <si>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</si>
  <si>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</si>
  <si>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</si>
  <si>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</si>
  <si>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</si>
  <si>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</si>
  <si>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snabbkГ¶p</t>
  </si>
  <si>
    <t>BerguvsvГ¤gen  8</t>
  </si>
  <si>
    <t>LuleГҐ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</si>
  <si>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</si>
  <si>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</si>
  <si>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</si>
  <si>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</si>
  <si>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</si>
  <si>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</si>
  <si>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</si>
  <si>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</si>
  <si>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VГ­a, 1</t>
  </si>
  <si>
    <t>Madrid</t>
  </si>
  <si>
    <t>28001</t>
  </si>
  <si>
    <t>Spain</t>
  </si>
  <si>
    <t>LILAS</t>
  </si>
  <si>
    <t>LILA-Supermercado</t>
  </si>
  <si>
    <t>Carrera 52 con Ave. BolГ­var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</si>
  <si>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</si>
  <si>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</si>
  <si>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</si>
  <si>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</si>
  <si>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</si>
  <si>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</si>
  <si>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</si>
  <si>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</si>
  <si>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</si>
  <si>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</si>
  <si>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</si>
  <si>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</si>
  <si>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</si>
  <si>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</si>
  <si>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</si>
  <si>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</si>
  <si>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</si>
  <si>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</si>
  <si>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COMMI</t>
  </si>
  <si>
    <t>ComГ©rcio Mineiro</t>
  </si>
  <si>
    <t>Av. dos LusГ­adas, 23</t>
  </si>
  <si>
    <t>Sao Paulo</t>
  </si>
  <si>
    <t>05432-043</t>
  </si>
  <si>
    <t>TRADH</t>
  </si>
  <si>
    <t>TradiГ§ao Hipermercados</t>
  </si>
  <si>
    <t>Av. InГЄs de Castro, 414</t>
  </si>
  <si>
    <t>05634-030</t>
  </si>
  <si>
    <t>WANDK</t>
  </si>
  <si>
    <t>Die Wandernde Kuh</t>
  </si>
  <si>
    <t>Adenauerallee 900</t>
  </si>
  <si>
    <t>Stuttgart</t>
  </si>
  <si>
    <t>70563</t>
  </si>
  <si>
    <t>GODOS</t>
  </si>
  <si>
    <t>Godos Cocina TГ­pica</t>
  </si>
  <si>
    <t>C/ Romero, 33</t>
  </si>
  <si>
    <t>Sevilla</t>
  </si>
  <si>
    <t>41101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</si>
  <si>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</si>
  <si>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</si>
  <si>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</si>
  <si>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</si>
  <si>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</si>
  <si>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</si>
  <si>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</si>
  <si>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</si>
  <si>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</si>
  <si>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</si>
  <si>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</si>
  <si>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</si>
  <si>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</si>
  <si>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</si>
  <si>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ConstituciГіn 2222</t>
  </si>
  <si>
    <t>05021</t>
  </si>
  <si>
    <t>THEBI</t>
  </si>
  <si>
    <t>The Big Cheese</t>
  </si>
  <si>
    <t>89 Jefferson Way 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</si>
  <si>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</si>
  <si>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</si>
  <si>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</si>
  <si>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</si>
  <si>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</si>
  <si>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</si>
  <si>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</si>
  <si>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</si>
  <si>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 Crowther Way</t>
  </si>
  <si>
    <t>Cowes</t>
  </si>
  <si>
    <t>Isle of Wight</t>
  </si>
  <si>
    <t>PO31 7PJ</t>
  </si>
  <si>
    <t>PERIC</t>
  </si>
  <si>
    <t>Pericles Comidas clГЎsicas</t>
  </si>
  <si>
    <t>Calle Dr. Jorge Cash 321</t>
  </si>
  <si>
    <t>KOENE</t>
  </si>
  <si>
    <t>KГ¶niglich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</si>
  <si>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</si>
  <si>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</si>
  <si>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</si>
  <si>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</si>
  <si>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</si>
  <si>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</si>
  <si>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</si>
  <si>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</si>
  <si>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</si>
  <si>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</si>
  <si>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BГіlido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</si>
  <si>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</si>
  <si>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</si>
  <si>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</si>
  <si>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</si>
  <si>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</si>
  <si>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</si>
  <si>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</si>
  <si>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</si>
  <si>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</si>
  <si>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</si>
  <si>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</si>
  <si>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</si>
  <si>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</si>
  <si>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</si>
  <si>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MГЁre Paillarde</t>
  </si>
  <si>
    <t>43 rue St. Laurent</t>
  </si>
  <si>
    <t>MontrГ©al</t>
  </si>
  <si>
    <t>QuГ©bec</t>
  </si>
  <si>
    <t>H1J 1C3</t>
  </si>
  <si>
    <t>Canada</t>
  </si>
  <si>
    <t>PRINI</t>
  </si>
  <si>
    <t>Princesa Isabel Vinhos</t>
  </si>
  <si>
    <t>Estrada da saГєde n. 58</t>
  </si>
  <si>
    <t>1756</t>
  </si>
  <si>
    <t>SIMOB</t>
  </si>
  <si>
    <t>Simons bistro</t>
  </si>
  <si>
    <t>VinbГ¦ltet 34</t>
  </si>
  <si>
    <t>Kobenhavn</t>
  </si>
  <si>
    <t>1734</t>
  </si>
  <si>
    <t>Denmark</t>
  </si>
  <si>
    <t>FAMIA</t>
  </si>
  <si>
    <t>Familia Arquibaldo</t>
  </si>
  <si>
    <t>Rua OrГіs,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</si>
  <si>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</si>
  <si>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</si>
  <si>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</si>
  <si>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</si>
  <si>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</si>
  <si>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</si>
  <si>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</si>
  <si>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</si>
  <si>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</si>
  <si>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</si>
  <si>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</si>
  <si>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</si>
  <si>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</si>
  <si>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 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</si>
  <si>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</si>
  <si>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</si>
  <si>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</si>
  <si>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</si>
  <si>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</si>
  <si>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</si>
  <si>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</si>
  <si>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</si>
  <si>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</si>
  <si>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</si>
  <si>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</si>
  <si>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</si>
  <si>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</si>
  <si>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</si>
  <si>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</si>
  <si>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</si>
  <si>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</si>
  <si>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TaquerГ­a</t>
  </si>
  <si>
    <t>Mataderos  2312</t>
  </si>
  <si>
    <t>05023</t>
  </si>
  <si>
    <t>GALED</t>
  </si>
  <si>
    <t>GalerГ­a del gastronГіmo</t>
  </si>
  <si>
    <t>Rambla de CataluГ±a, 23</t>
  </si>
  <si>
    <t>Barcelona</t>
  </si>
  <si>
    <t>8022</t>
  </si>
  <si>
    <t>VAFFE</t>
  </si>
  <si>
    <t>Vaffeljernet</t>
  </si>
  <si>
    <t>Smagsloget 45</t>
  </si>
  <si>
    <t>Г…rhus</t>
  </si>
  <si>
    <t>8200</t>
  </si>
  <si>
    <t>QUEEN</t>
  </si>
  <si>
    <t>Queen Cozinha</t>
  </si>
  <si>
    <t>Alameda dos CanГ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</si>
  <si>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</si>
  <si>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</si>
  <si>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</si>
  <si>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</si>
  <si>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</si>
  <si>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</si>
  <si>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</si>
  <si>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</si>
  <si>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</si>
  <si>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 516 Main St.</t>
  </si>
  <si>
    <t>Elgin</t>
  </si>
  <si>
    <t>97827</t>
  </si>
  <si>
    <t>SANTG</t>
  </si>
  <si>
    <t>SantГ©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</si>
  <si>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</si>
  <si>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</si>
  <si>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</si>
  <si>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</si>
  <si>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</si>
  <si>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</si>
  <si>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</si>
  <si>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</si>
  <si>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</si>
  <si>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</si>
  <si>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</si>
  <si>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</si>
  <si>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</si>
  <si>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</si>
  <si>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</si>
  <si>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</si>
  <si>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FOLIG</t>
  </si>
  <si>
    <t>Folies gourmandes</t>
  </si>
  <si>
    <t>184, chaussГ©e de Tournai</t>
  </si>
  <si>
    <t>Lille</t>
  </si>
  <si>
    <t>59000</t>
  </si>
  <si>
    <t>OCEAN</t>
  </si>
  <si>
    <t>OcГ©ano AtlГЎntico Ltda.</t>
  </si>
  <si>
    <t>Ing. Gustavo Moncada 8585 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</si>
  <si>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</si>
  <si>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</si>
  <si>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</si>
  <si>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</si>
  <si>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</si>
  <si>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</si>
  <si>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</si>
  <si>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</si>
  <si>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</si>
  <si>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</si>
  <si>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</si>
  <si>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</si>
  <si>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</si>
  <si>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</si>
  <si>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</si>
  <si>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 12  Brewery</t>
  </si>
  <si>
    <t>WX1 6LT</t>
  </si>
  <si>
    <t>RANCH</t>
  </si>
  <si>
    <t>Rancho grande</t>
  </si>
  <si>
    <t>Av. del Libertador 900</t>
  </si>
  <si>
    <t>89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</si>
  <si>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</si>
  <si>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</si>
  <si>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</si>
  <si>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</si>
  <si>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</si>
  <si>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</si>
  <si>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</si>
  <si>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</si>
  <si>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</si>
  <si>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</si>
  <si>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</si>
  <si>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</si>
  <si>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</si>
  <si>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</si>
  <si>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</si>
  <si>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</si>
  <si>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</si>
  <si>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 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</si>
  <si>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</si>
  <si>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</si>
  <si>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</si>
  <si>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</si>
  <si>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</si>
  <si>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</si>
  <si>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</si>
  <si>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</si>
  <si>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</si>
  <si>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</si>
  <si>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</si>
  <si>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</si>
  <si>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</si>
  <si>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</si>
  <si>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</si>
  <si>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</si>
  <si>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</si>
  <si>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</si>
  <si>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</si>
  <si>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</si>
  <si>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</si>
  <si>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 Suite 5</t>
  </si>
  <si>
    <t>San Francisco</t>
  </si>
  <si>
    <t>CA</t>
  </si>
  <si>
    <t>94117</t>
  </si>
  <si>
    <t>WILMK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</si>
  <si>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</si>
  <si>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</si>
  <si>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</si>
  <si>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</si>
  <si>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</si>
  <si>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</si>
  <si>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</si>
  <si>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</si>
  <si>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</si>
  <si>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</si>
  <si>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</si>
  <si>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</si>
  <si>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</si>
  <si>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</si>
  <si>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</si>
  <si>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</si>
  <si>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</si>
  <si>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</si>
  <si>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Alfred's Futterkiste</t>
  </si>
  <si>
    <t>SPECD</t>
  </si>
  <si>
    <t>SpГ©cialitГ©s du monde</t>
  </si>
  <si>
    <t>25, rue Lauriston</t>
  </si>
  <si>
    <t>Paris</t>
  </si>
  <si>
    <t>75016</t>
  </si>
  <si>
    <t>LACOR</t>
  </si>
  <si>
    <t>La corne d'abondance</t>
  </si>
  <si>
    <t>67, avenue de l''Europe</t>
  </si>
  <si>
    <t>Versailles</t>
  </si>
  <si>
    <t>78000</t>
  </si>
  <si>
    <t>country</t>
  </si>
  <si>
    <t>Employee Id</t>
  </si>
  <si>
    <t>purchase amount</t>
  </si>
  <si>
    <t>discount amount</t>
  </si>
  <si>
    <t>Total Revenue</t>
  </si>
  <si>
    <t>Country</t>
  </si>
  <si>
    <t>Revenue</t>
  </si>
  <si>
    <t>Average purchase</t>
  </si>
  <si>
    <t>Number of orders</t>
  </si>
  <si>
    <t>delivery</t>
  </si>
  <si>
    <t>High</t>
  </si>
  <si>
    <t>Medium</t>
  </si>
  <si>
    <t>Low</t>
  </si>
  <si>
    <t>Type of Revenue</t>
  </si>
  <si>
    <t>sum</t>
  </si>
  <si>
    <t>Row Labels</t>
  </si>
  <si>
    <t>Grand Total</t>
  </si>
  <si>
    <t>Max of unit_price</t>
  </si>
  <si>
    <t>Price reconciliation</t>
  </si>
  <si>
    <t>Match</t>
  </si>
  <si>
    <t>Mismatch</t>
  </si>
  <si>
    <t>Discount Leakage</t>
  </si>
  <si>
    <t>avg</t>
  </si>
  <si>
    <t>discount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</si>
</sst>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$-409]* #,##0.00_ ;_-[$$-409]* \-#,##0.00\ ;_-[$$-409]* &quot;-&quot;??_ ;_-@_ 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14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3" borderId="1" xfId="0" applyNumberFormat="1" applyFont="1" applyFill="1" applyBorder="1" applyAlignment="1">
      <alignment horizontal="right"/>
    </xf>
    <xf numFmtId="0" fontId="0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71" fontId="0" fillId="0" borderId="13" xfId="0" applyNumberFormat="1" applyBorder="1"/>
    <xf numFmtId="171" fontId="0" fillId="0" borderId="0" xfId="0" applyNumberFormat="1"/>
    <xf numFmtId="171" fontId="0" fillId="0" borderId="9" xfId="0" applyNumberFormat="1" applyBorder="1"/>
    <xf numFmtId="171" fontId="0" fillId="0" borderId="0" xfId="0" applyNumberFormat="1" applyBorder="1"/>
    <xf numFmtId="171" fontId="0" fillId="0" borderId="7" xfId="0" applyNumberFormat="1" applyBorder="1"/>
    <xf numFmtId="171" fontId="0" fillId="4" borderId="9" xfId="0" applyNumberFormat="1" applyFill="1" applyBorder="1"/>
    <xf numFmtId="3" fontId="0" fillId="4" borderId="9" xfId="0" applyNumberFormat="1" applyFill="1" applyBorder="1"/>
    <xf numFmtId="0" fontId="0" fillId="4" borderId="0" xfId="0" applyFill="1"/>
  </cellXfs>
  <cellStyles count="1">
    <cellStyle name="Normal" xfId="0" builtinId="0"/>
  </cellStyles>
  <dxfs count="26">
    <dxf>
      <fill>
        <patternFill>
          <bgColor rgb="FFD52B2B"/>
        </patternFill>
      </fill>
    </dxf>
    <dxf>
      <fill>
        <patternFill>
          <bgColor rgb="FFF88B80"/>
        </patternFill>
      </fill>
    </dxf>
    <dxf>
      <fill>
        <patternFill>
          <bgColor theme="9"/>
        </patternFill>
      </fill>
    </dxf>
    <dxf>
      <fill>
        <patternFill>
          <bgColor rgb="FFEA3636"/>
        </patternFill>
      </fill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88B80"/>
      <color rgb="FFD52B2B"/>
      <color rgb="FFEA3636"/>
      <color rgb="FFF9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" refreshedDate="46089.687308564811" createdVersion="7" refreshedVersion="7" minRefreshableVersion="3" recordCount="2027" xr:uid="{03FB5674-E9C1-4418-89E5-6646E133DA18}">
  <cacheSource type="worksheet">
    <worksheetSource ref="A1:B2028" sheet="Price Validation"/>
  </cacheSource>
  <cacheFields count="2">
    <cacheField name="product_id" numFmtId="0">
      <sharedItems containsSemiMixedTypes="0" containsString="0" containsNumber="1" containsInteger="1" minValue="1" maxValue="77" count="77">
        <n v="11"/>
        <n v="42"/>
        <n v="72"/>
        <n v="14"/>
        <n v="51"/>
        <n v="41"/>
        <n v="65"/>
        <n v="22"/>
        <n v="57"/>
        <n v="20"/>
        <n v="33"/>
        <n v="60"/>
        <n v="31"/>
        <n v="39"/>
        <n v="49"/>
        <n v="24"/>
        <n v="55"/>
        <n v="74"/>
        <n v="2"/>
        <n v="16"/>
        <n v="36"/>
        <n v="59"/>
        <n v="53"/>
        <n v="77"/>
        <n v="27"/>
        <n v="5"/>
        <n v="32"/>
        <n v="21"/>
        <n v="37"/>
        <n v="62"/>
        <n v="70"/>
        <n v="35"/>
        <n v="7"/>
        <n v="56"/>
        <n v="30"/>
        <n v="17"/>
        <n v="12"/>
        <n v="40"/>
        <n v="76"/>
        <n v="29"/>
        <n v="43"/>
        <n v="10"/>
        <n v="71"/>
        <n v="13"/>
        <n v="28"/>
        <n v="44"/>
        <n v="63"/>
        <n v="73"/>
        <n v="75"/>
        <n v="19"/>
        <n v="15"/>
        <n v="67"/>
        <n v="1"/>
        <n v="34"/>
        <n v="46"/>
        <n v="54"/>
        <n v="68"/>
        <n v="3"/>
        <n v="64"/>
        <n v="18"/>
        <n v="69"/>
        <n v="66"/>
        <n v="58"/>
        <n v="52"/>
        <n v="25"/>
        <n v="6"/>
        <n v="4"/>
        <n v="38"/>
        <n v="26"/>
        <n v="47"/>
        <n v="23"/>
        <n v="8"/>
        <n v="50"/>
        <n v="45"/>
        <n v="48"/>
        <n v="61"/>
        <n v="9"/>
      </sharedItems>
    </cacheField>
    <cacheField name="unit_price" numFmtId="0">
      <sharedItems containsSemiMixedTypes="0" containsString="0" containsNumber="1" minValue="2" maxValue="26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7">
  <r>
    <x v="0"/>
    <n v="14"/>
  </r>
  <r>
    <x v="1"/>
    <n v="9.8000000000000007"/>
  </r>
  <r>
    <x v="2"/>
    <n v="34.799999999999997"/>
  </r>
  <r>
    <x v="3"/>
    <n v="18.600000000000001"/>
  </r>
  <r>
    <x v="4"/>
    <n v="42.4"/>
  </r>
  <r>
    <x v="5"/>
    <n v="7.7"/>
  </r>
  <r>
    <x v="4"/>
    <n v="42.4"/>
  </r>
  <r>
    <x v="6"/>
    <n v="16.8"/>
  </r>
  <r>
    <x v="7"/>
    <n v="16.8"/>
  </r>
  <r>
    <x v="8"/>
    <n v="15.6"/>
  </r>
  <r>
    <x v="6"/>
    <n v="16.8"/>
  </r>
  <r>
    <x v="9"/>
    <n v="64.8"/>
  </r>
  <r>
    <x v="10"/>
    <n v="2"/>
  </r>
  <r>
    <x v="11"/>
    <n v="27.2"/>
  </r>
  <r>
    <x v="12"/>
    <n v="10"/>
  </r>
  <r>
    <x v="13"/>
    <n v="14.4"/>
  </r>
  <r>
    <x v="14"/>
    <n v="16"/>
  </r>
  <r>
    <x v="15"/>
    <n v="3.6"/>
  </r>
  <r>
    <x v="16"/>
    <n v="19.2"/>
  </r>
  <r>
    <x v="17"/>
    <n v="8"/>
  </r>
  <r>
    <x v="18"/>
    <n v="15.2"/>
  </r>
  <r>
    <x v="19"/>
    <n v="13.9"/>
  </r>
  <r>
    <x v="20"/>
    <n v="15.2"/>
  </r>
  <r>
    <x v="21"/>
    <n v="44"/>
  </r>
  <r>
    <x v="22"/>
    <n v="26.2"/>
  </r>
  <r>
    <x v="23"/>
    <n v="10.4"/>
  </r>
  <r>
    <x v="24"/>
    <n v="35.1"/>
  </r>
  <r>
    <x v="13"/>
    <n v="14.4"/>
  </r>
  <r>
    <x v="23"/>
    <n v="10.4"/>
  </r>
  <r>
    <x v="18"/>
    <n v="15.2"/>
  </r>
  <r>
    <x v="25"/>
    <n v="17"/>
  </r>
  <r>
    <x v="26"/>
    <n v="25.6"/>
  </r>
  <r>
    <x v="27"/>
    <n v="8"/>
  </r>
  <r>
    <x v="28"/>
    <n v="20.8"/>
  </r>
  <r>
    <x v="5"/>
    <n v="7.7"/>
  </r>
  <r>
    <x v="8"/>
    <n v="15.6"/>
  </r>
  <r>
    <x v="29"/>
    <n v="39.4"/>
  </r>
  <r>
    <x v="30"/>
    <n v="12"/>
  </r>
  <r>
    <x v="27"/>
    <n v="8"/>
  </r>
  <r>
    <x v="31"/>
    <n v="14.4"/>
  </r>
  <r>
    <x v="25"/>
    <n v="17"/>
  </r>
  <r>
    <x v="32"/>
    <n v="24"/>
  </r>
  <r>
    <x v="33"/>
    <n v="30.4"/>
  </r>
  <r>
    <x v="19"/>
    <n v="13.9"/>
  </r>
  <r>
    <x v="15"/>
    <n v="3.6"/>
  </r>
  <r>
    <x v="34"/>
    <n v="20.7"/>
  </r>
  <r>
    <x v="17"/>
    <n v="8"/>
  </r>
  <r>
    <x v="18"/>
    <n v="15.2"/>
  </r>
  <r>
    <x v="5"/>
    <n v="7.7"/>
  </r>
  <r>
    <x v="35"/>
    <n v="31.2"/>
  </r>
  <r>
    <x v="30"/>
    <n v="12"/>
  </r>
  <r>
    <x v="36"/>
    <n v="30.4"/>
  </r>
  <r>
    <x v="37"/>
    <n v="14.7"/>
  </r>
  <r>
    <x v="21"/>
    <n v="44"/>
  </r>
  <r>
    <x v="38"/>
    <n v="14.4"/>
  </r>
  <r>
    <x v="39"/>
    <n v="99"/>
  </r>
  <r>
    <x v="2"/>
    <n v="27.8"/>
  </r>
  <r>
    <x v="10"/>
    <n v="2"/>
  </r>
  <r>
    <x v="2"/>
    <n v="27.8"/>
  </r>
  <r>
    <x v="20"/>
    <n v="15.2"/>
  </r>
  <r>
    <x v="40"/>
    <n v="36.799999999999997"/>
  </r>
  <r>
    <x v="10"/>
    <n v="2"/>
  </r>
  <r>
    <x v="9"/>
    <n v="64.8"/>
  </r>
  <r>
    <x v="12"/>
    <n v="10"/>
  </r>
  <r>
    <x v="2"/>
    <n v="27.8"/>
  </r>
  <r>
    <x v="41"/>
    <n v="24.8"/>
  </r>
  <r>
    <x v="12"/>
    <n v="10"/>
  </r>
  <r>
    <x v="10"/>
    <n v="2"/>
  </r>
  <r>
    <x v="37"/>
    <n v="14.7"/>
  </r>
  <r>
    <x v="38"/>
    <n v="14.4"/>
  </r>
  <r>
    <x v="42"/>
    <n v="17.2"/>
  </r>
  <r>
    <x v="2"/>
    <n v="27.8"/>
  </r>
  <r>
    <x v="15"/>
    <n v="3.6"/>
  </r>
  <r>
    <x v="21"/>
    <n v="44"/>
  </r>
  <r>
    <x v="41"/>
    <n v="24.8"/>
  </r>
  <r>
    <x v="43"/>
    <n v="4.8"/>
  </r>
  <r>
    <x v="44"/>
    <n v="36.4"/>
  </r>
  <r>
    <x v="29"/>
    <n v="39.4"/>
  </r>
  <r>
    <x v="45"/>
    <n v="15.5"/>
  </r>
  <r>
    <x v="21"/>
    <n v="44"/>
  </r>
  <r>
    <x v="46"/>
    <n v="35.1"/>
  </r>
  <r>
    <x v="47"/>
    <n v="12"/>
  </r>
  <r>
    <x v="35"/>
    <n v="31.2"/>
  </r>
  <r>
    <x v="15"/>
    <n v="3.6"/>
  </r>
  <r>
    <x v="16"/>
    <n v="19.2"/>
  </r>
  <r>
    <x v="48"/>
    <n v="6.2"/>
  </r>
  <r>
    <x v="49"/>
    <n v="7.3"/>
  </r>
  <r>
    <x v="15"/>
    <n v="3.6"/>
  </r>
  <r>
    <x v="31"/>
    <n v="14.4"/>
  </r>
  <r>
    <x v="34"/>
    <n v="20.7"/>
  </r>
  <r>
    <x v="8"/>
    <n v="15.6"/>
  </r>
  <r>
    <x v="50"/>
    <n v="12.4"/>
  </r>
  <r>
    <x v="49"/>
    <n v="7.3"/>
  </r>
  <r>
    <x v="11"/>
    <n v="27.2"/>
  </r>
  <r>
    <x v="2"/>
    <n v="27.8"/>
  </r>
  <r>
    <x v="24"/>
    <n v="35.1"/>
  </r>
  <r>
    <x v="45"/>
    <n v="15.5"/>
  </r>
  <r>
    <x v="11"/>
    <n v="27.2"/>
  </r>
  <r>
    <x v="51"/>
    <n v="11.2"/>
  </r>
  <r>
    <x v="52"/>
    <n v="14.4"/>
  </r>
  <r>
    <x v="37"/>
    <n v="14.7"/>
  </r>
  <r>
    <x v="22"/>
    <n v="26.2"/>
  </r>
  <r>
    <x v="31"/>
    <n v="14.4"/>
  </r>
  <r>
    <x v="29"/>
    <n v="39.4"/>
  </r>
  <r>
    <x v="19"/>
    <n v="13.9"/>
  </r>
  <r>
    <x v="53"/>
    <n v="11.2"/>
  </r>
  <r>
    <x v="54"/>
    <n v="9.6"/>
  </r>
  <r>
    <x v="55"/>
    <n v="5.9"/>
  </r>
  <r>
    <x v="56"/>
    <n v="10"/>
  </r>
  <r>
    <x v="57"/>
    <n v="8"/>
  </r>
  <r>
    <x v="58"/>
    <n v="26.6"/>
  </r>
  <r>
    <x v="25"/>
    <n v="17"/>
  </r>
  <r>
    <x v="39"/>
    <n v="99"/>
  </r>
  <r>
    <x v="14"/>
    <n v="16"/>
  </r>
  <r>
    <x v="23"/>
    <n v="10.4"/>
  </r>
  <r>
    <x v="43"/>
    <n v="4.8"/>
  </r>
  <r>
    <x v="45"/>
    <n v="15.5"/>
  </r>
  <r>
    <x v="4"/>
    <n v="42.4"/>
  </r>
  <r>
    <x v="9"/>
    <n v="64.8"/>
  </r>
  <r>
    <x v="59"/>
    <n v="50"/>
  </r>
  <r>
    <x v="15"/>
    <n v="3.6"/>
  </r>
  <r>
    <x v="46"/>
    <n v="35.1"/>
  </r>
  <r>
    <x v="48"/>
    <n v="6.2"/>
  </r>
  <r>
    <x v="52"/>
    <n v="14.4"/>
  </r>
  <r>
    <x v="35"/>
    <n v="31.2"/>
  </r>
  <r>
    <x v="40"/>
    <n v="36.799999999999997"/>
  </r>
  <r>
    <x v="11"/>
    <n v="27.2"/>
  </r>
  <r>
    <x v="48"/>
    <n v="6.2"/>
  </r>
  <r>
    <x v="33"/>
    <n v="30.4"/>
  </r>
  <r>
    <x v="0"/>
    <n v="16.8"/>
  </r>
  <r>
    <x v="19"/>
    <n v="13.9"/>
  </r>
  <r>
    <x v="60"/>
    <n v="28.8"/>
  </r>
  <r>
    <x v="13"/>
    <n v="14.4"/>
  </r>
  <r>
    <x v="2"/>
    <n v="27.8"/>
  </r>
  <r>
    <x v="49"/>
    <n v="7.3"/>
  </r>
  <r>
    <x v="30"/>
    <n v="12"/>
  </r>
  <r>
    <x v="61"/>
    <n v="13.6"/>
  </r>
  <r>
    <x v="56"/>
    <n v="10"/>
  </r>
  <r>
    <x v="37"/>
    <n v="14.7"/>
  </r>
  <r>
    <x v="33"/>
    <n v="30.4"/>
  </r>
  <r>
    <x v="35"/>
    <n v="31.2"/>
  </r>
  <r>
    <x v="44"/>
    <n v="36.4"/>
  </r>
  <r>
    <x v="40"/>
    <n v="36.799999999999997"/>
  </r>
  <r>
    <x v="37"/>
    <n v="14.7"/>
  </r>
  <r>
    <x v="6"/>
    <n v="16.8"/>
  </r>
  <r>
    <x v="56"/>
    <n v="10"/>
  </r>
  <r>
    <x v="14"/>
    <n v="16"/>
  </r>
  <r>
    <x v="21"/>
    <n v="44"/>
  </r>
  <r>
    <x v="42"/>
    <n v="17.2"/>
  </r>
  <r>
    <x v="59"/>
    <n v="50"/>
  </r>
  <r>
    <x v="39"/>
    <n v="99"/>
  </r>
  <r>
    <x v="13"/>
    <n v="14.4"/>
  </r>
  <r>
    <x v="34"/>
    <n v="20.7"/>
  </r>
  <r>
    <x v="22"/>
    <n v="26.2"/>
  </r>
  <r>
    <x v="55"/>
    <n v="5.9"/>
  </r>
  <r>
    <x v="29"/>
    <n v="39.4"/>
  </r>
  <r>
    <x v="56"/>
    <n v="10"/>
  </r>
  <r>
    <x v="60"/>
    <n v="28.8"/>
  </r>
  <r>
    <x v="30"/>
    <n v="12"/>
  </r>
  <r>
    <x v="19"/>
    <n v="13.9"/>
  </r>
  <r>
    <x v="29"/>
    <n v="39.4"/>
  </r>
  <r>
    <x v="1"/>
    <n v="11.2"/>
  </r>
  <r>
    <x v="60"/>
    <n v="28.8"/>
  </r>
  <r>
    <x v="44"/>
    <n v="36.4"/>
  </r>
  <r>
    <x v="40"/>
    <n v="36.799999999999997"/>
  </r>
  <r>
    <x v="22"/>
    <n v="26.2"/>
  </r>
  <r>
    <x v="48"/>
    <n v="6.2"/>
  </r>
  <r>
    <x v="20"/>
    <n v="15.2"/>
  </r>
  <r>
    <x v="26"/>
    <n v="25.6"/>
  </r>
  <r>
    <x v="62"/>
    <n v="10.6"/>
  </r>
  <r>
    <x v="29"/>
    <n v="39.4"/>
  </r>
  <r>
    <x v="53"/>
    <n v="11.2"/>
  </r>
  <r>
    <x v="30"/>
    <n v="12"/>
  </r>
  <r>
    <x v="5"/>
    <n v="7.7"/>
  </r>
  <r>
    <x v="29"/>
    <n v="39.4"/>
  </r>
  <r>
    <x v="52"/>
    <n v="14.4"/>
  </r>
  <r>
    <x v="5"/>
    <n v="7.7"/>
  </r>
  <r>
    <x v="38"/>
    <n v="14.4"/>
  </r>
  <r>
    <x v="35"/>
    <n v="31.2"/>
  </r>
  <r>
    <x v="44"/>
    <n v="36.4"/>
  </r>
  <r>
    <x v="38"/>
    <n v="14.4"/>
  </r>
  <r>
    <x v="42"/>
    <n v="17.2"/>
  </r>
  <r>
    <x v="31"/>
    <n v="14.4"/>
  </r>
  <r>
    <x v="63"/>
    <n v="5.6"/>
  </r>
  <r>
    <x v="50"/>
    <n v="12.4"/>
  </r>
  <r>
    <x v="64"/>
    <n v="11.2"/>
  </r>
  <r>
    <x v="13"/>
    <n v="14.4"/>
  </r>
  <r>
    <x v="19"/>
    <n v="13.9"/>
  </r>
  <r>
    <x v="31"/>
    <n v="14.4"/>
  </r>
  <r>
    <x v="54"/>
    <n v="9.6"/>
  </r>
  <r>
    <x v="21"/>
    <n v="44"/>
  </r>
  <r>
    <x v="46"/>
    <n v="35.1"/>
  </r>
  <r>
    <x v="65"/>
    <n v="20"/>
  </r>
  <r>
    <x v="43"/>
    <n v="4.8"/>
  </r>
  <r>
    <x v="3"/>
    <n v="18.600000000000001"/>
  </r>
  <r>
    <x v="12"/>
    <n v="10"/>
  </r>
  <r>
    <x v="2"/>
    <n v="27.8"/>
  </r>
  <r>
    <x v="66"/>
    <n v="17.600000000000001"/>
  </r>
  <r>
    <x v="8"/>
    <n v="15.6"/>
  </r>
  <r>
    <x v="48"/>
    <n v="6.2"/>
  </r>
  <r>
    <x v="18"/>
    <n v="15.2"/>
  </r>
  <r>
    <x v="0"/>
    <n v="16.8"/>
  </r>
  <r>
    <x v="34"/>
    <n v="20.7"/>
  </r>
  <r>
    <x v="62"/>
    <n v="10.6"/>
  </r>
  <r>
    <x v="21"/>
    <n v="44"/>
  </r>
  <r>
    <x v="6"/>
    <n v="16.8"/>
  </r>
  <r>
    <x v="56"/>
    <n v="10"/>
  </r>
  <r>
    <x v="49"/>
    <n v="7.3"/>
  </r>
  <r>
    <x v="34"/>
    <n v="20.7"/>
  </r>
  <r>
    <x v="67"/>
    <n v="210.8"/>
  </r>
  <r>
    <x v="33"/>
    <n v="30.4"/>
  </r>
  <r>
    <x v="68"/>
    <n v="24.9"/>
  </r>
  <r>
    <x v="2"/>
    <n v="27.8"/>
  </r>
  <r>
    <x v="55"/>
    <n v="5.9"/>
  </r>
  <r>
    <x v="59"/>
    <n v="50"/>
  </r>
  <r>
    <x v="1"/>
    <n v="11.2"/>
  </r>
  <r>
    <x v="69"/>
    <n v="7.6"/>
  </r>
  <r>
    <x v="3"/>
    <n v="18.600000000000001"/>
  </r>
  <r>
    <x v="27"/>
    <n v="8"/>
  </r>
  <r>
    <x v="42"/>
    <n v="17.2"/>
  </r>
  <r>
    <x v="63"/>
    <n v="5.6"/>
  </r>
  <r>
    <x v="56"/>
    <n v="10"/>
  </r>
  <r>
    <x v="66"/>
    <n v="17.600000000000001"/>
  </r>
  <r>
    <x v="70"/>
    <n v="7.2"/>
  </r>
  <r>
    <x v="68"/>
    <n v="24.9"/>
  </r>
  <r>
    <x v="20"/>
    <n v="15.2"/>
  </r>
  <r>
    <x v="28"/>
    <n v="20.8"/>
  </r>
  <r>
    <x v="2"/>
    <n v="27.8"/>
  </r>
  <r>
    <x v="35"/>
    <n v="31.2"/>
  </r>
  <r>
    <x v="34"/>
    <n v="20.7"/>
  </r>
  <r>
    <x v="66"/>
    <n v="17.600000000000001"/>
  </r>
  <r>
    <x v="35"/>
    <n v="31.2"/>
  </r>
  <r>
    <x v="29"/>
    <n v="39.4"/>
  </r>
  <r>
    <x v="59"/>
    <n v="50"/>
  </r>
  <r>
    <x v="5"/>
    <n v="7.7"/>
  </r>
  <r>
    <x v="40"/>
    <n v="36.799999999999997"/>
  </r>
  <r>
    <x v="10"/>
    <n v="2"/>
  </r>
  <r>
    <x v="21"/>
    <n v="44"/>
  </r>
  <r>
    <x v="18"/>
    <n v="15.2"/>
  </r>
  <r>
    <x v="12"/>
    <n v="10"/>
  </r>
  <r>
    <x v="20"/>
    <n v="15.2"/>
  </r>
  <r>
    <x v="16"/>
    <n v="19.2"/>
  </r>
  <r>
    <x v="58"/>
    <n v="26.6"/>
  </r>
  <r>
    <x v="56"/>
    <n v="10"/>
  </r>
  <r>
    <x v="38"/>
    <n v="14.4"/>
  </r>
  <r>
    <x v="66"/>
    <n v="17.600000000000001"/>
  </r>
  <r>
    <x v="71"/>
    <n v="32"/>
  </r>
  <r>
    <x v="71"/>
    <n v="32"/>
  </r>
  <r>
    <x v="49"/>
    <n v="7.3"/>
  </r>
  <r>
    <x v="1"/>
    <n v="11.2"/>
  </r>
  <r>
    <x v="35"/>
    <n v="31.2"/>
  </r>
  <r>
    <x v="33"/>
    <n v="30.4"/>
  </r>
  <r>
    <x v="64"/>
    <n v="11.2"/>
  </r>
  <r>
    <x v="13"/>
    <n v="14.4"/>
  </r>
  <r>
    <x v="37"/>
    <n v="14.7"/>
  </r>
  <r>
    <x v="48"/>
    <n v="6.2"/>
  </r>
  <r>
    <x v="52"/>
    <n v="14.4"/>
  </r>
  <r>
    <x v="70"/>
    <n v="7.2"/>
  </r>
  <r>
    <x v="55"/>
    <n v="5.9"/>
  </r>
  <r>
    <x v="72"/>
    <n v="13"/>
  </r>
  <r>
    <x v="60"/>
    <n v="28.8"/>
  </r>
  <r>
    <x v="67"/>
    <n v="210.8"/>
  </r>
  <r>
    <x v="5"/>
    <n v="7.7"/>
  </r>
  <r>
    <x v="45"/>
    <n v="15.5"/>
  </r>
  <r>
    <x v="6"/>
    <n v="16.8"/>
  </r>
  <r>
    <x v="15"/>
    <n v="3.6"/>
  </r>
  <r>
    <x v="55"/>
    <n v="5.9"/>
  </r>
  <r>
    <x v="0"/>
    <n v="16.8"/>
  </r>
  <r>
    <x v="67"/>
    <n v="210.8"/>
  </r>
  <r>
    <x v="52"/>
    <n v="14.4"/>
  </r>
  <r>
    <x v="39"/>
    <n v="99"/>
  </r>
  <r>
    <x v="15"/>
    <n v="3.6"/>
  </r>
  <r>
    <x v="8"/>
    <n v="15.6"/>
  </r>
  <r>
    <x v="12"/>
    <n v="10"/>
  </r>
  <r>
    <x v="16"/>
    <n v="19.2"/>
  </r>
  <r>
    <x v="60"/>
    <n v="28.8"/>
  </r>
  <r>
    <x v="41"/>
    <n v="24.8"/>
  </r>
  <r>
    <x v="68"/>
    <n v="24.9"/>
  </r>
  <r>
    <x v="11"/>
    <n v="27.2"/>
  </r>
  <r>
    <x v="15"/>
    <n v="3.6"/>
  </r>
  <r>
    <x v="53"/>
    <n v="11.2"/>
  </r>
  <r>
    <x v="20"/>
    <n v="15.2"/>
  </r>
  <r>
    <x v="19"/>
    <n v="13.9"/>
  </r>
  <r>
    <x v="12"/>
    <n v="10"/>
  </r>
  <r>
    <x v="11"/>
    <n v="27.2"/>
  </r>
  <r>
    <x v="44"/>
    <n v="36.4"/>
  </r>
  <r>
    <x v="39"/>
    <n v="99"/>
  </r>
  <r>
    <x v="67"/>
    <n v="210.8"/>
  </r>
  <r>
    <x v="14"/>
    <n v="16"/>
  </r>
  <r>
    <x v="55"/>
    <n v="5.9"/>
  </r>
  <r>
    <x v="13"/>
    <n v="14.4"/>
  </r>
  <r>
    <x v="11"/>
    <n v="27.2"/>
  </r>
  <r>
    <x v="64"/>
    <n v="11.2"/>
  </r>
  <r>
    <x v="4"/>
    <n v="42.4"/>
  </r>
  <r>
    <x v="55"/>
    <n v="5.9"/>
  </r>
  <r>
    <x v="12"/>
    <n v="10"/>
  </r>
  <r>
    <x v="48"/>
    <n v="6.2"/>
  </r>
  <r>
    <x v="38"/>
    <n v="14.4"/>
  </r>
  <r>
    <x v="60"/>
    <n v="28.8"/>
  </r>
  <r>
    <x v="42"/>
    <n v="17.2"/>
  </r>
  <r>
    <x v="0"/>
    <n v="16.8"/>
  </r>
  <r>
    <x v="6"/>
    <n v="16.8"/>
  </r>
  <r>
    <x v="23"/>
    <n v="10.4"/>
  </r>
  <r>
    <x v="53"/>
    <n v="11.2"/>
  </r>
  <r>
    <x v="55"/>
    <n v="5.9"/>
  </r>
  <r>
    <x v="6"/>
    <n v="16.8"/>
  </r>
  <r>
    <x v="23"/>
    <n v="10.4"/>
  </r>
  <r>
    <x v="27"/>
    <n v="8"/>
  </r>
  <r>
    <x v="44"/>
    <n v="36.4"/>
  </r>
  <r>
    <x v="8"/>
    <n v="15.6"/>
  </r>
  <r>
    <x v="58"/>
    <n v="26.6"/>
  </r>
  <r>
    <x v="39"/>
    <n v="99"/>
  </r>
  <r>
    <x v="33"/>
    <n v="30.4"/>
  </r>
  <r>
    <x v="52"/>
    <n v="14.4"/>
  </r>
  <r>
    <x v="58"/>
    <n v="26.6"/>
  </r>
  <r>
    <x v="17"/>
    <n v="8"/>
  </r>
  <r>
    <x v="20"/>
    <n v="15.2"/>
  </r>
  <r>
    <x v="9"/>
    <n v="64.8"/>
  </r>
  <r>
    <x v="67"/>
    <n v="210.8"/>
  </r>
  <r>
    <x v="11"/>
    <n v="27.2"/>
  </r>
  <r>
    <x v="2"/>
    <n v="27.8"/>
  </r>
  <r>
    <x v="12"/>
    <n v="10"/>
  </r>
  <r>
    <x v="62"/>
    <n v="10.6"/>
  </r>
  <r>
    <x v="3"/>
    <n v="18.600000000000001"/>
  </r>
  <r>
    <x v="55"/>
    <n v="5.9"/>
  </r>
  <r>
    <x v="12"/>
    <n v="10"/>
  </r>
  <r>
    <x v="44"/>
    <n v="36.4"/>
  </r>
  <r>
    <x v="13"/>
    <n v="14.4"/>
  </r>
  <r>
    <x v="42"/>
    <n v="17.2"/>
  </r>
  <r>
    <x v="5"/>
    <n v="7.7"/>
  </r>
  <r>
    <x v="46"/>
    <n v="35.1"/>
  </r>
  <r>
    <x v="6"/>
    <n v="16.8"/>
  </r>
  <r>
    <x v="17"/>
    <n v="8"/>
  </r>
  <r>
    <x v="25"/>
    <n v="17"/>
  </r>
  <r>
    <x v="59"/>
    <n v="50"/>
  </r>
  <r>
    <x v="39"/>
    <n v="99"/>
  </r>
  <r>
    <x v="10"/>
    <n v="2"/>
  </r>
  <r>
    <x v="17"/>
    <n v="8"/>
  </r>
  <r>
    <x v="43"/>
    <n v="4.8"/>
  </r>
  <r>
    <x v="72"/>
    <n v="13"/>
  </r>
  <r>
    <x v="33"/>
    <n v="30.4"/>
  </r>
  <r>
    <x v="9"/>
    <n v="64.8"/>
  </r>
  <r>
    <x v="11"/>
    <n v="27.2"/>
  </r>
  <r>
    <x v="32"/>
    <n v="24"/>
  </r>
  <r>
    <x v="11"/>
    <n v="27.2"/>
  </r>
  <r>
    <x v="56"/>
    <n v="10"/>
  </r>
  <r>
    <x v="15"/>
    <n v="3.6"/>
  </r>
  <r>
    <x v="53"/>
    <n v="11.2"/>
  </r>
  <r>
    <x v="15"/>
    <n v="3.6"/>
  </r>
  <r>
    <x v="44"/>
    <n v="36.4"/>
  </r>
  <r>
    <x v="21"/>
    <n v="44"/>
  </r>
  <r>
    <x v="42"/>
    <n v="17.2"/>
  </r>
  <r>
    <x v="73"/>
    <n v="7.6"/>
  </r>
  <r>
    <x v="63"/>
    <n v="5.6"/>
  </r>
  <r>
    <x v="22"/>
    <n v="26.2"/>
  </r>
  <r>
    <x v="41"/>
    <n v="24.8"/>
  </r>
  <r>
    <x v="16"/>
    <n v="19.2"/>
  </r>
  <r>
    <x v="29"/>
    <n v="39.4"/>
  </r>
  <r>
    <x v="30"/>
    <n v="12"/>
  </r>
  <r>
    <x v="12"/>
    <n v="10"/>
  </r>
  <r>
    <x v="31"/>
    <n v="14.4"/>
  </r>
  <r>
    <x v="54"/>
    <n v="9.6"/>
  </r>
  <r>
    <x v="2"/>
    <n v="27.8"/>
  </r>
  <r>
    <x v="43"/>
    <n v="4.8"/>
  </r>
  <r>
    <x v="60"/>
    <n v="28.8"/>
  </r>
  <r>
    <x v="18"/>
    <n v="15.2"/>
  </r>
  <r>
    <x v="3"/>
    <n v="18.600000000000001"/>
  </r>
  <r>
    <x v="64"/>
    <n v="11.2"/>
  </r>
  <r>
    <x v="68"/>
    <n v="24.9"/>
  </r>
  <r>
    <x v="12"/>
    <n v="10"/>
  </r>
  <r>
    <x v="43"/>
    <n v="4.8"/>
  </r>
  <r>
    <x v="29"/>
    <n v="39.4"/>
  </r>
  <r>
    <x v="54"/>
    <n v="9.6"/>
  </r>
  <r>
    <x v="22"/>
    <n v="26.2"/>
  </r>
  <r>
    <x v="60"/>
    <n v="28.8"/>
  </r>
  <r>
    <x v="70"/>
    <n v="7.2"/>
  </r>
  <r>
    <x v="42"/>
    <n v="17.2"/>
  </r>
  <r>
    <x v="2"/>
    <n v="27.8"/>
  </r>
  <r>
    <x v="27"/>
    <n v="8"/>
  </r>
  <r>
    <x v="4"/>
    <n v="42.4"/>
  </r>
  <r>
    <x v="31"/>
    <n v="14.4"/>
  </r>
  <r>
    <x v="16"/>
    <n v="19.2"/>
  </r>
  <r>
    <x v="56"/>
    <n v="10"/>
  </r>
  <r>
    <x v="42"/>
    <n v="17.2"/>
  </r>
  <r>
    <x v="38"/>
    <n v="14.4"/>
  </r>
  <r>
    <x v="23"/>
    <n v="10.4"/>
  </r>
  <r>
    <x v="39"/>
    <n v="99"/>
  </r>
  <r>
    <x v="31"/>
    <n v="14.4"/>
  </r>
  <r>
    <x v="14"/>
    <n v="16"/>
  </r>
  <r>
    <x v="34"/>
    <n v="20.7"/>
  </r>
  <r>
    <x v="33"/>
    <n v="30.4"/>
  </r>
  <r>
    <x v="6"/>
    <n v="16.8"/>
  </r>
  <r>
    <x v="42"/>
    <n v="17.2"/>
  </r>
  <r>
    <x v="70"/>
    <n v="7.2"/>
  </r>
  <r>
    <x v="46"/>
    <n v="35.1"/>
  </r>
  <r>
    <x v="19"/>
    <n v="13.9"/>
  </r>
  <r>
    <x v="74"/>
    <n v="10.199999999999999"/>
  </r>
  <r>
    <x v="68"/>
    <n v="24.9"/>
  </r>
  <r>
    <x v="1"/>
    <n v="11.2"/>
  </r>
  <r>
    <x v="14"/>
    <n v="16"/>
  </r>
  <r>
    <x v="57"/>
    <n v="8"/>
  </r>
  <r>
    <x v="52"/>
    <n v="14.4"/>
  </r>
  <r>
    <x v="27"/>
    <n v="8"/>
  </r>
  <r>
    <x v="44"/>
    <n v="36.4"/>
  </r>
  <r>
    <x v="20"/>
    <n v="15.2"/>
  </r>
  <r>
    <x v="37"/>
    <n v="14.7"/>
  </r>
  <r>
    <x v="0"/>
    <n v="16.8"/>
  </r>
  <r>
    <x v="60"/>
    <n v="28.8"/>
  </r>
  <r>
    <x v="42"/>
    <n v="17.2"/>
  </r>
  <r>
    <x v="28"/>
    <n v="20.8"/>
  </r>
  <r>
    <x v="55"/>
    <n v="5.9"/>
  </r>
  <r>
    <x v="29"/>
    <n v="39.4"/>
  </r>
  <r>
    <x v="3"/>
    <n v="18.600000000000001"/>
  </r>
  <r>
    <x v="27"/>
    <n v="8"/>
  </r>
  <r>
    <x v="10"/>
    <n v="2"/>
  </r>
  <r>
    <x v="21"/>
    <n v="44"/>
  </r>
  <r>
    <x v="5"/>
    <n v="7.7"/>
  </r>
  <r>
    <x v="45"/>
    <n v="15.5"/>
  </r>
  <r>
    <x v="21"/>
    <n v="44"/>
  </r>
  <r>
    <x v="3"/>
    <n v="18.600000000000001"/>
  </r>
  <r>
    <x v="52"/>
    <n v="14.4"/>
  </r>
  <r>
    <x v="29"/>
    <n v="39.4"/>
  </r>
  <r>
    <x v="38"/>
    <n v="14.4"/>
  </r>
  <r>
    <x v="49"/>
    <n v="7.3"/>
  </r>
  <r>
    <x v="10"/>
    <n v="2"/>
  </r>
  <r>
    <x v="35"/>
    <n v="31.2"/>
  </r>
  <r>
    <x v="10"/>
    <n v="2"/>
  </r>
  <r>
    <x v="49"/>
    <n v="7.3"/>
  </r>
  <r>
    <x v="22"/>
    <n v="26.2"/>
  </r>
  <r>
    <x v="8"/>
    <n v="15.6"/>
  </r>
  <r>
    <x v="67"/>
    <n v="210.8"/>
  </r>
  <r>
    <x v="54"/>
    <n v="9.6"/>
  </r>
  <r>
    <x v="56"/>
    <n v="10"/>
  </r>
  <r>
    <x v="23"/>
    <n v="10.4"/>
  </r>
  <r>
    <x v="18"/>
    <n v="15.2"/>
  </r>
  <r>
    <x v="69"/>
    <n v="7.6"/>
  </r>
  <r>
    <x v="75"/>
    <n v="22.8"/>
  </r>
  <r>
    <x v="17"/>
    <n v="8"/>
  </r>
  <r>
    <x v="11"/>
    <n v="27.2"/>
  </r>
  <r>
    <x v="60"/>
    <n v="28.8"/>
  </r>
  <r>
    <x v="76"/>
    <n v="77.599999999999994"/>
  </r>
  <r>
    <x v="43"/>
    <n v="4.8"/>
  </r>
  <r>
    <x v="30"/>
    <n v="12"/>
  </r>
  <r>
    <x v="47"/>
    <n v="12"/>
  </r>
  <r>
    <x v="49"/>
    <n v="7.3"/>
  </r>
  <r>
    <x v="68"/>
    <n v="24.9"/>
  </r>
  <r>
    <x v="22"/>
    <n v="26.2"/>
  </r>
  <r>
    <x v="23"/>
    <n v="10.4"/>
  </r>
  <r>
    <x v="68"/>
    <n v="24.9"/>
  </r>
  <r>
    <x v="12"/>
    <n v="10"/>
  </r>
  <r>
    <x v="21"/>
    <n v="44"/>
  </r>
  <r>
    <x v="31"/>
    <n v="14.4"/>
  </r>
  <r>
    <x v="67"/>
    <n v="210.8"/>
  </r>
  <r>
    <x v="56"/>
    <n v="10"/>
  </r>
  <r>
    <x v="16"/>
    <n v="19.2"/>
  </r>
  <r>
    <x v="38"/>
    <n v="14.4"/>
  </r>
  <r>
    <x v="33"/>
    <n v="30.4"/>
  </r>
  <r>
    <x v="58"/>
    <n v="26.6"/>
  </r>
  <r>
    <x v="3"/>
    <n v="18.600000000000001"/>
  </r>
  <r>
    <x v="54"/>
    <n v="9.6"/>
  </r>
  <r>
    <x v="35"/>
    <n v="31.2"/>
  </r>
  <r>
    <x v="27"/>
    <n v="8"/>
  </r>
  <r>
    <x v="33"/>
    <n v="30.4"/>
  </r>
  <r>
    <x v="21"/>
    <n v="44"/>
  </r>
  <r>
    <x v="35"/>
    <n v="31.2"/>
  </r>
  <r>
    <x v="37"/>
    <n v="14.7"/>
  </r>
  <r>
    <x v="69"/>
    <n v="7.6"/>
  </r>
  <r>
    <x v="68"/>
    <n v="24.9"/>
  </r>
  <r>
    <x v="55"/>
    <n v="5.9"/>
  </r>
  <r>
    <x v="33"/>
    <n v="30.4"/>
  </r>
  <r>
    <x v="0"/>
    <n v="16.8"/>
  </r>
  <r>
    <x v="38"/>
    <n v="14.4"/>
  </r>
  <r>
    <x v="18"/>
    <n v="15.2"/>
  </r>
  <r>
    <x v="7"/>
    <n v="16.8"/>
  </r>
  <r>
    <x v="2"/>
    <n v="27.8"/>
  </r>
  <r>
    <x v="54"/>
    <n v="9.6"/>
  </r>
  <r>
    <x v="33"/>
    <n v="30.4"/>
  </r>
  <r>
    <x v="58"/>
    <n v="26.6"/>
  </r>
  <r>
    <x v="48"/>
    <n v="6.2"/>
  </r>
  <r>
    <x v="22"/>
    <n v="26.2"/>
  </r>
  <r>
    <x v="49"/>
    <n v="7.3"/>
  </r>
  <r>
    <x v="53"/>
    <n v="11.2"/>
  </r>
  <r>
    <x v="8"/>
    <n v="15.6"/>
  </r>
  <r>
    <x v="36"/>
    <n v="30.4"/>
  </r>
  <r>
    <x v="19"/>
    <n v="13.9"/>
  </r>
  <r>
    <x v="58"/>
    <n v="26.6"/>
  </r>
  <r>
    <x v="17"/>
    <n v="8"/>
  </r>
  <r>
    <x v="18"/>
    <n v="15.2"/>
  </r>
  <r>
    <x v="19"/>
    <n v="13.9"/>
  </r>
  <r>
    <x v="39"/>
    <n v="99"/>
  </r>
  <r>
    <x v="75"/>
    <n v="22.8"/>
  </r>
  <r>
    <x v="24"/>
    <n v="35.1"/>
  </r>
  <r>
    <x v="0"/>
    <n v="16.8"/>
  </r>
  <r>
    <x v="55"/>
    <n v="5.9"/>
  </r>
  <r>
    <x v="61"/>
    <n v="13.6"/>
  </r>
  <r>
    <x v="0"/>
    <n v="16.8"/>
  </r>
  <r>
    <x v="44"/>
    <n v="36.4"/>
  </r>
  <r>
    <x v="35"/>
    <n v="31.2"/>
  </r>
  <r>
    <x v="68"/>
    <n v="24.9"/>
  </r>
  <r>
    <x v="31"/>
    <n v="14.4"/>
  </r>
  <r>
    <x v="5"/>
    <n v="7.7"/>
  </r>
  <r>
    <x v="13"/>
    <n v="14.4"/>
  </r>
  <r>
    <x v="55"/>
    <n v="5.9"/>
  </r>
  <r>
    <x v="49"/>
    <n v="7.3"/>
  </r>
  <r>
    <x v="15"/>
    <n v="3.6"/>
  </r>
  <r>
    <x v="12"/>
    <n v="10"/>
  </r>
  <r>
    <x v="63"/>
    <n v="5.6"/>
  </r>
  <r>
    <x v="49"/>
    <n v="7.3"/>
  </r>
  <r>
    <x v="6"/>
    <n v="16.8"/>
  </r>
  <r>
    <x v="42"/>
    <n v="17.2"/>
  </r>
  <r>
    <x v="68"/>
    <n v="24.9"/>
  </r>
  <r>
    <x v="37"/>
    <n v="14.7"/>
  </r>
  <r>
    <x v="41"/>
    <n v="24.8"/>
  </r>
  <r>
    <x v="63"/>
    <n v="5.6"/>
  </r>
  <r>
    <x v="29"/>
    <n v="39.4"/>
  </r>
  <r>
    <x v="41"/>
    <n v="24.8"/>
  </r>
  <r>
    <x v="55"/>
    <n v="5.9"/>
  </r>
  <r>
    <x v="16"/>
    <n v="19.2"/>
  </r>
  <r>
    <x v="58"/>
    <n v="26.6"/>
  </r>
  <r>
    <x v="6"/>
    <n v="16.8"/>
  </r>
  <r>
    <x v="23"/>
    <n v="10.4"/>
  </r>
  <r>
    <x v="44"/>
    <n v="36.4"/>
  </r>
  <r>
    <x v="45"/>
    <n v="15.5"/>
  </r>
  <r>
    <x v="74"/>
    <n v="10.199999999999999"/>
  </r>
  <r>
    <x v="30"/>
    <n v="12"/>
  </r>
  <r>
    <x v="19"/>
    <n v="13.9"/>
  </r>
  <r>
    <x v="10"/>
    <n v="2"/>
  </r>
  <r>
    <x v="54"/>
    <n v="9.6"/>
  </r>
  <r>
    <x v="13"/>
    <n v="14.4"/>
  </r>
  <r>
    <x v="22"/>
    <n v="26.2"/>
  </r>
  <r>
    <x v="75"/>
    <n v="22.8"/>
  </r>
  <r>
    <x v="42"/>
    <n v="17.2"/>
  </r>
  <r>
    <x v="27"/>
    <n v="8"/>
  </r>
  <r>
    <x v="14"/>
    <n v="16"/>
  </r>
  <r>
    <x v="21"/>
    <n v="44"/>
  </r>
  <r>
    <x v="68"/>
    <n v="24.9"/>
  </r>
  <r>
    <x v="44"/>
    <n v="36.4"/>
  </r>
  <r>
    <x v="40"/>
    <n v="36.799999999999997"/>
  </r>
  <r>
    <x v="33"/>
    <n v="30.4"/>
  </r>
  <r>
    <x v="42"/>
    <n v="17.2"/>
  </r>
  <r>
    <x v="32"/>
    <n v="24"/>
  </r>
  <r>
    <x v="54"/>
    <n v="9.6"/>
  </r>
  <r>
    <x v="2"/>
    <n v="27.8"/>
  </r>
  <r>
    <x v="56"/>
    <n v="10"/>
  </r>
  <r>
    <x v="48"/>
    <n v="6.2"/>
  </r>
  <r>
    <x v="27"/>
    <n v="8"/>
  </r>
  <r>
    <x v="34"/>
    <n v="20.7"/>
  </r>
  <r>
    <x v="16"/>
    <n v="19.2"/>
  </r>
  <r>
    <x v="43"/>
    <n v="4.8"/>
  </r>
  <r>
    <x v="70"/>
    <n v="7.2"/>
  </r>
  <r>
    <x v="49"/>
    <n v="7.3"/>
  </r>
  <r>
    <x v="1"/>
    <n v="11.2"/>
  </r>
  <r>
    <x v="66"/>
    <n v="17.600000000000001"/>
  </r>
  <r>
    <x v="40"/>
    <n v="36.799999999999997"/>
  </r>
  <r>
    <x v="33"/>
    <n v="30.4"/>
  </r>
  <r>
    <x v="11"/>
    <n v="27.2"/>
  </r>
  <r>
    <x v="15"/>
    <n v="3.6"/>
  </r>
  <r>
    <x v="39"/>
    <n v="99"/>
  </r>
  <r>
    <x v="37"/>
    <n v="14.7"/>
  </r>
  <r>
    <x v="73"/>
    <n v="7.6"/>
  </r>
  <r>
    <x v="72"/>
    <n v="13"/>
  </r>
  <r>
    <x v="0"/>
    <n v="16.8"/>
  </r>
  <r>
    <x v="54"/>
    <n v="9.6"/>
  </r>
  <r>
    <x v="15"/>
    <n v="3.6"/>
  </r>
  <r>
    <x v="64"/>
    <n v="11.2"/>
  </r>
  <r>
    <x v="34"/>
    <n v="20.7"/>
  </r>
  <r>
    <x v="40"/>
    <n v="36.799999999999997"/>
  </r>
  <r>
    <x v="18"/>
    <n v="15.2"/>
  </r>
  <r>
    <x v="19"/>
    <n v="13.9"/>
  </r>
  <r>
    <x v="45"/>
    <n v="15.5"/>
  </r>
  <r>
    <x v="59"/>
    <n v="50"/>
  </r>
  <r>
    <x v="70"/>
    <n v="7.2"/>
  </r>
  <r>
    <x v="58"/>
    <n v="26.6"/>
  </r>
  <r>
    <x v="32"/>
    <n v="24"/>
  </r>
  <r>
    <x v="33"/>
    <n v="30.4"/>
  </r>
  <r>
    <x v="15"/>
    <n v="3.6"/>
  </r>
  <r>
    <x v="4"/>
    <n v="42.4"/>
  </r>
  <r>
    <x v="10"/>
    <n v="2"/>
  </r>
  <r>
    <x v="42"/>
    <n v="17.2"/>
  </r>
  <r>
    <x v="3"/>
    <n v="18.600000000000001"/>
  </r>
  <r>
    <x v="44"/>
    <n v="36.4"/>
  </r>
  <r>
    <x v="37"/>
    <n v="14.7"/>
  </r>
  <r>
    <x v="48"/>
    <n v="6.2"/>
  </r>
  <r>
    <x v="12"/>
    <n v="10"/>
  </r>
  <r>
    <x v="61"/>
    <n v="13.6"/>
  </r>
  <r>
    <x v="38"/>
    <n v="14.4"/>
  </r>
  <r>
    <x v="16"/>
    <n v="19.2"/>
  </r>
  <r>
    <x v="30"/>
    <n v="12"/>
  </r>
  <r>
    <x v="52"/>
    <n v="14.4"/>
  </r>
  <r>
    <x v="27"/>
    <n v="8"/>
  </r>
  <r>
    <x v="13"/>
    <n v="14.4"/>
  </r>
  <r>
    <x v="41"/>
    <n v="24.8"/>
  </r>
  <r>
    <x v="67"/>
    <n v="210.8"/>
  </r>
  <r>
    <x v="22"/>
    <n v="26.2"/>
  </r>
  <r>
    <x v="21"/>
    <n v="44"/>
  </r>
  <r>
    <x v="58"/>
    <n v="26.6"/>
  </r>
  <r>
    <x v="69"/>
    <n v="7.6"/>
  </r>
  <r>
    <x v="21"/>
    <n v="44"/>
  </r>
  <r>
    <x v="14"/>
    <n v="16"/>
  </r>
  <r>
    <x v="11"/>
    <n v="27.2"/>
  </r>
  <r>
    <x v="37"/>
    <n v="14.7"/>
  </r>
  <r>
    <x v="53"/>
    <n v="11.2"/>
  </r>
  <r>
    <x v="23"/>
    <n v="10.4"/>
  </r>
  <r>
    <x v="27"/>
    <n v="8"/>
  </r>
  <r>
    <x v="37"/>
    <n v="14.7"/>
  </r>
  <r>
    <x v="4"/>
    <n v="42.4"/>
  </r>
  <r>
    <x v="18"/>
    <n v="15.2"/>
  </r>
  <r>
    <x v="57"/>
    <n v="8"/>
  </r>
  <r>
    <x v="16"/>
    <n v="19.2"/>
  </r>
  <r>
    <x v="30"/>
    <n v="12"/>
  </r>
  <r>
    <x v="0"/>
    <n v="16.8"/>
  </r>
  <r>
    <x v="4"/>
    <n v="42.4"/>
  </r>
  <r>
    <x v="17"/>
    <n v="8"/>
  </r>
  <r>
    <x v="49"/>
    <n v="7.3"/>
  </r>
  <r>
    <x v="68"/>
    <n v="24.9"/>
  </r>
  <r>
    <x v="55"/>
    <n v="5.9"/>
  </r>
  <r>
    <x v="21"/>
    <n v="44"/>
  </r>
  <r>
    <x v="47"/>
    <n v="12"/>
  </r>
  <r>
    <x v="0"/>
    <n v="16.8"/>
  </r>
  <r>
    <x v="19"/>
    <n v="13.9"/>
  </r>
  <r>
    <x v="21"/>
    <n v="44"/>
  </r>
  <r>
    <x v="56"/>
    <n v="10"/>
  </r>
  <r>
    <x v="48"/>
    <n v="6.2"/>
  </r>
  <r>
    <x v="45"/>
    <n v="15.5"/>
  </r>
  <r>
    <x v="23"/>
    <n v="10.4"/>
  </r>
  <r>
    <x v="64"/>
    <n v="11.2"/>
  </r>
  <r>
    <x v="1"/>
    <n v="11.2"/>
  </r>
  <r>
    <x v="6"/>
    <n v="16.8"/>
  </r>
  <r>
    <x v="61"/>
    <n v="13.6"/>
  </r>
  <r>
    <x v="60"/>
    <n v="28.8"/>
  </r>
  <r>
    <x v="33"/>
    <n v="30.4"/>
  </r>
  <r>
    <x v="70"/>
    <n v="7.2"/>
  </r>
  <r>
    <x v="5"/>
    <n v="7.7"/>
  </r>
  <r>
    <x v="23"/>
    <n v="10.4"/>
  </r>
  <r>
    <x v="12"/>
    <n v="10"/>
  </r>
  <r>
    <x v="33"/>
    <n v="30.4"/>
  </r>
  <r>
    <x v="2"/>
    <n v="27.8"/>
  </r>
  <r>
    <x v="23"/>
    <n v="10.4"/>
  </r>
  <r>
    <x v="15"/>
    <n v="4.5"/>
  </r>
  <r>
    <x v="37"/>
    <n v="18.399999999999999"/>
  </r>
  <r>
    <x v="1"/>
    <n v="14"/>
  </r>
  <r>
    <x v="44"/>
    <n v="45.6"/>
  </r>
  <r>
    <x v="14"/>
    <n v="20"/>
  </r>
  <r>
    <x v="50"/>
    <n v="15.5"/>
  </r>
  <r>
    <x v="44"/>
    <n v="45.6"/>
  </r>
  <r>
    <x v="55"/>
    <n v="7.45"/>
  </r>
  <r>
    <x v="73"/>
    <n v="9.5"/>
  </r>
  <r>
    <x v="22"/>
    <n v="32.799999999999997"/>
  </r>
  <r>
    <x v="51"/>
    <n v="14"/>
  </r>
  <r>
    <x v="18"/>
    <n v="19"/>
  </r>
  <r>
    <x v="27"/>
    <n v="10"/>
  </r>
  <r>
    <x v="22"/>
    <n v="32.799999999999997"/>
  </r>
  <r>
    <x v="75"/>
    <n v="28.5"/>
  </r>
  <r>
    <x v="29"/>
    <n v="49.3"/>
  </r>
  <r>
    <x v="64"/>
    <n v="14"/>
  </r>
  <r>
    <x v="30"/>
    <n v="15"/>
  </r>
  <r>
    <x v="40"/>
    <n v="46"/>
  </r>
  <r>
    <x v="74"/>
    <n v="12.75"/>
  </r>
  <r>
    <x v="43"/>
    <n v="6"/>
  </r>
  <r>
    <x v="13"/>
    <n v="18"/>
  </r>
  <r>
    <x v="44"/>
    <n v="45.6"/>
  </r>
  <r>
    <x v="39"/>
    <n v="123.79"/>
  </r>
  <r>
    <x v="48"/>
    <n v="7.75"/>
  </r>
  <r>
    <x v="66"/>
    <n v="22"/>
  </r>
  <r>
    <x v="32"/>
    <n v="30"/>
  </r>
  <r>
    <x v="71"/>
    <n v="40"/>
  </r>
  <r>
    <x v="15"/>
    <n v="4.5"/>
  </r>
  <r>
    <x v="54"/>
    <n v="12"/>
  </r>
  <r>
    <x v="69"/>
    <n v="9.5"/>
  </r>
  <r>
    <x v="11"/>
    <n v="34"/>
  </r>
  <r>
    <x v="27"/>
    <n v="10"/>
  </r>
  <r>
    <x v="26"/>
    <n v="32"/>
  </r>
  <r>
    <x v="75"/>
    <n v="28.5"/>
  </r>
  <r>
    <x v="9"/>
    <n v="81"/>
  </r>
  <r>
    <x v="44"/>
    <n v="45.6"/>
  </r>
  <r>
    <x v="33"/>
    <n v="38"/>
  </r>
  <r>
    <x v="6"/>
    <n v="21.05"/>
  </r>
  <r>
    <x v="48"/>
    <n v="7.75"/>
  </r>
  <r>
    <x v="76"/>
    <n v="97"/>
  </r>
  <r>
    <x v="19"/>
    <n v="17.45"/>
  </r>
  <r>
    <x v="24"/>
    <n v="43.9"/>
  </r>
  <r>
    <x v="10"/>
    <n v="2.5"/>
  </r>
  <r>
    <x v="11"/>
    <n v="34"/>
  </r>
  <r>
    <x v="63"/>
    <n v="7"/>
  </r>
  <r>
    <x v="21"/>
    <n v="55"/>
  </r>
  <r>
    <x v="30"/>
    <n v="15"/>
  </r>
  <r>
    <x v="15"/>
    <n v="4.5"/>
  </r>
  <r>
    <x v="67"/>
    <n v="263.5"/>
  </r>
  <r>
    <x v="45"/>
    <n v="19.45"/>
  </r>
  <r>
    <x v="41"/>
    <n v="31"/>
  </r>
  <r>
    <x v="33"/>
    <n v="38"/>
  </r>
  <r>
    <x v="11"/>
    <n v="34"/>
  </r>
  <r>
    <x v="15"/>
    <n v="4.5"/>
  </r>
  <r>
    <x v="22"/>
    <n v="32.799999999999997"/>
  </r>
  <r>
    <x v="31"/>
    <n v="18"/>
  </r>
  <r>
    <x v="5"/>
    <n v="9.65"/>
  </r>
  <r>
    <x v="56"/>
    <n v="12.5"/>
  </r>
  <r>
    <x v="52"/>
    <n v="18"/>
  </r>
  <r>
    <x v="71"/>
    <n v="40"/>
  </r>
  <r>
    <x v="34"/>
    <n v="25.89"/>
  </r>
  <r>
    <x v="37"/>
    <n v="18.399999999999999"/>
  </r>
  <r>
    <x v="35"/>
    <n v="39"/>
  </r>
  <r>
    <x v="9"/>
    <n v="81"/>
  </r>
  <r>
    <x v="28"/>
    <n v="26"/>
  </r>
  <r>
    <x v="5"/>
    <n v="9.65"/>
  </r>
  <r>
    <x v="41"/>
    <n v="31"/>
  </r>
  <r>
    <x v="34"/>
    <n v="25.89"/>
  </r>
  <r>
    <x v="40"/>
    <n v="46"/>
  </r>
  <r>
    <x v="55"/>
    <n v="7.45"/>
  </r>
  <r>
    <x v="20"/>
    <n v="19"/>
  </r>
  <r>
    <x v="37"/>
    <n v="18.399999999999999"/>
  </r>
  <r>
    <x v="52"/>
    <n v="18"/>
  </r>
  <r>
    <x v="43"/>
    <n v="6"/>
  </r>
  <r>
    <x v="33"/>
    <n v="38"/>
  </r>
  <r>
    <x v="66"/>
    <n v="22"/>
  </r>
  <r>
    <x v="20"/>
    <n v="19"/>
  </r>
  <r>
    <x v="0"/>
    <n v="21"/>
  </r>
  <r>
    <x v="10"/>
    <n v="2.5"/>
  </r>
  <r>
    <x v="2"/>
    <n v="34.799999999999997"/>
  </r>
  <r>
    <x v="16"/>
    <n v="24"/>
  </r>
  <r>
    <x v="56"/>
    <n v="12.5"/>
  </r>
  <r>
    <x v="60"/>
    <n v="36"/>
  </r>
  <r>
    <x v="35"/>
    <n v="39"/>
  </r>
  <r>
    <x v="40"/>
    <n v="46"/>
  </r>
  <r>
    <x v="75"/>
    <n v="28.5"/>
  </r>
  <r>
    <x v="38"/>
    <n v="18"/>
  </r>
  <r>
    <x v="21"/>
    <n v="55"/>
  </r>
  <r>
    <x v="34"/>
    <n v="25.89"/>
  </r>
  <r>
    <x v="61"/>
    <n v="17"/>
  </r>
  <r>
    <x v="66"/>
    <n v="22"/>
  </r>
  <r>
    <x v="2"/>
    <n v="34.799999999999997"/>
  </r>
  <r>
    <x v="47"/>
    <n v="15"/>
  </r>
  <r>
    <x v="34"/>
    <n v="25.89"/>
  </r>
  <r>
    <x v="37"/>
    <n v="18.399999999999999"/>
  </r>
  <r>
    <x v="55"/>
    <n v="7.45"/>
  </r>
  <r>
    <x v="0"/>
    <n v="21"/>
  </r>
  <r>
    <x v="37"/>
    <n v="18.399999999999999"/>
  </r>
  <r>
    <x v="8"/>
    <n v="19.5"/>
  </r>
  <r>
    <x v="21"/>
    <n v="55"/>
  </r>
  <r>
    <x v="36"/>
    <n v="38"/>
  </r>
  <r>
    <x v="12"/>
    <n v="12.5"/>
  </r>
  <r>
    <x v="10"/>
    <n v="2.5"/>
  </r>
  <r>
    <x v="11"/>
    <n v="34"/>
  </r>
  <r>
    <x v="12"/>
    <n v="12.5"/>
  </r>
  <r>
    <x v="4"/>
    <n v="53"/>
  </r>
  <r>
    <x v="62"/>
    <n v="13.25"/>
  </r>
  <r>
    <x v="2"/>
    <n v="34.799999999999997"/>
  </r>
  <r>
    <x v="47"/>
    <n v="15"/>
  </r>
  <r>
    <x v="30"/>
    <n v="15"/>
  </r>
  <r>
    <x v="2"/>
    <n v="34.799999999999997"/>
  </r>
  <r>
    <x v="43"/>
    <n v="6"/>
  </r>
  <r>
    <x v="27"/>
    <n v="10"/>
  </r>
  <r>
    <x v="10"/>
    <n v="2.5"/>
  </r>
  <r>
    <x v="14"/>
    <n v="20"/>
  </r>
  <r>
    <x v="57"/>
    <n v="10"/>
  </r>
  <r>
    <x v="68"/>
    <n v="31.23"/>
  </r>
  <r>
    <x v="67"/>
    <n v="263.5"/>
  </r>
  <r>
    <x v="56"/>
    <n v="12.5"/>
  </r>
  <r>
    <x v="15"/>
    <n v="4.5"/>
  </r>
  <r>
    <x v="67"/>
    <n v="263.5"/>
  </r>
  <r>
    <x v="6"/>
    <n v="21.05"/>
  </r>
  <r>
    <x v="42"/>
    <n v="21.5"/>
  </r>
  <r>
    <x v="0"/>
    <n v="21"/>
  </r>
  <r>
    <x v="55"/>
    <n v="7.45"/>
  </r>
  <r>
    <x v="36"/>
    <n v="38"/>
  </r>
  <r>
    <x v="70"/>
    <n v="9"/>
  </r>
  <r>
    <x v="44"/>
    <n v="45.6"/>
  </r>
  <r>
    <x v="51"/>
    <n v="14"/>
  </r>
  <r>
    <x v="0"/>
    <n v="21"/>
  </r>
  <r>
    <x v="32"/>
    <n v="30"/>
  </r>
  <r>
    <x v="31"/>
    <n v="18"/>
  </r>
  <r>
    <x v="29"/>
    <n v="49.3"/>
  </r>
  <r>
    <x v="26"/>
    <n v="32"/>
  </r>
  <r>
    <x v="20"/>
    <n v="19"/>
  </r>
  <r>
    <x v="53"/>
    <n v="14"/>
  </r>
  <r>
    <x v="5"/>
    <n v="9.65"/>
  </r>
  <r>
    <x v="12"/>
    <n v="12.5"/>
  </r>
  <r>
    <x v="73"/>
    <n v="9.5"/>
  </r>
  <r>
    <x v="4"/>
    <n v="53"/>
  </r>
  <r>
    <x v="35"/>
    <n v="39"/>
  </r>
  <r>
    <x v="49"/>
    <n v="9.1999999999999993"/>
  </r>
  <r>
    <x v="27"/>
    <n v="10"/>
  </r>
  <r>
    <x v="75"/>
    <n v="28.5"/>
  </r>
  <r>
    <x v="19"/>
    <n v="17.45"/>
  </r>
  <r>
    <x v="31"/>
    <n v="18"/>
  </r>
  <r>
    <x v="45"/>
    <n v="19.45"/>
  </r>
  <r>
    <x v="60"/>
    <n v="36"/>
  </r>
  <r>
    <x v="48"/>
    <n v="7.75"/>
  </r>
  <r>
    <x v="0"/>
    <n v="21"/>
  </r>
  <r>
    <x v="19"/>
    <n v="17.45"/>
  </r>
  <r>
    <x v="7"/>
    <n v="21"/>
  </r>
  <r>
    <x v="12"/>
    <n v="12.5"/>
  </r>
  <r>
    <x v="31"/>
    <n v="18"/>
  </r>
  <r>
    <x v="19"/>
    <n v="17.45"/>
  </r>
  <r>
    <x v="70"/>
    <n v="9"/>
  </r>
  <r>
    <x v="29"/>
    <n v="49.3"/>
  </r>
  <r>
    <x v="23"/>
    <n v="13"/>
  </r>
  <r>
    <x v="3"/>
    <n v="23.25"/>
  </r>
  <r>
    <x v="49"/>
    <n v="9.1999999999999993"/>
  </r>
  <r>
    <x v="15"/>
    <n v="4.5"/>
  </r>
  <r>
    <x v="4"/>
    <n v="53"/>
  </r>
  <r>
    <x v="33"/>
    <n v="38"/>
  </r>
  <r>
    <x v="2"/>
    <n v="34.799999999999997"/>
  </r>
  <r>
    <x v="58"/>
    <n v="33.25"/>
  </r>
  <r>
    <x v="48"/>
    <n v="7.75"/>
  </r>
  <r>
    <x v="69"/>
    <n v="9.5"/>
  </r>
  <r>
    <x v="4"/>
    <n v="53"/>
  </r>
  <r>
    <x v="63"/>
    <n v="7"/>
  </r>
  <r>
    <x v="22"/>
    <n v="32.799999999999997"/>
  </r>
  <r>
    <x v="47"/>
    <n v="15"/>
  </r>
  <r>
    <x v="5"/>
    <n v="9.65"/>
  </r>
  <r>
    <x v="16"/>
    <n v="24"/>
  </r>
  <r>
    <x v="34"/>
    <n v="25.89"/>
  </r>
  <r>
    <x v="29"/>
    <n v="49.3"/>
  </r>
  <r>
    <x v="45"/>
    <n v="19.45"/>
  </r>
  <r>
    <x v="4"/>
    <n v="53"/>
  </r>
  <r>
    <x v="10"/>
    <n v="2.5"/>
  </r>
  <r>
    <x v="29"/>
    <n v="49.3"/>
  </r>
  <r>
    <x v="20"/>
    <n v="19"/>
  </r>
  <r>
    <x v="63"/>
    <n v="7"/>
  </r>
  <r>
    <x v="35"/>
    <n v="39"/>
  </r>
  <r>
    <x v="12"/>
    <n v="12.5"/>
  </r>
  <r>
    <x v="16"/>
    <n v="24"/>
  </r>
  <r>
    <x v="15"/>
    <n v="4.5"/>
  </r>
  <r>
    <x v="58"/>
    <n v="33.25"/>
  </r>
  <r>
    <x v="0"/>
    <n v="21"/>
  </r>
  <r>
    <x v="59"/>
    <n v="62.5"/>
  </r>
  <r>
    <x v="38"/>
    <n v="18"/>
  </r>
  <r>
    <x v="41"/>
    <n v="31"/>
  </r>
  <r>
    <x v="12"/>
    <n v="12.5"/>
  </r>
  <r>
    <x v="38"/>
    <n v="18"/>
  </r>
  <r>
    <x v="0"/>
    <n v="21"/>
  </r>
  <r>
    <x v="33"/>
    <n v="38"/>
  </r>
  <r>
    <x v="3"/>
    <n v="23.25"/>
  </r>
  <r>
    <x v="1"/>
    <n v="14"/>
  </r>
  <r>
    <x v="19"/>
    <n v="17.45"/>
  </r>
  <r>
    <x v="26"/>
    <n v="32"/>
  </r>
  <r>
    <x v="37"/>
    <n v="18.399999999999999"/>
  </r>
  <r>
    <x v="48"/>
    <n v="7.75"/>
  </r>
  <r>
    <x v="35"/>
    <n v="39"/>
  </r>
  <r>
    <x v="53"/>
    <n v="14"/>
  </r>
  <r>
    <x v="22"/>
    <n v="32.799999999999997"/>
  </r>
  <r>
    <x v="10"/>
    <n v="2.5"/>
  </r>
  <r>
    <x v="37"/>
    <n v="18.399999999999999"/>
  </r>
  <r>
    <x v="29"/>
    <n v="49.3"/>
  </r>
  <r>
    <x v="58"/>
    <n v="33.25"/>
  </r>
  <r>
    <x v="21"/>
    <n v="55"/>
  </r>
  <r>
    <x v="46"/>
    <n v="43.9"/>
  </r>
  <r>
    <x v="2"/>
    <n v="34.799999999999997"/>
  </r>
  <r>
    <x v="38"/>
    <n v="18"/>
  </r>
  <r>
    <x v="52"/>
    <n v="18"/>
  </r>
  <r>
    <x v="12"/>
    <n v="12.5"/>
  </r>
  <r>
    <x v="45"/>
    <n v="19.45"/>
  </r>
  <r>
    <x v="13"/>
    <n v="18"/>
  </r>
  <r>
    <x v="48"/>
    <n v="7.75"/>
  </r>
  <r>
    <x v="23"/>
    <n v="13"/>
  </r>
  <r>
    <x v="31"/>
    <n v="18"/>
  </r>
  <r>
    <x v="8"/>
    <n v="19.5"/>
  </r>
  <r>
    <x v="50"/>
    <n v="15.5"/>
  </r>
  <r>
    <x v="48"/>
    <n v="7.75"/>
  </r>
  <r>
    <x v="3"/>
    <n v="23.25"/>
  </r>
  <r>
    <x v="5"/>
    <n v="9.65"/>
  </r>
  <r>
    <x v="6"/>
    <n v="21.05"/>
  </r>
  <r>
    <x v="48"/>
    <n v="7.75"/>
  </r>
  <r>
    <x v="8"/>
    <n v="19.5"/>
  </r>
  <r>
    <x v="38"/>
    <n v="18"/>
  </r>
  <r>
    <x v="39"/>
    <n v="123.79"/>
  </r>
  <r>
    <x v="11"/>
    <n v="34"/>
  </r>
  <r>
    <x v="60"/>
    <n v="36"/>
  </r>
  <r>
    <x v="12"/>
    <n v="12.5"/>
  </r>
  <r>
    <x v="69"/>
    <n v="9.5"/>
  </r>
  <r>
    <x v="63"/>
    <n v="7"/>
  </r>
  <r>
    <x v="68"/>
    <n v="31.23"/>
  </r>
  <r>
    <x v="31"/>
    <n v="18"/>
  </r>
  <r>
    <x v="23"/>
    <n v="13"/>
  </r>
  <r>
    <x v="59"/>
    <n v="62.5"/>
  </r>
  <r>
    <x v="1"/>
    <n v="14"/>
  </r>
  <r>
    <x v="31"/>
    <n v="18"/>
  </r>
  <r>
    <x v="52"/>
    <n v="18"/>
  </r>
  <r>
    <x v="23"/>
    <n v="13"/>
  </r>
  <r>
    <x v="57"/>
    <n v="10"/>
  </r>
  <r>
    <x v="32"/>
    <n v="30"/>
  </r>
  <r>
    <x v="55"/>
    <n v="7.45"/>
  </r>
  <r>
    <x v="50"/>
    <n v="15.5"/>
  </r>
  <r>
    <x v="68"/>
    <n v="31.23"/>
  </r>
  <r>
    <x v="9"/>
    <n v="81"/>
  </r>
  <r>
    <x v="60"/>
    <n v="36"/>
  </r>
  <r>
    <x v="38"/>
    <n v="18"/>
  </r>
  <r>
    <x v="63"/>
    <n v="7"/>
  </r>
  <r>
    <x v="62"/>
    <n v="13.25"/>
  </r>
  <r>
    <x v="31"/>
    <n v="18"/>
  </r>
  <r>
    <x v="75"/>
    <n v="28.5"/>
  </r>
  <r>
    <x v="60"/>
    <n v="36"/>
  </r>
  <r>
    <x v="33"/>
    <n v="38"/>
  </r>
  <r>
    <x v="46"/>
    <n v="43.9"/>
  </r>
  <r>
    <x v="48"/>
    <n v="7.75"/>
  </r>
  <r>
    <x v="15"/>
    <n v="4.5"/>
  </r>
  <r>
    <x v="8"/>
    <n v="19.5"/>
  </r>
  <r>
    <x v="6"/>
    <n v="21.05"/>
  </r>
  <r>
    <x v="24"/>
    <n v="43.9"/>
  </r>
  <r>
    <x v="42"/>
    <n v="21.5"/>
  </r>
  <r>
    <x v="29"/>
    <n v="49.3"/>
  </r>
  <r>
    <x v="55"/>
    <n v="7.45"/>
  </r>
  <r>
    <x v="47"/>
    <n v="15"/>
  </r>
  <r>
    <x v="43"/>
    <n v="6"/>
  </r>
  <r>
    <x v="21"/>
    <n v="55"/>
  </r>
  <r>
    <x v="23"/>
    <n v="13"/>
  </r>
  <r>
    <x v="7"/>
    <n v="21"/>
  </r>
  <r>
    <x v="14"/>
    <n v="20"/>
  </r>
  <r>
    <x v="74"/>
    <n v="12.75"/>
  </r>
  <r>
    <x v="38"/>
    <n v="18"/>
  </r>
  <r>
    <x v="19"/>
    <n v="17.45"/>
  </r>
  <r>
    <x v="21"/>
    <n v="55"/>
  </r>
  <r>
    <x v="11"/>
    <n v="34"/>
  </r>
  <r>
    <x v="42"/>
    <n v="21.5"/>
  </r>
  <r>
    <x v="66"/>
    <n v="22"/>
  </r>
  <r>
    <x v="16"/>
    <n v="24"/>
  </r>
  <r>
    <x v="29"/>
    <n v="49.3"/>
  </r>
  <r>
    <x v="32"/>
    <n v="30"/>
  </r>
  <r>
    <x v="35"/>
    <n v="39"/>
  </r>
  <r>
    <x v="10"/>
    <n v="2.5"/>
  </r>
  <r>
    <x v="37"/>
    <n v="18.399999999999999"/>
  </r>
  <r>
    <x v="2"/>
    <n v="34.799999999999997"/>
  </r>
  <r>
    <x v="33"/>
    <n v="38"/>
  </r>
  <r>
    <x v="52"/>
    <n v="18"/>
  </r>
  <r>
    <x v="41"/>
    <n v="31"/>
  </r>
  <r>
    <x v="27"/>
    <n v="10"/>
  </r>
  <r>
    <x v="20"/>
    <n v="19"/>
  </r>
  <r>
    <x v="52"/>
    <n v="18"/>
  </r>
  <r>
    <x v="18"/>
    <n v="19"/>
  </r>
  <r>
    <x v="11"/>
    <n v="34"/>
  </r>
  <r>
    <x v="41"/>
    <n v="31"/>
  </r>
  <r>
    <x v="20"/>
    <n v="19"/>
  </r>
  <r>
    <x v="14"/>
    <n v="20"/>
  </r>
  <r>
    <x v="11"/>
    <n v="34"/>
  </r>
  <r>
    <x v="38"/>
    <n v="18"/>
  </r>
  <r>
    <x v="43"/>
    <n v="6"/>
  </r>
  <r>
    <x v="48"/>
    <n v="7.75"/>
  </r>
  <r>
    <x v="0"/>
    <n v="21"/>
  </r>
  <r>
    <x v="27"/>
    <n v="10"/>
  </r>
  <r>
    <x v="13"/>
    <n v="18"/>
  </r>
  <r>
    <x v="16"/>
    <n v="24"/>
  </r>
  <r>
    <x v="67"/>
    <n v="263.5"/>
  </r>
  <r>
    <x v="33"/>
    <n v="38"/>
  </r>
  <r>
    <x v="30"/>
    <n v="15"/>
  </r>
  <r>
    <x v="42"/>
    <n v="21.5"/>
  </r>
  <r>
    <x v="21"/>
    <n v="55"/>
  </r>
  <r>
    <x v="65"/>
    <n v="25"/>
  </r>
  <r>
    <x v="33"/>
    <n v="38"/>
  </r>
  <r>
    <x v="56"/>
    <n v="12.5"/>
  </r>
  <r>
    <x v="27"/>
    <n v="10"/>
  </r>
  <r>
    <x v="7"/>
    <n v="21"/>
  </r>
  <r>
    <x v="15"/>
    <n v="4.5"/>
  </r>
  <r>
    <x v="63"/>
    <n v="7"/>
  </r>
  <r>
    <x v="49"/>
    <n v="9.1999999999999993"/>
  </r>
  <r>
    <x v="70"/>
    <n v="9"/>
  </r>
  <r>
    <x v="30"/>
    <n v="15"/>
  </r>
  <r>
    <x v="42"/>
    <n v="21.5"/>
  </r>
  <r>
    <x v="18"/>
    <n v="19"/>
  </r>
  <r>
    <x v="56"/>
    <n v="12.5"/>
  </r>
  <r>
    <x v="3"/>
    <n v="23.25"/>
  </r>
  <r>
    <x v="49"/>
    <n v="9.1999999999999993"/>
  </r>
  <r>
    <x v="27"/>
    <n v="10"/>
  </r>
  <r>
    <x v="15"/>
    <n v="4.5"/>
  </r>
  <r>
    <x v="31"/>
    <n v="18"/>
  </r>
  <r>
    <x v="44"/>
    <n v="45.6"/>
  </r>
  <r>
    <x v="39"/>
    <n v="123.79"/>
  </r>
  <r>
    <x v="45"/>
    <n v="19.45"/>
  </r>
  <r>
    <x v="3"/>
    <n v="23.25"/>
  </r>
  <r>
    <x v="1"/>
    <n v="14"/>
  </r>
  <r>
    <x v="11"/>
    <n v="34"/>
  </r>
  <r>
    <x v="22"/>
    <n v="32.799999999999997"/>
  </r>
  <r>
    <x v="11"/>
    <n v="34"/>
  </r>
  <r>
    <x v="42"/>
    <n v="21.5"/>
  </r>
  <r>
    <x v="29"/>
    <n v="49.3"/>
  </r>
  <r>
    <x v="47"/>
    <n v="15"/>
  </r>
  <r>
    <x v="52"/>
    <n v="18"/>
  </r>
  <r>
    <x v="39"/>
    <n v="123.79"/>
  </r>
  <r>
    <x v="58"/>
    <n v="33.25"/>
  </r>
  <r>
    <x v="16"/>
    <n v="24"/>
  </r>
  <r>
    <x v="38"/>
    <n v="18"/>
  </r>
  <r>
    <x v="48"/>
    <n v="7.75"/>
  </r>
  <r>
    <x v="18"/>
    <n v="19"/>
  </r>
  <r>
    <x v="10"/>
    <n v="2.5"/>
  </r>
  <r>
    <x v="36"/>
    <n v="38"/>
  </r>
  <r>
    <x v="43"/>
    <n v="6"/>
  </r>
  <r>
    <x v="68"/>
    <n v="31.23"/>
  </r>
  <r>
    <x v="29"/>
    <n v="49.3"/>
  </r>
  <r>
    <x v="32"/>
    <n v="30"/>
  </r>
  <r>
    <x v="59"/>
    <n v="62.5"/>
  </r>
  <r>
    <x v="4"/>
    <n v="53"/>
  </r>
  <r>
    <x v="48"/>
    <n v="7.75"/>
  </r>
  <r>
    <x v="66"/>
    <n v="22"/>
  </r>
  <r>
    <x v="25"/>
    <n v="21.35"/>
  </r>
  <r>
    <x v="7"/>
    <n v="21"/>
  </r>
  <r>
    <x v="66"/>
    <n v="22"/>
  </r>
  <r>
    <x v="62"/>
    <n v="13.25"/>
  </r>
  <r>
    <x v="0"/>
    <n v="21"/>
  </r>
  <r>
    <x v="72"/>
    <n v="16.25"/>
  </r>
  <r>
    <x v="33"/>
    <n v="38"/>
  </r>
  <r>
    <x v="73"/>
    <n v="9.5"/>
  </r>
  <r>
    <x v="6"/>
    <n v="21.05"/>
  </r>
  <r>
    <x v="2"/>
    <n v="34.799999999999997"/>
  </r>
  <r>
    <x v="59"/>
    <n v="62.5"/>
  </r>
  <r>
    <x v="60"/>
    <n v="36"/>
  </r>
  <r>
    <x v="30"/>
    <n v="15"/>
  </r>
  <r>
    <x v="18"/>
    <n v="19"/>
  </r>
  <r>
    <x v="37"/>
    <n v="18.399999999999999"/>
  </r>
  <r>
    <x v="27"/>
    <n v="10"/>
  </r>
  <r>
    <x v="75"/>
    <n v="28.5"/>
  </r>
  <r>
    <x v="44"/>
    <n v="45.6"/>
  </r>
  <r>
    <x v="13"/>
    <n v="18"/>
  </r>
  <r>
    <x v="54"/>
    <n v="12"/>
  </r>
  <r>
    <x v="59"/>
    <n v="62.5"/>
  </r>
  <r>
    <x v="40"/>
    <n v="46"/>
  </r>
  <r>
    <x v="54"/>
    <n v="12"/>
  </r>
  <r>
    <x v="59"/>
    <n v="62.5"/>
  </r>
  <r>
    <x v="20"/>
    <n v="19"/>
  </r>
  <r>
    <x v="49"/>
    <n v="9.1999999999999993"/>
  </r>
  <r>
    <x v="13"/>
    <n v="18"/>
  </r>
  <r>
    <x v="7"/>
    <n v="21"/>
  </r>
  <r>
    <x v="15"/>
    <n v="4.5"/>
  </r>
  <r>
    <x v="44"/>
    <n v="45.6"/>
  </r>
  <r>
    <x v="2"/>
    <n v="34.799999999999997"/>
  </r>
  <r>
    <x v="34"/>
    <n v="25.89"/>
  </r>
  <r>
    <x v="22"/>
    <n v="32.799999999999997"/>
  </r>
  <r>
    <x v="55"/>
    <n v="7.45"/>
  </r>
  <r>
    <x v="49"/>
    <n v="9.1999999999999993"/>
  </r>
  <r>
    <x v="7"/>
    <n v="21"/>
  </r>
  <r>
    <x v="34"/>
    <n v="25.89"/>
  </r>
  <r>
    <x v="1"/>
    <n v="14"/>
  </r>
  <r>
    <x v="19"/>
    <n v="17.45"/>
  </r>
  <r>
    <x v="11"/>
    <n v="34"/>
  </r>
  <r>
    <x v="66"/>
    <n v="22"/>
  </r>
  <r>
    <x v="13"/>
    <n v="18"/>
  </r>
  <r>
    <x v="55"/>
    <n v="7.45"/>
  </r>
  <r>
    <x v="5"/>
    <n v="9.65"/>
  </r>
  <r>
    <x v="3"/>
    <n v="23.25"/>
  </r>
  <r>
    <x v="45"/>
    <n v="19.45"/>
  </r>
  <r>
    <x v="69"/>
    <n v="9.5"/>
  </r>
  <r>
    <x v="50"/>
    <n v="15.5"/>
  </r>
  <r>
    <x v="5"/>
    <n v="9.65"/>
  </r>
  <r>
    <x v="54"/>
    <n v="12"/>
  </r>
  <r>
    <x v="69"/>
    <n v="9.5"/>
  </r>
  <r>
    <x v="33"/>
    <n v="38"/>
  </r>
  <r>
    <x v="11"/>
    <n v="34"/>
  </r>
  <r>
    <x v="27"/>
    <n v="10"/>
  </r>
  <r>
    <x v="37"/>
    <n v="18.399999999999999"/>
  </r>
  <r>
    <x v="11"/>
    <n v="34"/>
  </r>
  <r>
    <x v="23"/>
    <n v="13"/>
  </r>
  <r>
    <x v="12"/>
    <n v="12.5"/>
  </r>
  <r>
    <x v="37"/>
    <n v="18.399999999999999"/>
  </r>
  <r>
    <x v="30"/>
    <n v="15"/>
  </r>
  <r>
    <x v="9"/>
    <n v="81"/>
  </r>
  <r>
    <x v="56"/>
    <n v="12.5"/>
  </r>
  <r>
    <x v="37"/>
    <n v="18.399999999999999"/>
  </r>
  <r>
    <x v="1"/>
    <n v="14"/>
  </r>
  <r>
    <x v="4"/>
    <n v="53"/>
  </r>
  <r>
    <x v="41"/>
    <n v="31"/>
  </r>
  <r>
    <x v="33"/>
    <n v="38"/>
  </r>
  <r>
    <x v="6"/>
    <n v="21.05"/>
  </r>
  <r>
    <x v="4"/>
    <n v="53"/>
  </r>
  <r>
    <x v="21"/>
    <n v="55"/>
  </r>
  <r>
    <x v="38"/>
    <n v="18"/>
  </r>
  <r>
    <x v="39"/>
    <n v="123.79"/>
  </r>
  <r>
    <x v="6"/>
    <n v="21.05"/>
  </r>
  <r>
    <x v="60"/>
    <n v="36"/>
  </r>
  <r>
    <x v="42"/>
    <n v="21.5"/>
  </r>
  <r>
    <x v="12"/>
    <n v="12.5"/>
  </r>
  <r>
    <x v="16"/>
    <n v="24"/>
  </r>
  <r>
    <x v="58"/>
    <n v="33.25"/>
  </r>
  <r>
    <x v="20"/>
    <n v="19"/>
  </r>
  <r>
    <x v="70"/>
    <n v="9"/>
  </r>
  <r>
    <x v="54"/>
    <n v="12"/>
  </r>
  <r>
    <x v="51"/>
    <n v="14"/>
  </r>
  <r>
    <x v="47"/>
    <n v="15"/>
  </r>
  <r>
    <x v="48"/>
    <n v="7.75"/>
  </r>
  <r>
    <x v="19"/>
    <n v="17.45"/>
  </r>
  <r>
    <x v="29"/>
    <n v="49.3"/>
  </r>
  <r>
    <x v="6"/>
    <n v="21.05"/>
  </r>
  <r>
    <x v="67"/>
    <n v="263.5"/>
  </r>
  <r>
    <x v="42"/>
    <n v="21.5"/>
  </r>
  <r>
    <x v="19"/>
    <n v="17.45"/>
  </r>
  <r>
    <x v="1"/>
    <n v="14"/>
  </r>
  <r>
    <x v="40"/>
    <n v="46"/>
  </r>
  <r>
    <x v="70"/>
    <n v="9"/>
  </r>
  <r>
    <x v="3"/>
    <n v="23.25"/>
  </r>
  <r>
    <x v="22"/>
    <n v="32.799999999999997"/>
  </r>
  <r>
    <x v="62"/>
    <n v="13.25"/>
  </r>
  <r>
    <x v="41"/>
    <n v="31"/>
  </r>
  <r>
    <x v="49"/>
    <n v="9.1999999999999993"/>
  </r>
  <r>
    <x v="45"/>
    <n v="19.45"/>
  </r>
  <r>
    <x v="68"/>
    <n v="31.23"/>
  </r>
  <r>
    <x v="10"/>
    <n v="2.5"/>
  </r>
  <r>
    <x v="36"/>
    <n v="38"/>
  </r>
  <r>
    <x v="10"/>
    <n v="2.5"/>
  </r>
  <r>
    <x v="5"/>
    <n v="9.65"/>
  </r>
  <r>
    <x v="55"/>
    <n v="7.45"/>
  </r>
  <r>
    <x v="21"/>
    <n v="55"/>
  </r>
  <r>
    <x v="19"/>
    <n v="17.45"/>
  </r>
  <r>
    <x v="12"/>
    <n v="12.5"/>
  </r>
  <r>
    <x v="1"/>
    <n v="14"/>
  </r>
  <r>
    <x v="49"/>
    <n v="9.1999999999999993"/>
  </r>
  <r>
    <x v="27"/>
    <n v="10"/>
  </r>
  <r>
    <x v="58"/>
    <n v="33.25"/>
  </r>
  <r>
    <x v="10"/>
    <n v="2.5"/>
  </r>
  <r>
    <x v="61"/>
    <n v="17"/>
  </r>
  <r>
    <x v="48"/>
    <n v="7.75"/>
  </r>
  <r>
    <x v="63"/>
    <n v="7"/>
  </r>
  <r>
    <x v="37"/>
    <n v="18.399999999999999"/>
  </r>
  <r>
    <x v="69"/>
    <n v="9.5"/>
  </r>
  <r>
    <x v="11"/>
    <n v="34"/>
  </r>
  <r>
    <x v="41"/>
    <n v="31"/>
  </r>
  <r>
    <x v="5"/>
    <n v="9.65"/>
  </r>
  <r>
    <x v="69"/>
    <n v="9.5"/>
  </r>
  <r>
    <x v="35"/>
    <n v="39"/>
  </r>
  <r>
    <x v="68"/>
    <n v="31.23"/>
  </r>
  <r>
    <x v="41"/>
    <n v="31"/>
  </r>
  <r>
    <x v="44"/>
    <n v="45.6"/>
  </r>
  <r>
    <x v="53"/>
    <n v="14"/>
  </r>
  <r>
    <x v="52"/>
    <n v="18"/>
  </r>
  <r>
    <x v="33"/>
    <n v="38"/>
  </r>
  <r>
    <x v="23"/>
    <n v="13"/>
  </r>
  <r>
    <x v="52"/>
    <n v="18"/>
  </r>
  <r>
    <x v="39"/>
    <n v="123.79"/>
  </r>
  <r>
    <x v="40"/>
    <n v="46"/>
  </r>
  <r>
    <x v="45"/>
    <n v="19.45"/>
  </r>
  <r>
    <x v="29"/>
    <n v="49.3"/>
  </r>
  <r>
    <x v="46"/>
    <n v="43.9"/>
  </r>
  <r>
    <x v="76"/>
    <n v="97"/>
  </r>
  <r>
    <x v="55"/>
    <n v="7.45"/>
  </r>
  <r>
    <x v="60"/>
    <n v="36"/>
  </r>
  <r>
    <x v="47"/>
    <n v="15"/>
  </r>
  <r>
    <x v="32"/>
    <n v="30"/>
  </r>
  <r>
    <x v="21"/>
    <n v="55"/>
  </r>
  <r>
    <x v="30"/>
    <n v="15"/>
  </r>
  <r>
    <x v="71"/>
    <n v="40"/>
  </r>
  <r>
    <x v="36"/>
    <n v="38"/>
  </r>
  <r>
    <x v="15"/>
    <n v="4.5"/>
  </r>
  <r>
    <x v="35"/>
    <n v="39"/>
  </r>
  <r>
    <x v="54"/>
    <n v="12"/>
  </r>
  <r>
    <x v="49"/>
    <n v="9.1999999999999993"/>
  </r>
  <r>
    <x v="31"/>
    <n v="18"/>
  </r>
  <r>
    <x v="62"/>
    <n v="13.25"/>
  </r>
  <r>
    <x v="30"/>
    <n v="15"/>
  </r>
  <r>
    <x v="0"/>
    <n v="21"/>
  </r>
  <r>
    <x v="35"/>
    <n v="39"/>
  </r>
  <r>
    <x v="39"/>
    <n v="123.79"/>
  </r>
  <r>
    <x v="6"/>
    <n v="21.05"/>
  </r>
  <r>
    <x v="30"/>
    <n v="15"/>
  </r>
  <r>
    <x v="69"/>
    <n v="9.5"/>
  </r>
  <r>
    <x v="52"/>
    <n v="18"/>
  </r>
  <r>
    <x v="53"/>
    <n v="14"/>
  </r>
  <r>
    <x v="56"/>
    <n v="12.5"/>
  </r>
  <r>
    <x v="42"/>
    <n v="21.5"/>
  </r>
  <r>
    <x v="57"/>
    <n v="10"/>
  </r>
  <r>
    <x v="38"/>
    <n v="18"/>
  </r>
  <r>
    <x v="18"/>
    <n v="19"/>
  </r>
  <r>
    <x v="21"/>
    <n v="55"/>
  </r>
  <r>
    <x v="47"/>
    <n v="15"/>
  </r>
  <r>
    <x v="66"/>
    <n v="22"/>
  </r>
  <r>
    <x v="15"/>
    <n v="4.5"/>
  </r>
  <r>
    <x v="74"/>
    <n v="12.75"/>
  </r>
  <r>
    <x v="12"/>
    <n v="12.5"/>
  </r>
  <r>
    <x v="26"/>
    <n v="32"/>
  </r>
  <r>
    <x v="19"/>
    <n v="17.45"/>
  </r>
  <r>
    <x v="40"/>
    <n v="46"/>
  </r>
  <r>
    <x v="21"/>
    <n v="55"/>
  </r>
  <r>
    <x v="16"/>
    <n v="24"/>
  </r>
  <r>
    <x v="8"/>
    <n v="19.5"/>
  </r>
  <r>
    <x v="30"/>
    <n v="15"/>
  </r>
  <r>
    <x v="25"/>
    <n v="21.35"/>
  </r>
  <r>
    <x v="20"/>
    <n v="19"/>
  </r>
  <r>
    <x v="71"/>
    <n v="40"/>
  </r>
  <r>
    <x v="4"/>
    <n v="53"/>
  </r>
  <r>
    <x v="11"/>
    <n v="34"/>
  </r>
  <r>
    <x v="49"/>
    <n v="9.1999999999999993"/>
  </r>
  <r>
    <x v="69"/>
    <n v="9.5"/>
  </r>
  <r>
    <x v="49"/>
    <n v="9.1999999999999993"/>
  </r>
  <r>
    <x v="5"/>
    <n v="9.65"/>
  </r>
  <r>
    <x v="22"/>
    <n v="32.799999999999997"/>
  </r>
  <r>
    <x v="41"/>
    <n v="31"/>
  </r>
  <r>
    <x v="68"/>
    <n v="31.23"/>
  </r>
  <r>
    <x v="73"/>
    <n v="9.5"/>
  </r>
  <r>
    <x v="54"/>
    <n v="12"/>
  </r>
  <r>
    <x v="18"/>
    <n v="19"/>
  </r>
  <r>
    <x v="35"/>
    <n v="39"/>
  </r>
  <r>
    <x v="69"/>
    <n v="9.5"/>
  </r>
  <r>
    <x v="33"/>
    <n v="38"/>
  </r>
  <r>
    <x v="62"/>
    <n v="13.25"/>
  </r>
  <r>
    <x v="41"/>
    <n v="31"/>
  </r>
  <r>
    <x v="42"/>
    <n v="21.5"/>
  </r>
  <r>
    <x v="27"/>
    <n v="10"/>
  </r>
  <r>
    <x v="4"/>
    <n v="53"/>
  </r>
  <r>
    <x v="75"/>
    <n v="28.5"/>
  </r>
  <r>
    <x v="27"/>
    <n v="10"/>
  </r>
  <r>
    <x v="55"/>
    <n v="7.45"/>
  </r>
  <r>
    <x v="60"/>
    <n v="36"/>
  </r>
  <r>
    <x v="36"/>
    <n v="38"/>
  </r>
  <r>
    <x v="19"/>
    <n v="17.45"/>
  </r>
  <r>
    <x v="20"/>
    <n v="19"/>
  </r>
  <r>
    <x v="29"/>
    <n v="49.3"/>
  </r>
  <r>
    <x v="59"/>
    <n v="62.5"/>
  </r>
  <r>
    <x v="34"/>
    <n v="25.89"/>
  </r>
  <r>
    <x v="55"/>
    <n v="7.45"/>
  </r>
  <r>
    <x v="31"/>
    <n v="18"/>
  </r>
  <r>
    <x v="42"/>
    <n v="21.5"/>
  </r>
  <r>
    <x v="45"/>
    <n v="19.45"/>
  </r>
  <r>
    <x v="18"/>
    <n v="19"/>
  </r>
  <r>
    <x v="12"/>
    <n v="12.5"/>
  </r>
  <r>
    <x v="56"/>
    <n v="12.5"/>
  </r>
  <r>
    <x v="48"/>
    <n v="7.75"/>
  </r>
  <r>
    <x v="68"/>
    <n v="31.23"/>
  </r>
  <r>
    <x v="41"/>
    <n v="31"/>
  </r>
  <r>
    <x v="75"/>
    <n v="28.5"/>
  </r>
  <r>
    <x v="5"/>
    <n v="9.65"/>
  </r>
  <r>
    <x v="63"/>
    <n v="7"/>
  </r>
  <r>
    <x v="16"/>
    <n v="24"/>
  </r>
  <r>
    <x v="66"/>
    <n v="22"/>
  </r>
  <r>
    <x v="0"/>
    <n v="21"/>
  </r>
  <r>
    <x v="35"/>
    <n v="39"/>
  </r>
  <r>
    <x v="33"/>
    <n v="38"/>
  </r>
  <r>
    <x v="21"/>
    <n v="55"/>
  </r>
  <r>
    <x v="34"/>
    <n v="25.89"/>
  </r>
  <r>
    <x v="37"/>
    <n v="18.399999999999999"/>
  </r>
  <r>
    <x v="16"/>
    <n v="24"/>
  </r>
  <r>
    <x v="11"/>
    <n v="34"/>
  </r>
  <r>
    <x v="52"/>
    <n v="18"/>
  </r>
  <r>
    <x v="27"/>
    <n v="10"/>
  </r>
  <r>
    <x v="72"/>
    <n v="16.25"/>
  </r>
  <r>
    <x v="19"/>
    <n v="17.45"/>
  </r>
  <r>
    <x v="12"/>
    <n v="12.5"/>
  </r>
  <r>
    <x v="6"/>
    <n v="21.05"/>
  </r>
  <r>
    <x v="27"/>
    <n v="10"/>
  </r>
  <r>
    <x v="4"/>
    <n v="53"/>
  </r>
  <r>
    <x v="38"/>
    <n v="18"/>
  </r>
  <r>
    <x v="3"/>
    <n v="23.25"/>
  </r>
  <r>
    <x v="44"/>
    <n v="45.6"/>
  </r>
  <r>
    <x v="63"/>
    <n v="7"/>
  </r>
  <r>
    <x v="65"/>
    <n v="25"/>
  </r>
  <r>
    <x v="34"/>
    <n v="25.89"/>
  </r>
  <r>
    <x v="38"/>
    <n v="18"/>
  </r>
  <r>
    <x v="75"/>
    <n v="28.5"/>
  </r>
  <r>
    <x v="23"/>
    <n v="13"/>
  </r>
  <r>
    <x v="43"/>
    <n v="6"/>
  </r>
  <r>
    <x v="5"/>
    <n v="9.65"/>
  </r>
  <r>
    <x v="19"/>
    <n v="17.45"/>
  </r>
  <r>
    <x v="20"/>
    <n v="19"/>
  </r>
  <r>
    <x v="63"/>
    <n v="7"/>
  </r>
  <r>
    <x v="44"/>
    <n v="45.6"/>
  </r>
  <r>
    <x v="31"/>
    <n v="18"/>
  </r>
  <r>
    <x v="73"/>
    <n v="9.5"/>
  </r>
  <r>
    <x v="33"/>
    <n v="38"/>
  </r>
  <r>
    <x v="18"/>
    <n v="19"/>
  </r>
  <r>
    <x v="57"/>
    <n v="10"/>
  </r>
  <r>
    <x v="11"/>
    <n v="34"/>
  </r>
  <r>
    <x v="2"/>
    <n v="34.799999999999997"/>
  </r>
  <r>
    <x v="54"/>
    <n v="12"/>
  </r>
  <r>
    <x v="37"/>
    <n v="18.399999999999999"/>
  </r>
  <r>
    <x v="59"/>
    <n v="62.5"/>
  </r>
  <r>
    <x v="45"/>
    <n v="19.45"/>
  </r>
  <r>
    <x v="21"/>
    <n v="55"/>
  </r>
  <r>
    <x v="2"/>
    <n v="34.799999999999997"/>
  </r>
  <r>
    <x v="43"/>
    <n v="6"/>
  </r>
  <r>
    <x v="1"/>
    <n v="14"/>
  </r>
  <r>
    <x v="29"/>
    <n v="49.3"/>
  </r>
  <r>
    <x v="60"/>
    <n v="36"/>
  </r>
  <r>
    <x v="12"/>
    <n v="12.5"/>
  </r>
  <r>
    <x v="5"/>
    <n v="9.65"/>
  </r>
  <r>
    <x v="46"/>
    <n v="43.9"/>
  </r>
  <r>
    <x v="60"/>
    <n v="36"/>
  </r>
  <r>
    <x v="70"/>
    <n v="9"/>
  </r>
  <r>
    <x v="37"/>
    <n v="18.399999999999999"/>
  </r>
  <r>
    <x v="33"/>
    <n v="38"/>
  </r>
  <r>
    <x v="33"/>
    <n v="38"/>
  </r>
  <r>
    <x v="21"/>
    <n v="55"/>
  </r>
  <r>
    <x v="38"/>
    <n v="18"/>
  </r>
  <r>
    <x v="3"/>
    <n v="23.25"/>
  </r>
  <r>
    <x v="73"/>
    <n v="9.5"/>
  </r>
  <r>
    <x v="21"/>
    <n v="55"/>
  </r>
  <r>
    <x v="68"/>
    <n v="31.23"/>
  </r>
  <r>
    <x v="34"/>
    <n v="25.89"/>
  </r>
  <r>
    <x v="72"/>
    <n v="16.25"/>
  </r>
  <r>
    <x v="47"/>
    <n v="15"/>
  </r>
  <r>
    <x v="52"/>
    <n v="18"/>
  </r>
  <r>
    <x v="60"/>
    <n v="36"/>
  </r>
  <r>
    <x v="73"/>
    <n v="9.5"/>
  </r>
  <r>
    <x v="17"/>
    <n v="10"/>
  </r>
  <r>
    <x v="37"/>
    <n v="18.399999999999999"/>
  </r>
  <r>
    <x v="69"/>
    <n v="9.5"/>
  </r>
  <r>
    <x v="33"/>
    <n v="38"/>
  </r>
  <r>
    <x v="8"/>
    <n v="19.5"/>
  </r>
  <r>
    <x v="60"/>
    <n v="36"/>
  </r>
  <r>
    <x v="59"/>
    <n v="62.5"/>
  </r>
  <r>
    <x v="20"/>
    <n v="19"/>
  </r>
  <r>
    <x v="56"/>
    <n v="12.5"/>
  </r>
  <r>
    <x v="60"/>
    <n v="36"/>
  </r>
  <r>
    <x v="53"/>
    <n v="14"/>
  </r>
  <r>
    <x v="21"/>
    <n v="55"/>
  </r>
  <r>
    <x v="29"/>
    <n v="49.3"/>
  </r>
  <r>
    <x v="58"/>
    <n v="33.25"/>
  </r>
  <r>
    <x v="68"/>
    <n v="31.23"/>
  </r>
  <r>
    <x v="63"/>
    <n v="7"/>
  </r>
  <r>
    <x v="30"/>
    <n v="15"/>
  </r>
  <r>
    <x v="26"/>
    <n v="32"/>
  </r>
  <r>
    <x v="64"/>
    <n v="14"/>
  </r>
  <r>
    <x v="24"/>
    <n v="43.9"/>
  </r>
  <r>
    <x v="40"/>
    <n v="46"/>
  </r>
  <r>
    <x v="64"/>
    <n v="14"/>
  </r>
  <r>
    <x v="48"/>
    <n v="7.75"/>
  </r>
  <r>
    <x v="13"/>
    <n v="18"/>
  </r>
  <r>
    <x v="69"/>
    <n v="9.5"/>
  </r>
  <r>
    <x v="4"/>
    <n v="53"/>
  </r>
  <r>
    <x v="33"/>
    <n v="38"/>
  </r>
  <r>
    <x v="27"/>
    <n v="10"/>
  </r>
  <r>
    <x v="7"/>
    <n v="21"/>
  </r>
  <r>
    <x v="15"/>
    <n v="4.5"/>
  </r>
  <r>
    <x v="57"/>
    <n v="10"/>
  </r>
  <r>
    <x v="13"/>
    <n v="18"/>
  </r>
  <r>
    <x v="6"/>
    <n v="21.05"/>
  </r>
  <r>
    <x v="18"/>
    <n v="19"/>
  </r>
  <r>
    <x v="32"/>
    <n v="30"/>
  </r>
  <r>
    <x v="56"/>
    <n v="12.5"/>
  </r>
  <r>
    <x v="1"/>
    <n v="14"/>
  </r>
  <r>
    <x v="7"/>
    <n v="21"/>
  </r>
  <r>
    <x v="12"/>
    <n v="12.5"/>
  </r>
  <r>
    <x v="11"/>
    <n v="34"/>
  </r>
  <r>
    <x v="42"/>
    <n v="21.5"/>
  </r>
  <r>
    <x v="5"/>
    <n v="9.65"/>
  </r>
  <r>
    <x v="63"/>
    <n v="7"/>
  </r>
  <r>
    <x v="75"/>
    <n v="28.5"/>
  </r>
  <r>
    <x v="29"/>
    <n v="49.3"/>
  </r>
  <r>
    <x v="0"/>
    <n v="21"/>
  </r>
  <r>
    <x v="42"/>
    <n v="21.5"/>
  </r>
  <r>
    <x v="39"/>
    <n v="123.79"/>
  </r>
  <r>
    <x v="21"/>
    <n v="55"/>
  </r>
  <r>
    <x v="35"/>
    <n v="39"/>
  </r>
  <r>
    <x v="12"/>
    <n v="12.5"/>
  </r>
  <r>
    <x v="48"/>
    <n v="7.75"/>
  </r>
  <r>
    <x v="12"/>
    <n v="12.5"/>
  </r>
  <r>
    <x v="61"/>
    <n v="17"/>
  </r>
  <r>
    <x v="41"/>
    <n v="31"/>
  </r>
  <r>
    <x v="51"/>
    <n v="14"/>
  </r>
  <r>
    <x v="12"/>
    <n v="12.5"/>
  </r>
  <r>
    <x v="1"/>
    <n v="14"/>
  </r>
  <r>
    <x v="73"/>
    <n v="9.5"/>
  </r>
  <r>
    <x v="4"/>
    <n v="53"/>
  </r>
  <r>
    <x v="1"/>
    <n v="14"/>
  </r>
  <r>
    <x v="5"/>
    <n v="9.65"/>
  </r>
  <r>
    <x v="19"/>
    <n v="17.45"/>
  </r>
  <r>
    <x v="29"/>
    <n v="49.3"/>
  </r>
  <r>
    <x v="30"/>
    <n v="15"/>
  </r>
  <r>
    <x v="23"/>
    <n v="13"/>
  </r>
  <r>
    <x v="55"/>
    <n v="7.45"/>
  </r>
  <r>
    <x v="33"/>
    <n v="38"/>
  </r>
  <r>
    <x v="17"/>
    <n v="10"/>
  </r>
  <r>
    <x v="12"/>
    <n v="12.5"/>
  </r>
  <r>
    <x v="12"/>
    <n v="12.5"/>
  </r>
  <r>
    <x v="67"/>
    <n v="263.5"/>
  </r>
  <r>
    <x v="20"/>
    <n v="19"/>
  </r>
  <r>
    <x v="13"/>
    <n v="18"/>
  </r>
  <r>
    <x v="2"/>
    <n v="34.799999999999997"/>
  </r>
  <r>
    <x v="41"/>
    <n v="31"/>
  </r>
  <r>
    <x v="48"/>
    <n v="7.75"/>
  </r>
  <r>
    <x v="71"/>
    <n v="40"/>
  </r>
  <r>
    <x v="34"/>
    <n v="25.89"/>
  </r>
  <r>
    <x v="48"/>
    <n v="7.75"/>
  </r>
  <r>
    <x v="18"/>
    <n v="19"/>
  </r>
  <r>
    <x v="39"/>
    <n v="123.79"/>
  </r>
  <r>
    <x v="49"/>
    <n v="9.1999999999999993"/>
  </r>
  <r>
    <x v="48"/>
    <n v="7.75"/>
  </r>
  <r>
    <x v="59"/>
    <n v="62.5"/>
  </r>
  <r>
    <x v="31"/>
    <n v="18"/>
  </r>
  <r>
    <x v="46"/>
    <n v="43.9"/>
  </r>
  <r>
    <x v="56"/>
    <n v="12.5"/>
  </r>
  <r>
    <x v="32"/>
    <n v="30"/>
  </r>
  <r>
    <x v="33"/>
    <n v="38"/>
  </r>
  <r>
    <x v="39"/>
    <n v="123.79"/>
  </r>
  <r>
    <x v="5"/>
    <n v="9.65"/>
  </r>
  <r>
    <x v="18"/>
    <n v="19"/>
  </r>
  <r>
    <x v="55"/>
    <n v="7.45"/>
  </r>
  <r>
    <x v="56"/>
    <n v="12.5"/>
  </r>
  <r>
    <x v="5"/>
    <n v="9.65"/>
  </r>
  <r>
    <x v="63"/>
    <n v="7"/>
  </r>
  <r>
    <x v="3"/>
    <n v="23.25"/>
  </r>
  <r>
    <x v="55"/>
    <n v="7.45"/>
  </r>
  <r>
    <x v="19"/>
    <n v="17.45"/>
  </r>
  <r>
    <x v="35"/>
    <n v="39"/>
  </r>
  <r>
    <x v="68"/>
    <n v="31.23"/>
  </r>
  <r>
    <x v="45"/>
    <n v="19.45"/>
  </r>
  <r>
    <x v="58"/>
    <n v="33.25"/>
  </r>
  <r>
    <x v="60"/>
    <n v="36"/>
  </r>
  <r>
    <x v="0"/>
    <n v="21"/>
  </r>
  <r>
    <x v="29"/>
    <n v="49.3"/>
  </r>
  <r>
    <x v="2"/>
    <n v="34.799999999999997"/>
  </r>
  <r>
    <x v="43"/>
    <n v="6"/>
  </r>
  <r>
    <x v="15"/>
    <n v="4.5"/>
  </r>
  <r>
    <x v="21"/>
    <n v="55"/>
  </r>
  <r>
    <x v="0"/>
    <n v="21"/>
  </r>
  <r>
    <x v="4"/>
    <n v="53"/>
  </r>
  <r>
    <x v="55"/>
    <n v="7.45"/>
  </r>
  <r>
    <x v="35"/>
    <n v="39"/>
  </r>
  <r>
    <x v="39"/>
    <n v="123.79"/>
  </r>
  <r>
    <x v="34"/>
    <n v="25.89"/>
  </r>
  <r>
    <x v="4"/>
    <n v="53"/>
  </r>
  <r>
    <x v="16"/>
    <n v="24"/>
  </r>
  <r>
    <x v="29"/>
    <n v="49.3"/>
  </r>
  <r>
    <x v="49"/>
    <n v="9.1999999999999993"/>
  </r>
  <r>
    <x v="64"/>
    <n v="14"/>
  </r>
  <r>
    <x v="21"/>
    <n v="55"/>
  </r>
  <r>
    <x v="41"/>
    <n v="31"/>
  </r>
  <r>
    <x v="44"/>
    <n v="45.6"/>
  </r>
  <r>
    <x v="14"/>
    <n v="20"/>
  </r>
  <r>
    <x v="53"/>
    <n v="14"/>
  </r>
  <r>
    <x v="67"/>
    <n v="263.5"/>
  </r>
  <r>
    <x v="18"/>
    <n v="19"/>
  </r>
  <r>
    <x v="6"/>
    <n v="21.05"/>
  </r>
  <r>
    <x v="17"/>
    <n v="10"/>
  </r>
  <r>
    <x v="37"/>
    <n v="18.399999999999999"/>
  </r>
  <r>
    <x v="33"/>
    <n v="38"/>
  </r>
  <r>
    <x v="38"/>
    <n v="18"/>
  </r>
  <r>
    <x v="63"/>
    <n v="7"/>
  </r>
  <r>
    <x v="43"/>
    <n v="6"/>
  </r>
  <r>
    <x v="64"/>
    <n v="14"/>
  </r>
  <r>
    <x v="30"/>
    <n v="15"/>
  </r>
  <r>
    <x v="49"/>
    <n v="9.1999999999999993"/>
  </r>
  <r>
    <x v="70"/>
    <n v="9"/>
  </r>
  <r>
    <x v="37"/>
    <n v="18.399999999999999"/>
  </r>
  <r>
    <x v="12"/>
    <n v="12.5"/>
  </r>
  <r>
    <x v="2"/>
    <n v="34.799999999999997"/>
  </r>
  <r>
    <x v="23"/>
    <n v="13"/>
  </r>
  <r>
    <x v="18"/>
    <n v="19"/>
  </r>
  <r>
    <x v="54"/>
    <n v="12"/>
  </r>
  <r>
    <x v="5"/>
    <n v="9.65"/>
  </r>
  <r>
    <x v="40"/>
    <n v="46"/>
  </r>
  <r>
    <x v="74"/>
    <n v="12.75"/>
  </r>
  <r>
    <x v="75"/>
    <n v="28.5"/>
  </r>
  <r>
    <x v="10"/>
    <n v="2.5"/>
  </r>
  <r>
    <x v="67"/>
    <n v="263.5"/>
  </r>
  <r>
    <x v="29"/>
    <n v="49.3"/>
  </r>
  <r>
    <x v="68"/>
    <n v="31.23"/>
  </r>
  <r>
    <x v="67"/>
    <n v="263.5"/>
  </r>
  <r>
    <x v="37"/>
    <n v="18.399999999999999"/>
  </r>
  <r>
    <x v="29"/>
    <n v="49.3"/>
  </r>
  <r>
    <x v="26"/>
    <n v="32"/>
  </r>
  <r>
    <x v="5"/>
    <n v="9.65"/>
  </r>
  <r>
    <x v="40"/>
    <n v="46"/>
  </r>
  <r>
    <x v="48"/>
    <n v="7.75"/>
  </r>
  <r>
    <x v="33"/>
    <n v="38"/>
  </r>
  <r>
    <x v="31"/>
    <n v="18"/>
  </r>
  <r>
    <x v="4"/>
    <n v="53"/>
  </r>
  <r>
    <x v="29"/>
    <n v="49.3"/>
  </r>
  <r>
    <x v="30"/>
    <n v="15"/>
  </r>
  <r>
    <x v="0"/>
    <n v="21"/>
  </r>
  <r>
    <x v="8"/>
    <n v="19.5"/>
  </r>
  <r>
    <x v="21"/>
    <n v="55"/>
  </r>
  <r>
    <x v="23"/>
    <n v="13"/>
  </r>
  <r>
    <x v="5"/>
    <n v="9.65"/>
  </r>
  <r>
    <x v="30"/>
    <n v="15"/>
  </r>
  <r>
    <x v="68"/>
    <n v="31.23"/>
  </r>
  <r>
    <x v="22"/>
    <n v="32.799999999999997"/>
  </r>
  <r>
    <x v="12"/>
    <n v="12.5"/>
  </r>
  <r>
    <x v="8"/>
    <n v="19.5"/>
  </r>
  <r>
    <x v="41"/>
    <n v="31"/>
  </r>
  <r>
    <x v="13"/>
    <n v="18"/>
  </r>
  <r>
    <x v="9"/>
    <n v="81"/>
  </r>
  <r>
    <x v="67"/>
    <n v="263.5"/>
  </r>
  <r>
    <x v="18"/>
    <n v="19"/>
  </r>
  <r>
    <x v="71"/>
    <n v="40"/>
  </r>
  <r>
    <x v="43"/>
    <n v="6"/>
  </r>
  <r>
    <x v="11"/>
    <n v="34"/>
  </r>
  <r>
    <x v="65"/>
    <n v="25"/>
  </r>
  <r>
    <x v="13"/>
    <n v="18"/>
  </r>
  <r>
    <x v="11"/>
    <n v="34"/>
  </r>
  <r>
    <x v="56"/>
    <n v="12.5"/>
  </r>
  <r>
    <x v="49"/>
    <n v="9.1999999999999993"/>
  </r>
  <r>
    <x v="31"/>
    <n v="18"/>
  </r>
  <r>
    <x v="67"/>
    <n v="263.5"/>
  </r>
  <r>
    <x v="40"/>
    <n v="46"/>
  </r>
  <r>
    <x v="43"/>
    <n v="6"/>
  </r>
  <r>
    <x v="64"/>
    <n v="14"/>
  </r>
  <r>
    <x v="45"/>
    <n v="19.45"/>
  </r>
  <r>
    <x v="58"/>
    <n v="33.25"/>
  </r>
  <r>
    <x v="32"/>
    <n v="30"/>
  </r>
  <r>
    <x v="12"/>
    <n v="12.5"/>
  </r>
  <r>
    <x v="22"/>
    <n v="32.799999999999997"/>
  </r>
  <r>
    <x v="39"/>
    <n v="123.79"/>
  </r>
  <r>
    <x v="34"/>
    <n v="25.89"/>
  </r>
  <r>
    <x v="21"/>
    <n v="55"/>
  </r>
  <r>
    <x v="23"/>
    <n v="13"/>
  </r>
  <r>
    <x v="7"/>
    <n v="21"/>
  </r>
  <r>
    <x v="31"/>
    <n v="18"/>
  </r>
  <r>
    <x v="8"/>
    <n v="19.5"/>
  </r>
  <r>
    <x v="11"/>
    <n v="34"/>
  </r>
  <r>
    <x v="58"/>
    <n v="33.25"/>
  </r>
  <r>
    <x v="43"/>
    <n v="6"/>
  </r>
  <r>
    <x v="37"/>
    <n v="18.399999999999999"/>
  </r>
  <r>
    <x v="69"/>
    <n v="9.5"/>
  </r>
  <r>
    <x v="38"/>
    <n v="18"/>
  </r>
  <r>
    <x v="52"/>
    <n v="18"/>
  </r>
  <r>
    <x v="59"/>
    <n v="62.5"/>
  </r>
  <r>
    <x v="20"/>
    <n v="19"/>
  </r>
  <r>
    <x v="62"/>
    <n v="13.25"/>
  </r>
  <r>
    <x v="2"/>
    <n v="34.799999999999997"/>
  </r>
  <r>
    <x v="64"/>
    <n v="14"/>
  </r>
  <r>
    <x v="13"/>
    <n v="18"/>
  </r>
  <r>
    <x v="41"/>
    <n v="31"/>
  </r>
  <r>
    <x v="33"/>
    <n v="38"/>
  </r>
  <r>
    <x v="21"/>
    <n v="55"/>
  </r>
  <r>
    <x v="23"/>
    <n v="13"/>
  </r>
  <r>
    <x v="0"/>
    <n v="21"/>
  </r>
  <r>
    <x v="40"/>
    <n v="46"/>
  </r>
  <r>
    <x v="56"/>
    <n v="12.5"/>
  </r>
  <r>
    <x v="30"/>
    <n v="15"/>
  </r>
  <r>
    <x v="4"/>
    <n v="53"/>
  </r>
  <r>
    <x v="7"/>
    <n v="21"/>
  </r>
  <r>
    <x v="70"/>
    <n v="9"/>
  </r>
  <r>
    <x v="31"/>
    <n v="18"/>
  </r>
  <r>
    <x v="1"/>
    <n v="14"/>
  </r>
  <r>
    <x v="62"/>
    <n v="13.25"/>
  </r>
  <r>
    <x v="58"/>
    <n v="33.25"/>
  </r>
  <r>
    <x v="66"/>
    <n v="22"/>
  </r>
  <r>
    <x v="30"/>
    <n v="15"/>
  </r>
  <r>
    <x v="17"/>
    <n v="10"/>
  </r>
  <r>
    <x v="52"/>
    <n v="18"/>
  </r>
  <r>
    <x v="49"/>
    <n v="9.1999999999999993"/>
  </r>
  <r>
    <x v="28"/>
    <n v="26"/>
  </r>
  <r>
    <x v="73"/>
    <n v="9.5"/>
  </r>
  <r>
    <x v="11"/>
    <n v="34"/>
  </r>
  <r>
    <x v="42"/>
    <n v="21.5"/>
  </r>
  <r>
    <x v="25"/>
    <n v="21.35"/>
  </r>
  <r>
    <x v="76"/>
    <n v="97"/>
  </r>
  <r>
    <x v="57"/>
    <n v="10"/>
  </r>
  <r>
    <x v="68"/>
    <n v="31.23"/>
  </r>
  <r>
    <x v="64"/>
    <n v="14"/>
  </r>
  <r>
    <x v="10"/>
    <n v="2.5"/>
  </r>
  <r>
    <x v="30"/>
    <n v="15"/>
  </r>
  <r>
    <x v="18"/>
    <n v="19"/>
  </r>
  <r>
    <x v="64"/>
    <n v="14"/>
  </r>
  <r>
    <x v="8"/>
    <n v="19.5"/>
  </r>
  <r>
    <x v="21"/>
    <n v="55"/>
  </r>
  <r>
    <x v="18"/>
    <n v="19"/>
  </r>
  <r>
    <x v="35"/>
    <n v="39"/>
  </r>
  <r>
    <x v="29"/>
    <n v="49.3"/>
  </r>
  <r>
    <x v="59"/>
    <n v="62.5"/>
  </r>
  <r>
    <x v="41"/>
    <n v="31"/>
  </r>
  <r>
    <x v="43"/>
    <n v="6"/>
  </r>
  <r>
    <x v="19"/>
    <n v="17.45"/>
  </r>
  <r>
    <x v="12"/>
    <n v="12.5"/>
  </r>
  <r>
    <x v="33"/>
    <n v="38"/>
  </r>
  <r>
    <x v="6"/>
    <n v="21.05"/>
  </r>
  <r>
    <x v="18"/>
    <n v="19"/>
  </r>
  <r>
    <x v="1"/>
    <n v="14"/>
  </r>
  <r>
    <x v="57"/>
    <n v="10"/>
  </r>
  <r>
    <x v="68"/>
    <n v="31.23"/>
  </r>
  <r>
    <x v="39"/>
    <n v="123.79"/>
  </r>
  <r>
    <x v="32"/>
    <n v="30"/>
  </r>
  <r>
    <x v="24"/>
    <n v="43.9"/>
  </r>
  <r>
    <x v="30"/>
    <n v="15"/>
  </r>
  <r>
    <x v="15"/>
    <n v="4.5"/>
  </r>
  <r>
    <x v="55"/>
    <n v="7.45"/>
  </r>
  <r>
    <x v="58"/>
    <n v="33.25"/>
  </r>
  <r>
    <x v="4"/>
    <n v="53"/>
  </r>
  <r>
    <x v="38"/>
    <n v="18"/>
  </r>
  <r>
    <x v="35"/>
    <n v="39"/>
  </r>
  <r>
    <x v="59"/>
    <n v="62.5"/>
  </r>
  <r>
    <x v="27"/>
    <n v="10"/>
  </r>
  <r>
    <x v="10"/>
    <n v="2.5"/>
  </r>
  <r>
    <x v="29"/>
    <n v="49.3"/>
  </r>
  <r>
    <x v="0"/>
    <n v="21"/>
  </r>
  <r>
    <x v="63"/>
    <n v="7"/>
  </r>
  <r>
    <x v="52"/>
    <n v="18"/>
  </r>
  <r>
    <x v="62"/>
    <n v="13.25"/>
  </r>
  <r>
    <x v="31"/>
    <n v="18"/>
  </r>
  <r>
    <x v="51"/>
    <n v="14"/>
  </r>
  <r>
    <x v="67"/>
    <n v="263.5"/>
  </r>
  <r>
    <x v="13"/>
    <n v="18"/>
  </r>
  <r>
    <x v="18"/>
    <n v="19"/>
  </r>
  <r>
    <x v="15"/>
    <n v="4.5"/>
  </r>
  <r>
    <x v="34"/>
    <n v="25.89"/>
  </r>
  <r>
    <x v="22"/>
    <n v="32.799999999999997"/>
  </r>
  <r>
    <x v="68"/>
    <n v="31.23"/>
  </r>
  <r>
    <x v="31"/>
    <n v="18"/>
  </r>
  <r>
    <x v="14"/>
    <n v="20"/>
  </r>
  <r>
    <x v="52"/>
    <n v="18"/>
  </r>
  <r>
    <x v="0"/>
    <n v="21"/>
  </r>
  <r>
    <x v="70"/>
    <n v="9"/>
  </r>
  <r>
    <x v="56"/>
    <n v="12.5"/>
  </r>
  <r>
    <x v="31"/>
    <n v="18"/>
  </r>
  <r>
    <x v="4"/>
    <n v="53"/>
  </r>
  <r>
    <x v="65"/>
    <n v="25"/>
  </r>
  <r>
    <x v="19"/>
    <n v="17.45"/>
  </r>
  <r>
    <x v="35"/>
    <n v="39"/>
  </r>
  <r>
    <x v="16"/>
    <n v="24"/>
  </r>
  <r>
    <x v="29"/>
    <n v="49.3"/>
  </r>
  <r>
    <x v="58"/>
    <n v="33.25"/>
  </r>
  <r>
    <x v="6"/>
    <n v="21.05"/>
  </r>
  <r>
    <x v="27"/>
    <n v="10"/>
  </r>
  <r>
    <x v="44"/>
    <n v="45.6"/>
  </r>
  <r>
    <x v="41"/>
    <n v="31"/>
  </r>
  <r>
    <x v="49"/>
    <n v="9.1999999999999993"/>
  </r>
  <r>
    <x v="69"/>
    <n v="9.5"/>
  </r>
  <r>
    <x v="14"/>
    <n v="20"/>
  </r>
  <r>
    <x v="54"/>
    <n v="12"/>
  </r>
  <r>
    <x v="58"/>
    <n v="33.25"/>
  </r>
  <r>
    <x v="19"/>
    <n v="17.45"/>
  </r>
  <r>
    <x v="59"/>
    <n v="62.5"/>
  </r>
  <r>
    <x v="9"/>
    <n v="81"/>
  </r>
  <r>
    <x v="37"/>
    <n v="18.399999999999999"/>
  </r>
  <r>
    <x v="6"/>
    <n v="21.05"/>
  </r>
  <r>
    <x v="38"/>
    <n v="18"/>
  </r>
  <r>
    <x v="70"/>
    <n v="9"/>
  </r>
  <r>
    <x v="75"/>
    <n v="28.5"/>
  </r>
  <r>
    <x v="30"/>
    <n v="15"/>
  </r>
  <r>
    <x v="47"/>
    <n v="15"/>
  </r>
  <r>
    <x v="1"/>
    <n v="14"/>
  </r>
  <r>
    <x v="14"/>
    <n v="20"/>
  </r>
  <r>
    <x v="55"/>
    <n v="7.45"/>
  </r>
  <r>
    <x v="15"/>
    <n v="4.5"/>
  </r>
  <r>
    <x v="27"/>
    <n v="10"/>
  </r>
  <r>
    <x v="33"/>
    <n v="38"/>
  </r>
  <r>
    <x v="6"/>
    <n v="21.05"/>
  </r>
  <r>
    <x v="18"/>
    <n v="19"/>
  </r>
  <r>
    <x v="15"/>
    <n v="4.5"/>
  </r>
  <r>
    <x v="30"/>
    <n v="15"/>
  </r>
  <r>
    <x v="23"/>
    <n v="13"/>
  </r>
  <r>
    <x v="41"/>
    <n v="31"/>
  </r>
  <r>
    <x v="12"/>
    <n v="12.5"/>
  </r>
  <r>
    <x v="23"/>
    <n v="13"/>
  </r>
  <r>
    <x v="64"/>
    <n v="14"/>
  </r>
  <r>
    <x v="18"/>
    <n v="19"/>
  </r>
  <r>
    <x v="56"/>
    <n v="12.5"/>
  </r>
  <r>
    <x v="0"/>
    <n v="21"/>
  </r>
  <r>
    <x v="67"/>
    <n v="263.5"/>
  </r>
  <r>
    <x v="35"/>
    <n v="39"/>
  </r>
  <r>
    <x v="53"/>
    <n v="14"/>
  </r>
  <r>
    <x v="5"/>
    <n v="9.65"/>
  </r>
  <r>
    <x v="34"/>
    <n v="25.89"/>
  </r>
  <r>
    <x v="21"/>
    <n v="55"/>
  </r>
  <r>
    <x v="71"/>
    <n v="40"/>
  </r>
  <r>
    <x v="15"/>
    <n v="4.5"/>
  </r>
  <r>
    <x v="39"/>
    <n v="123.79"/>
  </r>
  <r>
    <x v="34"/>
    <n v="25.89"/>
  </r>
  <r>
    <x v="20"/>
    <n v="19"/>
  </r>
  <r>
    <x v="43"/>
    <n v="6"/>
  </r>
  <r>
    <x v="60"/>
    <n v="36"/>
  </r>
  <r>
    <x v="48"/>
    <n v="7.75"/>
  </r>
  <r>
    <x v="15"/>
    <n v="4.5"/>
  </r>
  <r>
    <x v="13"/>
    <n v="18"/>
  </r>
  <r>
    <x v="37"/>
    <n v="18.399999999999999"/>
  </r>
  <r>
    <x v="11"/>
    <n v="34"/>
  </r>
  <r>
    <x v="73"/>
    <n v="9.5"/>
  </r>
  <r>
    <x v="33"/>
    <n v="38"/>
  </r>
  <r>
    <x v="43"/>
    <n v="6"/>
  </r>
  <r>
    <x v="13"/>
    <n v="18"/>
  </r>
  <r>
    <x v="30"/>
    <n v="15"/>
  </r>
  <r>
    <x v="5"/>
    <n v="9.65"/>
  </r>
  <r>
    <x v="42"/>
    <n v="21.5"/>
  </r>
  <r>
    <x v="16"/>
    <n v="24"/>
  </r>
  <r>
    <x v="29"/>
    <n v="49.3"/>
  </r>
  <r>
    <x v="43"/>
    <n v="6"/>
  </r>
  <r>
    <x v="6"/>
    <n v="21.05"/>
  </r>
  <r>
    <x v="56"/>
    <n v="12.5"/>
  </r>
  <r>
    <x v="62"/>
    <n v="13.25"/>
  </r>
  <r>
    <x v="29"/>
    <n v="49.3"/>
  </r>
  <r>
    <x v="52"/>
    <n v="18"/>
  </r>
  <r>
    <x v="75"/>
    <n v="28.5"/>
  </r>
  <r>
    <x v="48"/>
    <n v="7.75"/>
  </r>
  <r>
    <x v="32"/>
    <n v="30"/>
  </r>
  <r>
    <x v="63"/>
    <n v="7"/>
  </r>
  <r>
    <x v="32"/>
    <n v="30"/>
  </r>
  <r>
    <x v="19"/>
    <n v="17.45"/>
  </r>
  <r>
    <x v="5"/>
    <n v="9.65"/>
  </r>
  <r>
    <x v="49"/>
    <n v="9.1999999999999993"/>
  </r>
  <r>
    <x v="14"/>
    <n v="20"/>
  </r>
  <r>
    <x v="75"/>
    <n v="28.5"/>
  </r>
  <r>
    <x v="52"/>
    <n v="18"/>
  </r>
  <r>
    <x v="35"/>
    <n v="39"/>
  </r>
  <r>
    <x v="51"/>
    <n v="14"/>
  </r>
  <r>
    <x v="66"/>
    <n v="22"/>
  </r>
  <r>
    <x v="10"/>
    <n v="2.5"/>
  </r>
  <r>
    <x v="62"/>
    <n v="13.25"/>
  </r>
  <r>
    <x v="42"/>
    <n v="21.5"/>
  </r>
  <r>
    <x v="35"/>
    <n v="39"/>
  </r>
  <r>
    <x v="10"/>
    <n v="2.5"/>
  </r>
  <r>
    <x v="55"/>
    <n v="7.45"/>
  </r>
  <r>
    <x v="19"/>
    <n v="17.45"/>
  </r>
  <r>
    <x v="26"/>
    <n v="32"/>
  </r>
  <r>
    <x v="8"/>
    <n v="19.5"/>
  </r>
  <r>
    <x v="34"/>
    <n v="25.89"/>
  </r>
  <r>
    <x v="11"/>
    <n v="34"/>
  </r>
  <r>
    <x v="52"/>
    <n v="18"/>
  </r>
  <r>
    <x v="11"/>
    <n v="34"/>
  </r>
  <r>
    <x v="19"/>
    <n v="17.45"/>
  </r>
  <r>
    <x v="64"/>
    <n v="14"/>
  </r>
  <r>
    <x v="37"/>
    <n v="18.399999999999999"/>
  </r>
  <r>
    <x v="72"/>
    <n v="16.25"/>
  </r>
  <r>
    <x v="31"/>
    <n v="18"/>
  </r>
  <r>
    <x v="46"/>
    <n v="43.9"/>
  </r>
  <r>
    <x v="35"/>
    <n v="39"/>
  </r>
  <r>
    <x v="15"/>
    <n v="4.5"/>
  </r>
  <r>
    <x v="1"/>
    <n v="14"/>
  </r>
  <r>
    <x v="40"/>
    <n v="46"/>
  </r>
  <r>
    <x v="51"/>
    <n v="14"/>
  </r>
  <r>
    <x v="41"/>
    <n v="31"/>
  </r>
  <r>
    <x v="44"/>
    <n v="45.6"/>
  </r>
  <r>
    <x v="48"/>
    <n v="7.75"/>
  </r>
  <r>
    <x v="20"/>
    <n v="19"/>
  </r>
  <r>
    <x v="63"/>
    <n v="7"/>
  </r>
  <r>
    <x v="0"/>
    <n v="21"/>
  </r>
  <r>
    <x v="43"/>
    <n v="6"/>
  </r>
  <r>
    <x v="49"/>
    <n v="9.1999999999999993"/>
  </r>
  <r>
    <x v="2"/>
    <n v="34.799999999999997"/>
  </r>
  <r>
    <x v="9"/>
    <n v="81"/>
  </r>
  <r>
    <x v="63"/>
    <n v="7"/>
  </r>
  <r>
    <x v="38"/>
    <n v="18"/>
  </r>
  <r>
    <x v="69"/>
    <n v="9.5"/>
  </r>
  <r>
    <x v="38"/>
    <n v="18"/>
  </r>
  <r>
    <x v="27"/>
    <n v="10"/>
  </r>
  <r>
    <x v="48"/>
    <n v="7.75"/>
  </r>
  <r>
    <x v="23"/>
    <n v="13"/>
  </r>
  <r>
    <x v="27"/>
    <n v="10"/>
  </r>
  <r>
    <x v="24"/>
    <n v="43.9"/>
  </r>
  <r>
    <x v="16"/>
    <n v="24"/>
  </r>
  <r>
    <x v="62"/>
    <n v="13.25"/>
  </r>
  <r>
    <x v="43"/>
    <n v="6"/>
  </r>
  <r>
    <x v="8"/>
    <n v="19.5"/>
  </r>
  <r>
    <x v="19"/>
    <n v="17.45"/>
  </r>
  <r>
    <x v="29"/>
    <n v="49.3"/>
  </r>
  <r>
    <x v="2"/>
    <n v="34.799999999999997"/>
  </r>
  <r>
    <x v="48"/>
    <n v="7.75"/>
  </r>
  <r>
    <x v="22"/>
    <n v="32.799999999999997"/>
  </r>
  <r>
    <x v="75"/>
    <n v="28.5"/>
  </r>
  <r>
    <x v="65"/>
    <n v="25"/>
  </r>
  <r>
    <x v="52"/>
    <n v="18"/>
  </r>
  <r>
    <x v="59"/>
    <n v="62.5"/>
  </r>
  <r>
    <x v="70"/>
    <n v="9"/>
  </r>
  <r>
    <x v="20"/>
    <n v="19"/>
  </r>
  <r>
    <x v="44"/>
    <n v="45.6"/>
  </r>
  <r>
    <x v="53"/>
    <n v="14"/>
  </r>
  <r>
    <x v="43"/>
    <n v="6"/>
  </r>
  <r>
    <x v="40"/>
    <n v="46"/>
  </r>
  <r>
    <x v="11"/>
    <n v="34"/>
  </r>
  <r>
    <x v="42"/>
    <n v="21.5"/>
  </r>
  <r>
    <x v="18"/>
    <n v="19"/>
  </r>
  <r>
    <x v="51"/>
    <n v="14"/>
  </r>
  <r>
    <x v="32"/>
    <n v="30"/>
  </r>
  <r>
    <x v="43"/>
    <n v="6"/>
  </r>
  <r>
    <x v="12"/>
    <n v="12.5"/>
  </r>
  <r>
    <x v="29"/>
    <n v="49.3"/>
  </r>
  <r>
    <x v="56"/>
    <n v="12.5"/>
  </r>
  <r>
    <x v="2"/>
    <n v="34.799999999999997"/>
  </r>
  <r>
    <x v="14"/>
    <n v="20"/>
  </r>
  <r>
    <x v="43"/>
    <n v="6"/>
  </r>
  <r>
    <x v="7"/>
    <n v="21"/>
  </r>
  <r>
    <x v="54"/>
    <n v="12"/>
  </r>
  <r>
    <x v="0"/>
    <n v="21"/>
  </r>
  <r>
    <x v="45"/>
    <n v="19.45"/>
  </r>
  <r>
    <x v="33"/>
    <n v="38"/>
  </r>
  <r>
    <x v="43"/>
    <n v="6"/>
  </r>
  <r>
    <x v="12"/>
    <n v="12.5"/>
  </r>
  <r>
    <x v="41"/>
    <n v="31"/>
  </r>
  <r>
    <x v="15"/>
    <n v="4.5"/>
  </r>
  <r>
    <x v="23"/>
    <n v="13"/>
  </r>
  <r>
    <x v="21"/>
    <n v="55"/>
  </r>
  <r>
    <x v="72"/>
    <n v="16.25"/>
  </r>
  <r>
    <x v="4"/>
    <n v="53"/>
  </r>
  <r>
    <x v="16"/>
    <n v="24"/>
  </r>
  <r>
    <x v="65"/>
    <n v="25"/>
  </r>
  <r>
    <x v="41"/>
    <n v="31"/>
  </r>
  <r>
    <x v="35"/>
    <n v="39"/>
  </r>
  <r>
    <x v="29"/>
    <n v="49.3"/>
  </r>
  <r>
    <x v="66"/>
    <n v="22"/>
  </r>
  <r>
    <x v="10"/>
    <n v="2.5"/>
  </r>
  <r>
    <x v="5"/>
    <n v="9.65"/>
  </r>
  <r>
    <x v="48"/>
    <n v="7.75"/>
  </r>
  <r>
    <x v="65"/>
    <n v="25"/>
  </r>
  <r>
    <x v="44"/>
    <n v="45.6"/>
  </r>
  <r>
    <x v="9"/>
    <n v="81"/>
  </r>
  <r>
    <x v="12"/>
    <n v="12.5"/>
  </r>
  <r>
    <x v="19"/>
    <n v="17.45"/>
  </r>
  <r>
    <x v="12"/>
    <n v="12.5"/>
  </r>
  <r>
    <x v="73"/>
    <n v="9.5"/>
  </r>
  <r>
    <x v="11"/>
    <n v="34"/>
  </r>
  <r>
    <x v="48"/>
    <n v="7.75"/>
  </r>
  <r>
    <x v="27"/>
    <n v="10"/>
  </r>
  <r>
    <x v="69"/>
    <n v="9.5"/>
  </r>
  <r>
    <x v="4"/>
    <n v="53"/>
  </r>
  <r>
    <x v="34"/>
    <n v="25.89"/>
  </r>
  <r>
    <x v="31"/>
    <n v="18"/>
  </r>
  <r>
    <x v="58"/>
    <n v="33.25"/>
  </r>
  <r>
    <x v="25"/>
    <n v="21.35"/>
  </r>
  <r>
    <x v="32"/>
    <n v="30"/>
  </r>
  <r>
    <x v="2"/>
    <n v="34.799999999999997"/>
  </r>
  <r>
    <x v="48"/>
    <n v="7.75"/>
  </r>
  <r>
    <x v="15"/>
    <n v="4.5"/>
  </r>
  <r>
    <x v="5"/>
    <n v="9.65"/>
  </r>
  <r>
    <x v="63"/>
    <n v="7"/>
  </r>
  <r>
    <x v="38"/>
    <n v="18"/>
  </r>
  <r>
    <x v="32"/>
    <n v="30"/>
  </r>
  <r>
    <x v="43"/>
    <n v="6"/>
  </r>
  <r>
    <x v="22"/>
    <n v="32.799999999999997"/>
  </r>
  <r>
    <x v="60"/>
    <n v="36"/>
  </r>
  <r>
    <x v="38"/>
    <n v="18"/>
  </r>
  <r>
    <x v="11"/>
    <n v="34"/>
  </r>
  <r>
    <x v="59"/>
    <n v="62.5"/>
  </r>
  <r>
    <x v="67"/>
    <n v="263.5"/>
  </r>
  <r>
    <x v="60"/>
    <n v="36"/>
  </r>
  <r>
    <x v="4"/>
    <n v="53"/>
  </r>
  <r>
    <x v="28"/>
    <n v="26"/>
  </r>
  <r>
    <x v="33"/>
    <n v="38"/>
  </r>
  <r>
    <x v="29"/>
    <n v="49.3"/>
  </r>
  <r>
    <x v="49"/>
    <n v="9.1999999999999993"/>
  </r>
  <r>
    <x v="14"/>
    <n v="20"/>
  </r>
  <r>
    <x v="36"/>
    <n v="38"/>
  </r>
  <r>
    <x v="15"/>
    <n v="4.5"/>
  </r>
  <r>
    <x v="58"/>
    <n v="33.25"/>
  </r>
  <r>
    <x v="54"/>
    <n v="12"/>
  </r>
  <r>
    <x v="63"/>
    <n v="7"/>
  </r>
  <r>
    <x v="39"/>
    <n v="123.79"/>
  </r>
  <r>
    <x v="35"/>
    <n v="39"/>
  </r>
  <r>
    <x v="10"/>
    <n v="2.5"/>
  </r>
  <r>
    <x v="68"/>
    <n v="31.23"/>
  </r>
  <r>
    <x v="5"/>
    <n v="9.65"/>
  </r>
  <r>
    <x v="48"/>
    <n v="7.75"/>
  </r>
  <r>
    <x v="46"/>
    <n v="43.9"/>
  </r>
  <r>
    <x v="71"/>
    <n v="40"/>
  </r>
  <r>
    <x v="48"/>
    <n v="7.75"/>
  </r>
  <r>
    <x v="44"/>
    <n v="45.6"/>
  </r>
  <r>
    <x v="13"/>
    <n v="18"/>
  </r>
  <r>
    <x v="69"/>
    <n v="9.5"/>
  </r>
  <r>
    <x v="4"/>
    <n v="53"/>
  </r>
  <r>
    <x v="46"/>
    <n v="43.9"/>
  </r>
  <r>
    <x v="71"/>
    <n v="40"/>
  </r>
  <r>
    <x v="27"/>
    <n v="10"/>
  </r>
  <r>
    <x v="37"/>
    <n v="18.399999999999999"/>
  </r>
  <r>
    <x v="45"/>
    <n v="19.45"/>
  </r>
  <r>
    <x v="32"/>
    <n v="30"/>
  </r>
  <r>
    <x v="36"/>
    <n v="38"/>
  </r>
  <r>
    <x v="15"/>
    <n v="4.5"/>
  </r>
  <r>
    <x v="24"/>
    <n v="43.9"/>
  </r>
  <r>
    <x v="12"/>
    <n v="12.5"/>
  </r>
  <r>
    <x v="46"/>
    <n v="43.9"/>
  </r>
  <r>
    <x v="48"/>
    <n v="7.75"/>
  </r>
  <r>
    <x v="67"/>
    <n v="263.5"/>
  </r>
  <r>
    <x v="32"/>
    <n v="30"/>
  </r>
  <r>
    <x v="40"/>
    <n v="46"/>
  </r>
  <r>
    <x v="43"/>
    <n v="6"/>
  </r>
  <r>
    <x v="8"/>
    <n v="19.5"/>
  </r>
  <r>
    <x v="19"/>
    <n v="17.45"/>
  </r>
  <r>
    <x v="15"/>
    <n v="4.5"/>
  </r>
  <r>
    <x v="20"/>
    <n v="19"/>
  </r>
  <r>
    <x v="0"/>
    <n v="21"/>
  </r>
  <r>
    <x v="9"/>
    <n v="81"/>
  </r>
  <r>
    <x v="38"/>
    <n v="18"/>
  </r>
  <r>
    <x v="23"/>
    <n v="13"/>
  </r>
  <r>
    <x v="32"/>
    <n v="30"/>
  </r>
  <r>
    <x v="40"/>
    <n v="46"/>
  </r>
  <r>
    <x v="2"/>
    <n v="34.799999999999997"/>
  </r>
  <r>
    <x v="32"/>
    <n v="30"/>
  </r>
  <r>
    <x v="29"/>
    <n v="49.3"/>
  </r>
  <r>
    <x v="65"/>
    <n v="25"/>
  </r>
  <r>
    <x v="0"/>
    <n v="21"/>
  </r>
  <r>
    <x v="5"/>
    <n v="9.65"/>
  </r>
  <r>
    <x v="27"/>
    <n v="10"/>
  </r>
  <r>
    <x v="53"/>
    <n v="14"/>
  </r>
  <r>
    <x v="16"/>
    <n v="24"/>
  </r>
  <r>
    <x v="75"/>
    <n v="28.5"/>
  </r>
  <r>
    <x v="18"/>
    <n v="19"/>
  </r>
  <r>
    <x v="30"/>
    <n v="15"/>
  </r>
  <r>
    <x v="38"/>
    <n v="18"/>
  </r>
  <r>
    <x v="2"/>
    <n v="34.799999999999997"/>
  </r>
  <r>
    <x v="39"/>
    <n v="123.79"/>
  </r>
  <r>
    <x v="5"/>
    <n v="9.65"/>
  </r>
  <r>
    <x v="21"/>
    <n v="55"/>
  </r>
  <r>
    <x v="4"/>
    <n v="53"/>
  </r>
  <r>
    <x v="11"/>
    <n v="34"/>
  </r>
  <r>
    <x v="1"/>
    <n v="14"/>
  </r>
  <r>
    <x v="26"/>
    <n v="32"/>
  </r>
  <r>
    <x v="54"/>
    <n v="12"/>
  </r>
  <r>
    <x v="63"/>
    <n v="7"/>
  </r>
  <r>
    <x v="15"/>
    <n v="4.5"/>
  </r>
  <r>
    <x v="75"/>
    <n v="28.5"/>
  </r>
  <r>
    <x v="17"/>
    <n v="10"/>
  </r>
  <r>
    <x v="48"/>
    <n v="7.75"/>
  </r>
  <r>
    <x v="5"/>
    <n v="9.65"/>
  </r>
  <r>
    <x v="4"/>
    <n v="53"/>
  </r>
  <r>
    <x v="23"/>
    <n v="13"/>
  </r>
  <r>
    <x v="66"/>
    <n v="22"/>
  </r>
  <r>
    <x v="15"/>
    <n v="4.5"/>
  </r>
  <r>
    <x v="23"/>
    <n v="13"/>
  </r>
  <r>
    <x v="32"/>
    <n v="30"/>
  </r>
  <r>
    <x v="7"/>
    <n v="21"/>
  </r>
  <r>
    <x v="54"/>
    <n v="12"/>
  </r>
  <r>
    <x v="16"/>
    <n v="24"/>
  </r>
  <r>
    <x v="43"/>
    <n v="6"/>
  </r>
  <r>
    <x v="31"/>
    <n v="18"/>
  </r>
  <r>
    <x v="1"/>
    <n v="14"/>
  </r>
  <r>
    <x v="16"/>
    <n v="24"/>
  </r>
  <r>
    <x v="52"/>
    <n v="18"/>
  </r>
  <r>
    <x v="37"/>
    <n v="18.399999999999999"/>
  </r>
  <r>
    <x v="63"/>
    <n v="7"/>
  </r>
  <r>
    <x v="68"/>
    <n v="31.23"/>
  </r>
  <r>
    <x v="38"/>
    <n v="18"/>
  </r>
  <r>
    <x v="52"/>
    <n v="18"/>
  </r>
  <r>
    <x v="21"/>
    <n v="55"/>
  </r>
  <r>
    <x v="52"/>
    <n v="18"/>
  </r>
  <r>
    <x v="39"/>
    <n v="123.79"/>
  </r>
  <r>
    <x v="71"/>
    <n v="40"/>
  </r>
  <r>
    <x v="39"/>
    <n v="123.79"/>
  </r>
  <r>
    <x v="1"/>
    <n v="14"/>
  </r>
  <r>
    <x v="15"/>
    <n v="4.5"/>
  </r>
  <r>
    <x v="20"/>
    <n v="19"/>
  </r>
  <r>
    <x v="11"/>
    <n v="34"/>
  </r>
  <r>
    <x v="32"/>
    <n v="30"/>
  </r>
  <r>
    <x v="15"/>
    <n v="4.5"/>
  </r>
  <r>
    <x v="62"/>
    <n v="13.25"/>
  </r>
  <r>
    <x v="42"/>
    <n v="21.5"/>
  </r>
  <r>
    <x v="49"/>
    <n v="9.1999999999999993"/>
  </r>
  <r>
    <x v="11"/>
    <n v="34"/>
  </r>
  <r>
    <x v="42"/>
    <n v="21.5"/>
  </r>
  <r>
    <x v="70"/>
    <n v="9"/>
  </r>
  <r>
    <x v="1"/>
    <n v="14"/>
  </r>
  <r>
    <x v="73"/>
    <n v="9.5"/>
  </r>
  <r>
    <x v="56"/>
    <n v="12.5"/>
  </r>
  <r>
    <x v="5"/>
    <n v="9.65"/>
  </r>
  <r>
    <x v="34"/>
    <n v="25.89"/>
  </r>
  <r>
    <x v="23"/>
    <n v="13"/>
  </r>
  <r>
    <x v="12"/>
    <n v="12.5"/>
  </r>
  <r>
    <x v="20"/>
    <n v="19"/>
  </r>
  <r>
    <x v="57"/>
    <n v="10"/>
  </r>
  <r>
    <x v="21"/>
    <n v="55"/>
  </r>
  <r>
    <x v="30"/>
    <n v="15"/>
  </r>
  <r>
    <x v="36"/>
    <n v="38"/>
  </r>
  <r>
    <x v="59"/>
    <n v="62.5"/>
  </r>
  <r>
    <x v="33"/>
    <n v="38"/>
  </r>
  <r>
    <x v="41"/>
    <n v="31"/>
  </r>
  <r>
    <x v="18"/>
    <n v="19"/>
  </r>
  <r>
    <x v="9"/>
    <n v="81"/>
  </r>
  <r>
    <x v="68"/>
    <n v="31.23"/>
  </r>
  <r>
    <x v="4"/>
    <n v="53"/>
  </r>
  <r>
    <x v="2"/>
    <n v="34.799999999999997"/>
  </r>
  <r>
    <x v="49"/>
    <n v="9.1999999999999993"/>
  </r>
  <r>
    <x v="60"/>
    <n v="36"/>
  </r>
  <r>
    <x v="32"/>
    <n v="30"/>
  </r>
  <r>
    <x v="40"/>
    <n v="46"/>
  </r>
  <r>
    <x v="68"/>
    <n v="31.23"/>
  </r>
  <r>
    <x v="10"/>
    <n v="2.5"/>
  </r>
  <r>
    <x v="6"/>
    <n v="21.05"/>
  </r>
  <r>
    <x v="42"/>
    <n v="21.5"/>
  </r>
  <r>
    <x v="52"/>
    <n v="18"/>
  </r>
  <r>
    <x v="43"/>
    <n v="6"/>
  </r>
  <r>
    <x v="59"/>
    <n v="62.5"/>
  </r>
  <r>
    <x v="4"/>
    <n v="53"/>
  </r>
  <r>
    <x v="15"/>
    <n v="4.5"/>
  </r>
  <r>
    <x v="29"/>
    <n v="49.3"/>
  </r>
  <r>
    <x v="16"/>
    <n v="24"/>
  </r>
  <r>
    <x v="21"/>
    <n v="55"/>
  </r>
  <r>
    <x v="33"/>
    <n v="38"/>
  </r>
  <r>
    <x v="46"/>
    <n v="43.9"/>
  </r>
  <r>
    <x v="18"/>
    <n v="19"/>
  </r>
  <r>
    <x v="25"/>
    <n v="21.35"/>
  </r>
  <r>
    <x v="39"/>
    <n v="123.79"/>
  </r>
  <r>
    <x v="21"/>
    <n v="55"/>
  </r>
  <r>
    <x v="52"/>
    <n v="18"/>
  </r>
  <r>
    <x v="43"/>
    <n v="6"/>
  </r>
  <r>
    <x v="15"/>
    <n v="4.5"/>
  </r>
  <r>
    <x v="58"/>
    <n v="33.25"/>
  </r>
  <r>
    <x v="42"/>
    <n v="21.5"/>
  </r>
  <r>
    <x v="20"/>
    <n v="19"/>
  </r>
  <r>
    <x v="67"/>
    <n v="263.5"/>
  </r>
  <r>
    <x v="21"/>
    <n v="55"/>
  </r>
  <r>
    <x v="22"/>
    <n v="32.799999999999997"/>
  </r>
  <r>
    <x v="60"/>
    <n v="36"/>
  </r>
  <r>
    <x v="27"/>
    <n v="10"/>
  </r>
  <r>
    <x v="45"/>
    <n v="19.45"/>
  </r>
  <r>
    <x v="75"/>
    <n v="28.5"/>
  </r>
  <r>
    <x v="52"/>
    <n v="18"/>
  </r>
  <r>
    <x v="31"/>
    <n v="18"/>
  </r>
  <r>
    <x v="1"/>
    <n v="14"/>
  </r>
  <r>
    <x v="55"/>
    <n v="7.45"/>
  </r>
  <r>
    <x v="43"/>
    <n v="6"/>
  </r>
  <r>
    <x v="21"/>
    <n v="55"/>
  </r>
  <r>
    <x v="30"/>
    <n v="15"/>
  </r>
  <r>
    <x v="37"/>
    <n v="18.399999999999999"/>
  </r>
  <r>
    <x v="63"/>
    <n v="7"/>
  </r>
  <r>
    <x v="42"/>
    <n v="21.5"/>
  </r>
  <r>
    <x v="18"/>
    <n v="19"/>
  </r>
  <r>
    <x v="46"/>
    <n v="43.9"/>
  </r>
  <r>
    <x v="45"/>
    <n v="19.45"/>
  </r>
  <r>
    <x v="75"/>
    <n v="28.5"/>
  </r>
  <r>
    <x v="0"/>
    <n v="21"/>
  </r>
  <r>
    <x v="29"/>
    <n v="49.3"/>
  </r>
  <r>
    <x v="36"/>
    <n v="38"/>
  </r>
  <r>
    <x v="26"/>
    <n v="32"/>
  </r>
  <r>
    <x v="31"/>
    <n v="18"/>
  </r>
  <r>
    <x v="52"/>
    <n v="18"/>
  </r>
  <r>
    <x v="25"/>
    <n v="21.35"/>
  </r>
  <r>
    <x v="56"/>
    <n v="12.5"/>
  </r>
  <r>
    <x v="18"/>
    <n v="19"/>
  </r>
  <r>
    <x v="36"/>
    <n v="38"/>
  </r>
  <r>
    <x v="38"/>
    <n v="18"/>
  </r>
  <r>
    <x v="40"/>
    <n v="46"/>
  </r>
  <r>
    <x v="75"/>
    <n v="28.5"/>
  </r>
  <r>
    <x v="59"/>
    <n v="62.5"/>
  </r>
  <r>
    <x v="26"/>
    <n v="32"/>
  </r>
  <r>
    <x v="58"/>
    <n v="33.25"/>
  </r>
  <r>
    <x v="15"/>
    <n v="4.5"/>
  </r>
  <r>
    <x v="64"/>
    <n v="14"/>
  </r>
  <r>
    <x v="4"/>
    <n v="53"/>
  </r>
  <r>
    <x v="8"/>
    <n v="19.5"/>
  </r>
  <r>
    <x v="32"/>
    <n v="30"/>
  </r>
  <r>
    <x v="16"/>
    <n v="24"/>
  </r>
  <r>
    <x v="11"/>
    <n v="34"/>
  </r>
  <r>
    <x v="30"/>
    <n v="15"/>
  </r>
  <r>
    <x v="11"/>
    <n v="34"/>
  </r>
  <r>
    <x v="23"/>
    <n v="13"/>
  </r>
  <r>
    <x v="35"/>
    <n v="39"/>
  </r>
  <r>
    <x v="5"/>
    <n v="9.65"/>
  </r>
  <r>
    <x v="22"/>
    <n v="32.799999999999997"/>
  </r>
  <r>
    <x v="16"/>
    <n v="24"/>
  </r>
  <r>
    <x v="56"/>
    <n v="12.5"/>
  </r>
  <r>
    <x v="19"/>
    <n v="17.45"/>
  </r>
  <r>
    <x v="49"/>
    <n v="9.1999999999999993"/>
  </r>
  <r>
    <x v="53"/>
    <n v="14"/>
  </r>
  <r>
    <x v="5"/>
    <n v="9.65"/>
  </r>
  <r>
    <x v="13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38586-4161-47A0-9229-734402AB277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:E79" firstHeaderRow="1" firstDataRow="1" firstDataCol="1"/>
  <pivotFields count="2">
    <pivotField axis="axisRow" showAll="0">
      <items count="78">
        <item x="52"/>
        <item x="18"/>
        <item x="57"/>
        <item x="66"/>
        <item x="25"/>
        <item x="65"/>
        <item x="32"/>
        <item x="71"/>
        <item x="76"/>
        <item x="41"/>
        <item x="0"/>
        <item x="36"/>
        <item x="43"/>
        <item x="3"/>
        <item x="50"/>
        <item x="19"/>
        <item x="35"/>
        <item x="59"/>
        <item x="49"/>
        <item x="9"/>
        <item x="27"/>
        <item x="7"/>
        <item x="70"/>
        <item x="15"/>
        <item x="64"/>
        <item x="68"/>
        <item x="24"/>
        <item x="44"/>
        <item x="39"/>
        <item x="34"/>
        <item x="12"/>
        <item x="26"/>
        <item x="10"/>
        <item x="53"/>
        <item x="31"/>
        <item x="20"/>
        <item x="28"/>
        <item x="67"/>
        <item x="13"/>
        <item x="37"/>
        <item x="5"/>
        <item x="1"/>
        <item x="40"/>
        <item x="45"/>
        <item x="73"/>
        <item x="54"/>
        <item x="69"/>
        <item x="74"/>
        <item x="14"/>
        <item x="72"/>
        <item x="4"/>
        <item x="63"/>
        <item x="22"/>
        <item x="55"/>
        <item x="16"/>
        <item x="33"/>
        <item x="8"/>
        <item x="62"/>
        <item x="21"/>
        <item x="11"/>
        <item x="75"/>
        <item x="29"/>
        <item x="46"/>
        <item x="58"/>
        <item x="6"/>
        <item x="61"/>
        <item x="51"/>
        <item x="56"/>
        <item x="60"/>
        <item x="30"/>
        <item x="42"/>
        <item x="2"/>
        <item x="47"/>
        <item x="17"/>
        <item x="48"/>
        <item x="38"/>
        <item x="23"/>
        <item t="default"/>
      </items>
    </pivotField>
    <pivotField dataField="1" showAl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Max of unit_price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B5B746-BA93-4015-8D93-27A6133E6DF9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_id" tableColumnId="1"/>
      <queryTableField id="2" name="customer_id" tableColumnId="2"/>
      <queryTableField id="3" name="employee_id" tableColumnId="3"/>
      <queryTableField id="4" name="order_date" tableColumnId="4"/>
      <queryTableField id="5" name="required_date" tableColumnId="5"/>
      <queryTableField id="6" name="shipped_date" tableColumnId="6"/>
      <queryTableField id="7" name="ship_via" tableColumnId="7"/>
      <queryTableField id="8" name="freight" tableColumnId="8"/>
      <queryTableField id="9" name="ship_name" tableColumnId="9"/>
      <queryTableField id="10" name="ship_address" tableColumnId="10"/>
      <queryTableField id="11" name="ship_city" tableColumnId="11"/>
      <queryTableField id="12" name="ship_region" tableColumnId="12"/>
      <queryTableField id="13" name="ship_postal_code" tableColumnId="13"/>
      <queryTableField id="14" name="ship_country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24D418-AEEE-422D-A2CE-6ABCEC302EAE}" autoFormatId="16" applyNumberFormats="0" applyBorderFormats="0" applyFontFormats="0" applyPatternFormats="0" applyAlignmentFormats="0" applyWidthHeightFormats="0">
  <queryTableRefresh nextId="14" unboundColumnsRight="8">
    <queryTableFields count="13">
      <queryTableField id="1" name="order_id" tableColumnId="1"/>
      <queryTableField id="2" name="product_id" tableColumnId="2"/>
      <queryTableField id="3" name="unit_price" tableColumnId="3"/>
      <queryTableField id="4" name="quantity" tableColumnId="4"/>
      <queryTableField id="5" name="discount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33523-3C3B-42EB-A45B-B1FADB856714}" name="northwind_orders" displayName="northwind_orders" ref="A1:O791" tableType="queryTable" totalsRowShown="0">
  <autoFilter ref="A1:O791" xr:uid="{05833523-3C3B-42EB-A45B-B1FADB856714}"/>
  <tableColumns count="15">
    <tableColumn id="1" xr3:uid="{40EE6D65-E968-4E0A-B0C8-0957B911D9F9}" uniqueName="1" name="order_id" queryTableFieldId="1"/>
    <tableColumn id="2" xr3:uid="{7E309C8C-1381-4B4D-BFE7-789FCE2A15DD}" uniqueName="2" name="customer_id" queryTableFieldId="2" dataDxfId="25"/>
    <tableColumn id="3" xr3:uid="{A4AE3C5B-608C-4B81-9944-D7DD805F4C29}" uniqueName="3" name="employee_id" queryTableFieldId="3"/>
    <tableColumn id="4" xr3:uid="{4C8C77AC-16C9-4A61-B6C8-C10B17B079D7}" uniqueName="4" name="order_date" queryTableFieldId="4" dataDxfId="24"/>
    <tableColumn id="5" xr3:uid="{FB8FF5E7-D031-4E9B-A516-AED4DE5F392C}" uniqueName="5" name="required_date" queryTableFieldId="5" dataDxfId="23"/>
    <tableColumn id="6" xr3:uid="{EDE63AB1-BBC2-46C4-BE10-FA68405D47A5}" uniqueName="6" name="shipped_date" queryTableFieldId="6" dataDxfId="22"/>
    <tableColumn id="7" xr3:uid="{C70628C2-4271-41A3-8E0F-6BF0CC1E6724}" uniqueName="7" name="ship_via" queryTableFieldId="7"/>
    <tableColumn id="8" xr3:uid="{0B9EF605-01DB-4587-AF69-DE5AB1609BC1}" uniqueName="8" name="freight" queryTableFieldId="8" dataDxfId="21"/>
    <tableColumn id="9" xr3:uid="{6931566E-98C2-4958-8CDF-99D0DF256B5A}" uniqueName="9" name="ship_name" queryTableFieldId="9" dataDxfId="20"/>
    <tableColumn id="10" xr3:uid="{5DB50EBC-275E-43B3-B18F-2A805BE21ADA}" uniqueName="10" name="ship_address" queryTableFieldId="10" dataDxfId="19"/>
    <tableColumn id="11" xr3:uid="{906C69E6-EFCC-4547-8F31-ECFCB1A6A8F9}" uniqueName="11" name="ship_city" queryTableFieldId="11" dataDxfId="18"/>
    <tableColumn id="12" xr3:uid="{3498CF28-1691-4819-8CED-521DA925E245}" uniqueName="12" name="ship_region" queryTableFieldId="12" dataDxfId="17"/>
    <tableColumn id="13" xr3:uid="{EE9402E1-28CA-42CE-AA92-AE92F6FFA300}" uniqueName="13" name="ship_postal_code" queryTableFieldId="13" dataDxfId="16"/>
    <tableColumn id="14" xr3:uid="{9AA84361-47A5-46B9-85F6-625A3DF6C3CF}" uniqueName="14" name="ship_country" queryTableFieldId="14" dataDxfId="15"/>
    <tableColumn id="15" xr3:uid="{7CF7E8A8-886B-4810-9519-AB30551AA9C1}" uniqueName="15" name="delivery" queryTableFieldId="15" dataDxfId="14">
      <calculatedColumnFormula>IF(northwind_orders[[#This Row],[required_date]]-northwind_orders[[#This Row],[shipped_date]]&gt;0,"Faster",IF(northwind_orders[[#This Row],[required_date]]-northwind_orders[[#This Row],[shipped_date]]=0,"In Time","Slower"))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F53D8-E100-49FA-92D5-311A18D52BBF}" name="northwind_order_details" displayName="northwind_order_details" ref="A1:M2028" tableType="queryTable" totalsRowShown="0">
  <autoFilter ref="A1:M2028" xr:uid="{884F53D8-E100-49FA-92D5-311A18D52BBF}"/>
  <tableColumns count="13">
    <tableColumn id="1" xr3:uid="{1053CDAE-424A-49CF-AB94-53FC941C957B}" uniqueName="1" name="order_id" queryTableFieldId="1"/>
    <tableColumn id="2" xr3:uid="{A4FF1282-FD49-42A8-811F-E32CC5C2848A}" uniqueName="2" name="product_id" queryTableFieldId="2"/>
    <tableColumn id="3" xr3:uid="{6147374C-8165-4254-9007-0A6A508BB14E}" uniqueName="3" name="unit_price" queryTableFieldId="3" dataDxfId="13"/>
    <tableColumn id="4" xr3:uid="{431A9DCB-96BE-421F-A7E3-6FB76BB4E8C2}" uniqueName="4" name="quantity" queryTableFieldId="4"/>
    <tableColumn id="5" xr3:uid="{C06B2518-7AE1-4AFB-B43B-720FC404A957}" uniqueName="5" name="discount" queryTableFieldId="5" dataDxfId="12"/>
    <tableColumn id="6" xr3:uid="{421D1FBB-A24C-4876-956B-9025D71B3697}" uniqueName="6" name="country" queryTableFieldId="6" dataDxfId="11">
      <calculatedColumnFormula>_xlfn.XLOOKUP(northwind_order_details[[#This Row],[order_id]],northwind_orders[order_id],northwind_orders[ship_country])</calculatedColumnFormula>
    </tableColumn>
    <tableColumn id="7" xr3:uid="{9ADAB47E-D593-4101-819E-6B6F121E925D}" uniqueName="7" name="Employee Id" queryTableFieldId="7" dataDxfId="10">
      <calculatedColumnFormula>INDEX(northwind_orders[],MATCH(northwind_order_details[[#This Row],[order_id]], northwind_orders[order_id], 0), MATCH("employee_id", northwind_orders[#Headers], 0))</calculatedColumnFormula>
    </tableColumn>
    <tableColumn id="8" xr3:uid="{841EE617-2A09-47AA-96A9-CCCA7263AC91}" uniqueName="8" name="purchase amount" queryTableFieldId="8" dataDxfId="9">
      <calculatedColumnFormula>northwind_order_details[[#This Row],[unit_price]]*northwind_order_details[[#This Row],[quantity]]</calculatedColumnFormula>
    </tableColumn>
    <tableColumn id="9" xr3:uid="{6C852F31-5781-4233-8138-109F8AE3FB97}" uniqueName="9" name="discount amount" queryTableFieldId="9" dataDxfId="8">
      <calculatedColumnFormula>northwind_order_details[[#This Row],[purchase amount]]*northwind_order_details[[#This Row],[discount]]</calculatedColumnFormula>
    </tableColumn>
    <tableColumn id="10" xr3:uid="{20EC817A-9B02-4717-8B9B-9723B58F4882}" uniqueName="10" name="Revenue" queryTableFieldId="10" dataDxfId="7">
      <calculatedColumnFormula>northwind_order_details[[#This Row],[purchase amount]]-northwind_order_details[[#This Row],[discount amount]]</calculatedColumnFormula>
    </tableColumn>
    <tableColumn id="11" xr3:uid="{9D28E974-A62A-4ABE-B1B6-8DEFF808FF67}" uniqueName="11" name="discount check" queryTableFieldId="11" dataDxfId="6">
      <calculatedColumnFormula>IF(northwind_order_details[[#This Row],[discount amount]]&gt;0,"Yes","No")</calculatedColumnFormula>
    </tableColumn>
    <tableColumn id="12" xr3:uid="{15C6FB1C-F4EC-4E2D-9990-1E506D95D6CD}" uniqueName="12" name="Type of Revenue" queryTableFieldId="12" dataDxfId="5">
      <calculatedColumnFormula>IF(northwind_order_details[[#This Row],[Revenue]]&gt;1000,"High",IF(northwind_order_details[[#This Row],[Revenue]]&gt;300,"Medium","Low"))</calculatedColumnFormula>
    </tableColumn>
    <tableColumn id="13" xr3:uid="{90C1B1EB-45F0-411B-831E-4DA90ED9C5AD}" uniqueName="13" name="Price reconciliation" queryTableFieldId="13" dataDxfId="4">
      <calculatedColumnFormula>IF(northwind_order_details[[#This Row],[unit_price]]=_xlfn.XLOOKUP(northwind_order_details[[#This Row],[product_id]],'Price Validation'!$D$2:$D$78,'Price Validation'!$E$2:$E$78),"Match","Mismatch")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49F4-0B56-4E76-9A0E-3BA68F094AA4}">
  <dimension ref="A1:O791"/>
  <sheetViews>
    <sheetView topLeftCell="E1" workbookViewId="0">
      <selection activeCell="O3" sqref="O3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5" bestFit="1" customWidth="1"/>
    <col min="4" max="4" width="13.140625" bestFit="1" customWidth="1"/>
    <col min="5" max="5" width="16.140625" bestFit="1" customWidth="1"/>
    <col min="6" max="6" width="15.5703125" bestFit="1" customWidth="1"/>
    <col min="7" max="7" width="10.5703125" bestFit="1" customWidth="1"/>
    <col min="8" max="8" width="9.28515625" bestFit="1" customWidth="1"/>
    <col min="9" max="9" width="33.140625" bestFit="1" customWidth="1"/>
    <col min="10" max="10" width="43" bestFit="1" customWidth="1"/>
    <col min="11" max="11" width="13.85546875" bestFit="1" customWidth="1"/>
    <col min="12" max="12" width="13.7109375" bestFit="1" customWidth="1"/>
    <col min="13" max="13" width="18.85546875" bestFit="1" customWidth="1"/>
    <col min="14" max="14" width="14.7109375" bestFit="1" customWidth="1"/>
    <col min="15" max="15" width="11.85546875" customWidth="1"/>
  </cols>
  <sheetData>
    <row r="1" spans="1:15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522</v>
      </c>
    </row>
    <row r="2" spans="1:15" x14ac:dyDescent="0.25">
      <c r="A2">
        <v>10248</v>
      </c>
      <c r="B2" s="1" t="s">
        <v>55</v>
      </c>
      <c r="C2">
        <v>5</v>
      </c>
      <c r="D2" s="5">
        <v>35250</v>
      </c>
      <c r="E2" s="5">
        <v>35278</v>
      </c>
      <c r="F2" s="5">
        <v>35262</v>
      </c>
      <c r="G2">
        <v>3</v>
      </c>
      <c r="H2" s="1">
        <v>32.380000000000003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" spans="1:15" x14ac:dyDescent="0.25">
      <c r="A3">
        <v>10249</v>
      </c>
      <c r="B3" s="1" t="s">
        <v>62</v>
      </c>
      <c r="C3">
        <v>6</v>
      </c>
      <c r="D3" s="5">
        <v>35251</v>
      </c>
      <c r="E3" s="5">
        <v>35293</v>
      </c>
      <c r="F3" s="5">
        <v>35256</v>
      </c>
      <c r="G3">
        <v>1</v>
      </c>
      <c r="H3" s="1">
        <v>11.61</v>
      </c>
      <c r="I3" s="1" t="s">
        <v>63</v>
      </c>
      <c r="J3" s="1" t="s">
        <v>64</v>
      </c>
      <c r="K3" s="1" t="s">
        <v>65</v>
      </c>
      <c r="L3" s="1" t="s">
        <v>59</v>
      </c>
      <c r="M3" s="1" t="s">
        <v>66</v>
      </c>
      <c r="N3" s="1" t="s">
        <v>67</v>
      </c>
      <c r="O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" spans="1:15" x14ac:dyDescent="0.25">
      <c r="A4">
        <v>10250</v>
      </c>
      <c r="B4" s="1" t="s">
        <v>68</v>
      </c>
      <c r="C4">
        <v>4</v>
      </c>
      <c r="D4" s="5">
        <v>35254</v>
      </c>
      <c r="E4" s="5">
        <v>35282</v>
      </c>
      <c r="F4" s="5">
        <v>35258</v>
      </c>
      <c r="G4">
        <v>2</v>
      </c>
      <c r="H4" s="1">
        <v>65.83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" spans="1:15" x14ac:dyDescent="0.25">
      <c r="A5">
        <v>10251</v>
      </c>
      <c r="B5" s="1" t="s">
        <v>75</v>
      </c>
      <c r="C5">
        <v>3</v>
      </c>
      <c r="D5" s="5">
        <v>35254</v>
      </c>
      <c r="E5" s="5">
        <v>35282</v>
      </c>
      <c r="F5" s="5">
        <v>35261</v>
      </c>
      <c r="G5">
        <v>1</v>
      </c>
      <c r="H5" s="1">
        <v>41.34</v>
      </c>
      <c r="I5" s="1" t="s">
        <v>76</v>
      </c>
      <c r="J5" s="1" t="s">
        <v>77</v>
      </c>
      <c r="K5" s="1" t="s">
        <v>78</v>
      </c>
      <c r="L5" s="1" t="s">
        <v>59</v>
      </c>
      <c r="M5" s="1" t="s">
        <v>79</v>
      </c>
      <c r="N5" s="1" t="s">
        <v>61</v>
      </c>
      <c r="O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" spans="1:15" x14ac:dyDescent="0.25">
      <c r="A6">
        <v>10252</v>
      </c>
      <c r="B6" s="1" t="s">
        <v>80</v>
      </c>
      <c r="C6">
        <v>4</v>
      </c>
      <c r="D6" s="5">
        <v>35255</v>
      </c>
      <c r="E6" s="5">
        <v>35283</v>
      </c>
      <c r="F6" s="5">
        <v>35257</v>
      </c>
      <c r="G6">
        <v>2</v>
      </c>
      <c r="H6" s="1">
        <v>51.3</v>
      </c>
      <c r="I6" s="1" t="s">
        <v>81</v>
      </c>
      <c r="J6" s="1" t="s">
        <v>82</v>
      </c>
      <c r="K6" s="1" t="s">
        <v>83</v>
      </c>
      <c r="L6" s="1" t="s">
        <v>59</v>
      </c>
      <c r="M6" s="1" t="s">
        <v>84</v>
      </c>
      <c r="N6" s="1" t="s">
        <v>85</v>
      </c>
      <c r="O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" spans="1:15" x14ac:dyDescent="0.25">
      <c r="A7">
        <v>10253</v>
      </c>
      <c r="B7" s="1" t="s">
        <v>68</v>
      </c>
      <c r="C7">
        <v>3</v>
      </c>
      <c r="D7" s="5">
        <v>35256</v>
      </c>
      <c r="E7" s="5">
        <v>35270</v>
      </c>
      <c r="F7" s="5">
        <v>35262</v>
      </c>
      <c r="G7">
        <v>2</v>
      </c>
      <c r="H7" s="1">
        <v>58.17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74</v>
      </c>
      <c r="O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" spans="1:15" x14ac:dyDescent="0.25">
      <c r="A8">
        <v>10254</v>
      </c>
      <c r="B8" s="1" t="s">
        <v>86</v>
      </c>
      <c r="C8">
        <v>5</v>
      </c>
      <c r="D8" s="5">
        <v>35257</v>
      </c>
      <c r="E8" s="5">
        <v>35285</v>
      </c>
      <c r="F8" s="5">
        <v>35269</v>
      </c>
      <c r="G8">
        <v>2</v>
      </c>
      <c r="H8" s="1">
        <v>22.98</v>
      </c>
      <c r="I8" s="1" t="s">
        <v>87</v>
      </c>
      <c r="J8" s="1" t="s">
        <v>88</v>
      </c>
      <c r="K8" s="1" t="s">
        <v>89</v>
      </c>
      <c r="L8" s="1" t="s">
        <v>59</v>
      </c>
      <c r="M8" s="1" t="s">
        <v>90</v>
      </c>
      <c r="N8" s="1" t="s">
        <v>91</v>
      </c>
      <c r="O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" spans="1:15" x14ac:dyDescent="0.25">
      <c r="A9">
        <v>10255</v>
      </c>
      <c r="B9" s="1" t="s">
        <v>92</v>
      </c>
      <c r="C9">
        <v>9</v>
      </c>
      <c r="D9" s="5">
        <v>35258</v>
      </c>
      <c r="E9" s="5">
        <v>35286</v>
      </c>
      <c r="F9" s="5">
        <v>35261</v>
      </c>
      <c r="G9">
        <v>3</v>
      </c>
      <c r="H9" s="1">
        <v>148.33000000000001</v>
      </c>
      <c r="I9" s="1" t="s">
        <v>93</v>
      </c>
      <c r="J9" s="1" t="s">
        <v>94</v>
      </c>
      <c r="K9" s="1" t="s">
        <v>95</v>
      </c>
      <c r="L9" s="1" t="s">
        <v>59</v>
      </c>
      <c r="M9" s="1" t="s">
        <v>96</v>
      </c>
      <c r="N9" s="1" t="s">
        <v>91</v>
      </c>
      <c r="O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" spans="1:15" x14ac:dyDescent="0.25">
      <c r="A10">
        <v>10256</v>
      </c>
      <c r="B10" s="1" t="s">
        <v>97</v>
      </c>
      <c r="C10">
        <v>3</v>
      </c>
      <c r="D10" s="5">
        <v>35261</v>
      </c>
      <c r="E10" s="5">
        <v>35289</v>
      </c>
      <c r="F10" s="5">
        <v>35263</v>
      </c>
      <c r="G10">
        <v>2</v>
      </c>
      <c r="H10" s="1">
        <v>13.97</v>
      </c>
      <c r="I10" s="1" t="s">
        <v>98</v>
      </c>
      <c r="J10" s="1" t="s">
        <v>99</v>
      </c>
      <c r="K10" s="1" t="s">
        <v>100</v>
      </c>
      <c r="L10" s="1" t="s">
        <v>101</v>
      </c>
      <c r="M10" s="1" t="s">
        <v>102</v>
      </c>
      <c r="N10" s="1" t="s">
        <v>74</v>
      </c>
      <c r="O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" spans="1:15" x14ac:dyDescent="0.25">
      <c r="A11">
        <v>10257</v>
      </c>
      <c r="B11" s="1" t="s">
        <v>103</v>
      </c>
      <c r="C11">
        <v>4</v>
      </c>
      <c r="D11" s="5">
        <v>35262</v>
      </c>
      <c r="E11" s="5">
        <v>35290</v>
      </c>
      <c r="F11" s="5">
        <v>35268</v>
      </c>
      <c r="G11">
        <v>3</v>
      </c>
      <c r="H11" s="1">
        <v>81.91</v>
      </c>
      <c r="I11" s="1" t="s">
        <v>104</v>
      </c>
      <c r="J11" s="1" t="s">
        <v>105</v>
      </c>
      <c r="K11" s="1" t="s">
        <v>106</v>
      </c>
      <c r="L11" s="1" t="s">
        <v>107</v>
      </c>
      <c r="M11" s="1" t="s">
        <v>108</v>
      </c>
      <c r="N11" s="1" t="s">
        <v>109</v>
      </c>
      <c r="O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" spans="1:15" x14ac:dyDescent="0.25">
      <c r="A12">
        <v>10258</v>
      </c>
      <c r="B12" s="1" t="s">
        <v>110</v>
      </c>
      <c r="C12">
        <v>1</v>
      </c>
      <c r="D12" s="5">
        <v>35263</v>
      </c>
      <c r="E12" s="5">
        <v>35291</v>
      </c>
      <c r="F12" s="5">
        <v>35269</v>
      </c>
      <c r="G12">
        <v>1</v>
      </c>
      <c r="H12" s="1">
        <v>140.51</v>
      </c>
      <c r="I12" s="1" t="s">
        <v>111</v>
      </c>
      <c r="J12" s="1" t="s">
        <v>112</v>
      </c>
      <c r="K12" s="1" t="s">
        <v>113</v>
      </c>
      <c r="L12" s="1" t="s">
        <v>59</v>
      </c>
      <c r="M12" s="1" t="s">
        <v>114</v>
      </c>
      <c r="N12" s="1" t="s">
        <v>115</v>
      </c>
      <c r="O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" spans="1:15" x14ac:dyDescent="0.25">
      <c r="A13">
        <v>10259</v>
      </c>
      <c r="B13" s="1" t="s">
        <v>116</v>
      </c>
      <c r="C13">
        <v>4</v>
      </c>
      <c r="D13" s="5">
        <v>35264</v>
      </c>
      <c r="E13" s="5">
        <v>35292</v>
      </c>
      <c r="F13" s="5">
        <v>35271</v>
      </c>
      <c r="G13">
        <v>3</v>
      </c>
      <c r="H13" s="1">
        <v>3.25</v>
      </c>
      <c r="I13" s="1" t="s">
        <v>117</v>
      </c>
      <c r="J13" s="1" t="s">
        <v>118</v>
      </c>
      <c r="K13" s="1" t="s">
        <v>119</v>
      </c>
      <c r="L13" s="1" t="s">
        <v>59</v>
      </c>
      <c r="M13" s="1" t="s">
        <v>120</v>
      </c>
      <c r="N13" s="1" t="s">
        <v>121</v>
      </c>
      <c r="O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" spans="1:15" x14ac:dyDescent="0.25">
      <c r="A14">
        <v>10260</v>
      </c>
      <c r="B14" s="1" t="s">
        <v>122</v>
      </c>
      <c r="C14">
        <v>4</v>
      </c>
      <c r="D14" s="5">
        <v>35265</v>
      </c>
      <c r="E14" s="5">
        <v>35293</v>
      </c>
      <c r="F14" s="5">
        <v>35275</v>
      </c>
      <c r="G14">
        <v>1</v>
      </c>
      <c r="H14" s="1">
        <v>55.09</v>
      </c>
      <c r="I14" s="1" t="s">
        <v>123</v>
      </c>
      <c r="J14" s="1" t="s">
        <v>124</v>
      </c>
      <c r="K14" s="1" t="s">
        <v>125</v>
      </c>
      <c r="L14" s="1" t="s">
        <v>59</v>
      </c>
      <c r="M14" s="1" t="s">
        <v>126</v>
      </c>
      <c r="N14" s="1" t="s">
        <v>67</v>
      </c>
      <c r="O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" spans="1:15" x14ac:dyDescent="0.25">
      <c r="A15">
        <v>10261</v>
      </c>
      <c r="B15" s="1" t="s">
        <v>127</v>
      </c>
      <c r="C15">
        <v>4</v>
      </c>
      <c r="D15" s="5">
        <v>35265</v>
      </c>
      <c r="E15" s="5">
        <v>35293</v>
      </c>
      <c r="F15" s="5">
        <v>35276</v>
      </c>
      <c r="G15">
        <v>2</v>
      </c>
      <c r="H15" s="1">
        <v>3.05</v>
      </c>
      <c r="I15" s="1" t="s">
        <v>128</v>
      </c>
      <c r="J15" s="1" t="s">
        <v>129</v>
      </c>
      <c r="K15" s="1" t="s">
        <v>71</v>
      </c>
      <c r="L15" s="1" t="s">
        <v>72</v>
      </c>
      <c r="M15" s="1" t="s">
        <v>130</v>
      </c>
      <c r="N15" s="1" t="s">
        <v>74</v>
      </c>
      <c r="O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" spans="1:15" x14ac:dyDescent="0.25">
      <c r="A16">
        <v>10262</v>
      </c>
      <c r="B16" s="1" t="s">
        <v>131</v>
      </c>
      <c r="C16">
        <v>8</v>
      </c>
      <c r="D16" s="5">
        <v>35268</v>
      </c>
      <c r="E16" s="5">
        <v>35296</v>
      </c>
      <c r="F16" s="5">
        <v>35271</v>
      </c>
      <c r="G16">
        <v>3</v>
      </c>
      <c r="H16" s="1">
        <v>48.29</v>
      </c>
      <c r="I16" s="1" t="s">
        <v>132</v>
      </c>
      <c r="J16" s="1" t="s">
        <v>133</v>
      </c>
      <c r="K16" s="1" t="s">
        <v>134</v>
      </c>
      <c r="L16" s="1" t="s">
        <v>135</v>
      </c>
      <c r="M16" s="1" t="s">
        <v>136</v>
      </c>
      <c r="N16" s="1" t="s">
        <v>137</v>
      </c>
      <c r="O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" spans="1:15" x14ac:dyDescent="0.25">
      <c r="A17">
        <v>10263</v>
      </c>
      <c r="B17" s="1" t="s">
        <v>110</v>
      </c>
      <c r="C17">
        <v>9</v>
      </c>
      <c r="D17" s="5">
        <v>35269</v>
      </c>
      <c r="E17" s="5">
        <v>35297</v>
      </c>
      <c r="F17" s="5">
        <v>35277</v>
      </c>
      <c r="G17">
        <v>3</v>
      </c>
      <c r="H17" s="1">
        <v>146.06</v>
      </c>
      <c r="I17" s="1" t="s">
        <v>111</v>
      </c>
      <c r="J17" s="1" t="s">
        <v>112</v>
      </c>
      <c r="K17" s="1" t="s">
        <v>113</v>
      </c>
      <c r="L17" s="1" t="s">
        <v>59</v>
      </c>
      <c r="M17" s="1" t="s">
        <v>114</v>
      </c>
      <c r="N17" s="1" t="s">
        <v>115</v>
      </c>
      <c r="O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" spans="1:15" x14ac:dyDescent="0.25">
      <c r="A18">
        <v>10264</v>
      </c>
      <c r="B18" s="1" t="s">
        <v>138</v>
      </c>
      <c r="C18">
        <v>6</v>
      </c>
      <c r="D18" s="5">
        <v>35270</v>
      </c>
      <c r="E18" s="5">
        <v>35298</v>
      </c>
      <c r="F18" s="5">
        <v>35300</v>
      </c>
      <c r="G18">
        <v>3</v>
      </c>
      <c r="H18" s="1">
        <v>3.67</v>
      </c>
      <c r="I18" s="1" t="s">
        <v>139</v>
      </c>
      <c r="J18" s="1" t="s">
        <v>140</v>
      </c>
      <c r="K18" s="1" t="s">
        <v>141</v>
      </c>
      <c r="L18" s="1" t="s">
        <v>59</v>
      </c>
      <c r="M18" s="1" t="s">
        <v>142</v>
      </c>
      <c r="N18" s="1" t="s">
        <v>143</v>
      </c>
      <c r="O18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19" spans="1:15" x14ac:dyDescent="0.25">
      <c r="A19">
        <v>10265</v>
      </c>
      <c r="B19" s="1" t="s">
        <v>144</v>
      </c>
      <c r="C19">
        <v>2</v>
      </c>
      <c r="D19" s="5">
        <v>35271</v>
      </c>
      <c r="E19" s="5">
        <v>35299</v>
      </c>
      <c r="F19" s="5">
        <v>35289</v>
      </c>
      <c r="G19">
        <v>1</v>
      </c>
      <c r="H19" s="1">
        <v>55.28</v>
      </c>
      <c r="I19" s="1" t="s">
        <v>145</v>
      </c>
      <c r="J19" s="1" t="s">
        <v>146</v>
      </c>
      <c r="K19" s="1" t="s">
        <v>147</v>
      </c>
      <c r="L19" s="1" t="s">
        <v>59</v>
      </c>
      <c r="M19" s="1" t="s">
        <v>148</v>
      </c>
      <c r="N19" s="1" t="s">
        <v>61</v>
      </c>
      <c r="O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" spans="1:15" x14ac:dyDescent="0.25">
      <c r="A20">
        <v>10266</v>
      </c>
      <c r="B20" s="1" t="s">
        <v>149</v>
      </c>
      <c r="C20">
        <v>3</v>
      </c>
      <c r="D20" s="5">
        <v>35272</v>
      </c>
      <c r="E20" s="5">
        <v>35314</v>
      </c>
      <c r="F20" s="5">
        <v>35277</v>
      </c>
      <c r="G20">
        <v>3</v>
      </c>
      <c r="H20" s="1">
        <v>25.73</v>
      </c>
      <c r="I20" s="1" t="s">
        <v>150</v>
      </c>
      <c r="J20" s="1" t="s">
        <v>151</v>
      </c>
      <c r="K20" s="1" t="s">
        <v>152</v>
      </c>
      <c r="L20" s="1" t="s">
        <v>59</v>
      </c>
      <c r="M20" s="1" t="s">
        <v>153</v>
      </c>
      <c r="N20" s="1" t="s">
        <v>154</v>
      </c>
      <c r="O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" spans="1:15" x14ac:dyDescent="0.25">
      <c r="A21">
        <v>10267</v>
      </c>
      <c r="B21" s="1" t="s">
        <v>155</v>
      </c>
      <c r="C21">
        <v>4</v>
      </c>
      <c r="D21" s="5">
        <v>35275</v>
      </c>
      <c r="E21" s="5">
        <v>35303</v>
      </c>
      <c r="F21" s="5">
        <v>35283</v>
      </c>
      <c r="G21">
        <v>1</v>
      </c>
      <c r="H21" s="1">
        <v>208.58</v>
      </c>
      <c r="I21" s="1" t="s">
        <v>156</v>
      </c>
      <c r="J21" s="1" t="s">
        <v>157</v>
      </c>
      <c r="K21" s="1" t="s">
        <v>158</v>
      </c>
      <c r="L21" s="1" t="s">
        <v>59</v>
      </c>
      <c r="M21" s="1" t="s">
        <v>159</v>
      </c>
      <c r="N21" s="1" t="s">
        <v>67</v>
      </c>
      <c r="O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" spans="1:15" x14ac:dyDescent="0.25">
      <c r="A22">
        <v>10268</v>
      </c>
      <c r="B22" s="1" t="s">
        <v>160</v>
      </c>
      <c r="C22">
        <v>8</v>
      </c>
      <c r="D22" s="5">
        <v>35276</v>
      </c>
      <c r="E22" s="5">
        <v>35304</v>
      </c>
      <c r="F22" s="5">
        <v>35279</v>
      </c>
      <c r="G22">
        <v>3</v>
      </c>
      <c r="H22" s="1">
        <v>66.290000000000006</v>
      </c>
      <c r="I22" s="1" t="s">
        <v>161</v>
      </c>
      <c r="J22" s="1" t="s">
        <v>162</v>
      </c>
      <c r="K22" s="1" t="s">
        <v>163</v>
      </c>
      <c r="L22" s="1" t="s">
        <v>164</v>
      </c>
      <c r="M22" s="1" t="s">
        <v>165</v>
      </c>
      <c r="N22" s="1" t="s">
        <v>109</v>
      </c>
      <c r="O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" spans="1:15" x14ac:dyDescent="0.25">
      <c r="A23">
        <v>10269</v>
      </c>
      <c r="B23" s="1" t="s">
        <v>166</v>
      </c>
      <c r="C23">
        <v>5</v>
      </c>
      <c r="D23" s="5">
        <v>35277</v>
      </c>
      <c r="E23" s="5">
        <v>35291</v>
      </c>
      <c r="F23" s="5">
        <v>35286</v>
      </c>
      <c r="G23">
        <v>1</v>
      </c>
      <c r="H23" s="1">
        <v>4.5599999999999996</v>
      </c>
      <c r="I23" s="1" t="s">
        <v>167</v>
      </c>
      <c r="J23" s="1" t="s">
        <v>168</v>
      </c>
      <c r="K23" s="1" t="s">
        <v>169</v>
      </c>
      <c r="L23" s="1" t="s">
        <v>170</v>
      </c>
      <c r="M23" s="1" t="s">
        <v>171</v>
      </c>
      <c r="N23" s="1" t="s">
        <v>137</v>
      </c>
      <c r="O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" spans="1:15" x14ac:dyDescent="0.25">
      <c r="A24">
        <v>10270</v>
      </c>
      <c r="B24" s="1" t="s">
        <v>149</v>
      </c>
      <c r="C24">
        <v>1</v>
      </c>
      <c r="D24" s="5">
        <v>35278</v>
      </c>
      <c r="E24" s="5">
        <v>35306</v>
      </c>
      <c r="F24" s="5">
        <v>35279</v>
      </c>
      <c r="G24">
        <v>1</v>
      </c>
      <c r="H24" s="1">
        <v>136.54</v>
      </c>
      <c r="I24" s="1" t="s">
        <v>150</v>
      </c>
      <c r="J24" s="1" t="s">
        <v>151</v>
      </c>
      <c r="K24" s="1" t="s">
        <v>152</v>
      </c>
      <c r="L24" s="1" t="s">
        <v>59</v>
      </c>
      <c r="M24" s="1" t="s">
        <v>153</v>
      </c>
      <c r="N24" s="1" t="s">
        <v>154</v>
      </c>
      <c r="O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" spans="1:15" x14ac:dyDescent="0.25">
      <c r="A25">
        <v>10271</v>
      </c>
      <c r="B25" s="1" t="s">
        <v>172</v>
      </c>
      <c r="C25">
        <v>6</v>
      </c>
      <c r="D25" s="5">
        <v>35278</v>
      </c>
      <c r="E25" s="5">
        <v>35306</v>
      </c>
      <c r="F25" s="5">
        <v>35307</v>
      </c>
      <c r="G25">
        <v>2</v>
      </c>
      <c r="H25" s="1">
        <v>4.54</v>
      </c>
      <c r="I25" s="1" t="s">
        <v>173</v>
      </c>
      <c r="J25" s="1" t="s">
        <v>174</v>
      </c>
      <c r="K25" s="1" t="s">
        <v>175</v>
      </c>
      <c r="L25" s="1" t="s">
        <v>176</v>
      </c>
      <c r="M25" s="1" t="s">
        <v>177</v>
      </c>
      <c r="N25" s="1" t="s">
        <v>137</v>
      </c>
      <c r="O25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26" spans="1:15" x14ac:dyDescent="0.25">
      <c r="A26">
        <v>10272</v>
      </c>
      <c r="B26" s="1" t="s">
        <v>131</v>
      </c>
      <c r="C26">
        <v>6</v>
      </c>
      <c r="D26" s="5">
        <v>35279</v>
      </c>
      <c r="E26" s="5">
        <v>35307</v>
      </c>
      <c r="F26" s="5">
        <v>35283</v>
      </c>
      <c r="G26">
        <v>2</v>
      </c>
      <c r="H26" s="1">
        <v>98.03</v>
      </c>
      <c r="I26" s="1" t="s">
        <v>132</v>
      </c>
      <c r="J26" s="1" t="s">
        <v>133</v>
      </c>
      <c r="K26" s="1" t="s">
        <v>134</v>
      </c>
      <c r="L26" s="1" t="s">
        <v>135</v>
      </c>
      <c r="M26" s="1" t="s">
        <v>136</v>
      </c>
      <c r="N26" s="1" t="s">
        <v>137</v>
      </c>
      <c r="O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" spans="1:15" x14ac:dyDescent="0.25">
      <c r="A27">
        <v>10273</v>
      </c>
      <c r="B27" s="1" t="s">
        <v>178</v>
      </c>
      <c r="C27">
        <v>3</v>
      </c>
      <c r="D27" s="5">
        <v>35282</v>
      </c>
      <c r="E27" s="5">
        <v>35310</v>
      </c>
      <c r="F27" s="5">
        <v>35289</v>
      </c>
      <c r="G27">
        <v>3</v>
      </c>
      <c r="H27" s="1">
        <v>76.069999999999993</v>
      </c>
      <c r="I27" s="1" t="s">
        <v>179</v>
      </c>
      <c r="J27" s="1" t="s">
        <v>180</v>
      </c>
      <c r="K27" s="1" t="s">
        <v>181</v>
      </c>
      <c r="L27" s="1" t="s">
        <v>59</v>
      </c>
      <c r="M27" s="1" t="s">
        <v>182</v>
      </c>
      <c r="N27" s="1" t="s">
        <v>67</v>
      </c>
      <c r="O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" spans="1:15" x14ac:dyDescent="0.25">
      <c r="A28">
        <v>10274</v>
      </c>
      <c r="B28" s="1" t="s">
        <v>55</v>
      </c>
      <c r="C28">
        <v>6</v>
      </c>
      <c r="D28" s="5">
        <v>35283</v>
      </c>
      <c r="E28" s="5">
        <v>35311</v>
      </c>
      <c r="F28" s="5">
        <v>35293</v>
      </c>
      <c r="G28">
        <v>1</v>
      </c>
      <c r="H28" s="1">
        <v>6.01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  <c r="O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" spans="1:15" x14ac:dyDescent="0.25">
      <c r="A29">
        <v>10275</v>
      </c>
      <c r="B29" s="1" t="s">
        <v>183</v>
      </c>
      <c r="C29">
        <v>1</v>
      </c>
      <c r="D29" s="5">
        <v>35284</v>
      </c>
      <c r="E29" s="5">
        <v>35312</v>
      </c>
      <c r="F29" s="5">
        <v>35286</v>
      </c>
      <c r="G29">
        <v>1</v>
      </c>
      <c r="H29" s="1">
        <v>26.93</v>
      </c>
      <c r="I29" s="1" t="s">
        <v>184</v>
      </c>
      <c r="J29" s="1" t="s">
        <v>185</v>
      </c>
      <c r="K29" s="1" t="s">
        <v>186</v>
      </c>
      <c r="L29" s="1" t="s">
        <v>59</v>
      </c>
      <c r="M29" s="1" t="s">
        <v>187</v>
      </c>
      <c r="N29" s="1" t="s">
        <v>188</v>
      </c>
      <c r="O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" spans="1:15" x14ac:dyDescent="0.25">
      <c r="A30">
        <v>10276</v>
      </c>
      <c r="B30" s="1" t="s">
        <v>189</v>
      </c>
      <c r="C30">
        <v>8</v>
      </c>
      <c r="D30" s="5">
        <v>35285</v>
      </c>
      <c r="E30" s="5">
        <v>35299</v>
      </c>
      <c r="F30" s="5">
        <v>35291</v>
      </c>
      <c r="G30">
        <v>3</v>
      </c>
      <c r="H30" s="1">
        <v>13.84</v>
      </c>
      <c r="I30" s="1" t="s">
        <v>190</v>
      </c>
      <c r="J30" s="1" t="s">
        <v>191</v>
      </c>
      <c r="K30" s="1" t="s">
        <v>119</v>
      </c>
      <c r="L30" s="1" t="s">
        <v>59</v>
      </c>
      <c r="M30" s="1" t="s">
        <v>192</v>
      </c>
      <c r="N30" s="1" t="s">
        <v>121</v>
      </c>
      <c r="O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" spans="1:15" x14ac:dyDescent="0.25">
      <c r="A31">
        <v>10277</v>
      </c>
      <c r="B31" s="1" t="s">
        <v>193</v>
      </c>
      <c r="C31">
        <v>2</v>
      </c>
      <c r="D31" s="5">
        <v>35286</v>
      </c>
      <c r="E31" s="5">
        <v>35314</v>
      </c>
      <c r="F31" s="5">
        <v>35290</v>
      </c>
      <c r="G31">
        <v>3</v>
      </c>
      <c r="H31" s="1">
        <v>125.77</v>
      </c>
      <c r="I31" s="1" t="s">
        <v>194</v>
      </c>
      <c r="J31" s="1" t="s">
        <v>195</v>
      </c>
      <c r="K31" s="1" t="s">
        <v>196</v>
      </c>
      <c r="L31" s="1" t="s">
        <v>59</v>
      </c>
      <c r="M31" s="1" t="s">
        <v>197</v>
      </c>
      <c r="N31" s="1" t="s">
        <v>67</v>
      </c>
      <c r="O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" spans="1:15" x14ac:dyDescent="0.25">
      <c r="A32">
        <v>10278</v>
      </c>
      <c r="B32" s="1" t="s">
        <v>198</v>
      </c>
      <c r="C32">
        <v>8</v>
      </c>
      <c r="D32" s="5">
        <v>35289</v>
      </c>
      <c r="E32" s="5">
        <v>35317</v>
      </c>
      <c r="F32" s="5">
        <v>35293</v>
      </c>
      <c r="G32">
        <v>2</v>
      </c>
      <c r="H32" s="1">
        <v>92.69</v>
      </c>
      <c r="I32" s="1" t="s">
        <v>199</v>
      </c>
      <c r="J32" s="1" t="s">
        <v>200</v>
      </c>
      <c r="K32" s="1" t="s">
        <v>201</v>
      </c>
      <c r="L32" s="1" t="s">
        <v>59</v>
      </c>
      <c r="M32" s="1" t="s">
        <v>202</v>
      </c>
      <c r="N32" s="1" t="s">
        <v>143</v>
      </c>
      <c r="O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" spans="1:15" x14ac:dyDescent="0.25">
      <c r="A33">
        <v>10279</v>
      </c>
      <c r="B33" s="1" t="s">
        <v>203</v>
      </c>
      <c r="C33">
        <v>8</v>
      </c>
      <c r="D33" s="5">
        <v>35290</v>
      </c>
      <c r="E33" s="5">
        <v>35318</v>
      </c>
      <c r="F33" s="5">
        <v>35293</v>
      </c>
      <c r="G33">
        <v>2</v>
      </c>
      <c r="H33" s="1">
        <v>25.83</v>
      </c>
      <c r="I33" s="1" t="s">
        <v>204</v>
      </c>
      <c r="J33" s="1" t="s">
        <v>205</v>
      </c>
      <c r="K33" s="1" t="s">
        <v>206</v>
      </c>
      <c r="L33" s="1" t="s">
        <v>59</v>
      </c>
      <c r="M33" s="1" t="s">
        <v>207</v>
      </c>
      <c r="N33" s="1" t="s">
        <v>67</v>
      </c>
      <c r="O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" spans="1:15" x14ac:dyDescent="0.25">
      <c r="A34">
        <v>10280</v>
      </c>
      <c r="B34" s="1" t="s">
        <v>198</v>
      </c>
      <c r="C34">
        <v>2</v>
      </c>
      <c r="D34" s="5">
        <v>35291</v>
      </c>
      <c r="E34" s="5">
        <v>35319</v>
      </c>
      <c r="F34" s="5">
        <v>35320</v>
      </c>
      <c r="G34">
        <v>1</v>
      </c>
      <c r="H34" s="1">
        <v>8.98</v>
      </c>
      <c r="I34" s="1" t="s">
        <v>199</v>
      </c>
      <c r="J34" s="1" t="s">
        <v>200</v>
      </c>
      <c r="K34" s="1" t="s">
        <v>201</v>
      </c>
      <c r="L34" s="1" t="s">
        <v>59</v>
      </c>
      <c r="M34" s="1" t="s">
        <v>202</v>
      </c>
      <c r="N34" s="1" t="s">
        <v>143</v>
      </c>
      <c r="O34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35" spans="1:15" x14ac:dyDescent="0.25">
      <c r="A35">
        <v>10281</v>
      </c>
      <c r="B35" s="1" t="s">
        <v>208</v>
      </c>
      <c r="C35">
        <v>4</v>
      </c>
      <c r="D35" s="5">
        <v>35291</v>
      </c>
      <c r="E35" s="5">
        <v>35305</v>
      </c>
      <c r="F35" s="5">
        <v>35298</v>
      </c>
      <c r="G35">
        <v>1</v>
      </c>
      <c r="H35" s="1">
        <v>2.94</v>
      </c>
      <c r="I35" s="1" t="s">
        <v>209</v>
      </c>
      <c r="J35" s="1" t="s">
        <v>210</v>
      </c>
      <c r="K35" s="1" t="s">
        <v>211</v>
      </c>
      <c r="L35" s="1" t="s">
        <v>59</v>
      </c>
      <c r="M35" s="1" t="s">
        <v>212</v>
      </c>
      <c r="N35" s="1" t="s">
        <v>213</v>
      </c>
      <c r="O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" spans="1:15" x14ac:dyDescent="0.25">
      <c r="A36">
        <v>10282</v>
      </c>
      <c r="B36" s="1" t="s">
        <v>208</v>
      </c>
      <c r="C36">
        <v>4</v>
      </c>
      <c r="D36" s="5">
        <v>35292</v>
      </c>
      <c r="E36" s="5">
        <v>35320</v>
      </c>
      <c r="F36" s="5">
        <v>35298</v>
      </c>
      <c r="G36">
        <v>1</v>
      </c>
      <c r="H36" s="1">
        <v>12.69</v>
      </c>
      <c r="I36" s="1" t="s">
        <v>209</v>
      </c>
      <c r="J36" s="1" t="s">
        <v>210</v>
      </c>
      <c r="K36" s="1" t="s">
        <v>211</v>
      </c>
      <c r="L36" s="1" t="s">
        <v>59</v>
      </c>
      <c r="M36" s="1" t="s">
        <v>212</v>
      </c>
      <c r="N36" s="1" t="s">
        <v>213</v>
      </c>
      <c r="O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" spans="1:15" x14ac:dyDescent="0.25">
      <c r="A37">
        <v>10283</v>
      </c>
      <c r="B37" s="1" t="s">
        <v>214</v>
      </c>
      <c r="C37">
        <v>3</v>
      </c>
      <c r="D37" s="5">
        <v>35293</v>
      </c>
      <c r="E37" s="5">
        <v>35321</v>
      </c>
      <c r="F37" s="5">
        <v>35300</v>
      </c>
      <c r="G37">
        <v>3</v>
      </c>
      <c r="H37" s="1">
        <v>84.81</v>
      </c>
      <c r="I37" s="1" t="s">
        <v>215</v>
      </c>
      <c r="J37" s="1" t="s">
        <v>216</v>
      </c>
      <c r="K37" s="1" t="s">
        <v>217</v>
      </c>
      <c r="L37" s="1" t="s">
        <v>218</v>
      </c>
      <c r="M37" s="1" t="s">
        <v>219</v>
      </c>
      <c r="N37" s="1" t="s">
        <v>109</v>
      </c>
      <c r="O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" spans="1:15" x14ac:dyDescent="0.25">
      <c r="A38">
        <v>10284</v>
      </c>
      <c r="B38" s="1" t="s">
        <v>203</v>
      </c>
      <c r="C38">
        <v>4</v>
      </c>
      <c r="D38" s="5">
        <v>35296</v>
      </c>
      <c r="E38" s="5">
        <v>35324</v>
      </c>
      <c r="F38" s="5">
        <v>35304</v>
      </c>
      <c r="G38">
        <v>1</v>
      </c>
      <c r="H38" s="1">
        <v>76.56</v>
      </c>
      <c r="I38" s="1" t="s">
        <v>204</v>
      </c>
      <c r="J38" s="1" t="s">
        <v>205</v>
      </c>
      <c r="K38" s="1" t="s">
        <v>206</v>
      </c>
      <c r="L38" s="1" t="s">
        <v>59</v>
      </c>
      <c r="M38" s="1" t="s">
        <v>207</v>
      </c>
      <c r="N38" s="1" t="s">
        <v>67</v>
      </c>
      <c r="O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" spans="1:15" x14ac:dyDescent="0.25">
      <c r="A39">
        <v>10285</v>
      </c>
      <c r="B39" s="1" t="s">
        <v>178</v>
      </c>
      <c r="C39">
        <v>1</v>
      </c>
      <c r="D39" s="5">
        <v>35297</v>
      </c>
      <c r="E39" s="5">
        <v>35325</v>
      </c>
      <c r="F39" s="5">
        <v>35303</v>
      </c>
      <c r="G39">
        <v>2</v>
      </c>
      <c r="H39" s="1">
        <v>76.83</v>
      </c>
      <c r="I39" s="1" t="s">
        <v>179</v>
      </c>
      <c r="J39" s="1" t="s">
        <v>180</v>
      </c>
      <c r="K39" s="1" t="s">
        <v>181</v>
      </c>
      <c r="L39" s="1" t="s">
        <v>59</v>
      </c>
      <c r="M39" s="1" t="s">
        <v>182</v>
      </c>
      <c r="N39" s="1" t="s">
        <v>67</v>
      </c>
      <c r="O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" spans="1:15" x14ac:dyDescent="0.25">
      <c r="A40">
        <v>10286</v>
      </c>
      <c r="B40" s="1" t="s">
        <v>178</v>
      </c>
      <c r="C40">
        <v>8</v>
      </c>
      <c r="D40" s="5">
        <v>35298</v>
      </c>
      <c r="E40" s="5">
        <v>35326</v>
      </c>
      <c r="F40" s="5">
        <v>35307</v>
      </c>
      <c r="G40">
        <v>3</v>
      </c>
      <c r="H40" s="1">
        <v>229.24</v>
      </c>
      <c r="I40" s="1" t="s">
        <v>179</v>
      </c>
      <c r="J40" s="1" t="s">
        <v>180</v>
      </c>
      <c r="K40" s="1" t="s">
        <v>181</v>
      </c>
      <c r="L40" s="1" t="s">
        <v>59</v>
      </c>
      <c r="M40" s="1" t="s">
        <v>182</v>
      </c>
      <c r="N40" s="1" t="s">
        <v>67</v>
      </c>
      <c r="O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" spans="1:15" x14ac:dyDescent="0.25">
      <c r="A41">
        <v>10287</v>
      </c>
      <c r="B41" s="1" t="s">
        <v>220</v>
      </c>
      <c r="C41">
        <v>8</v>
      </c>
      <c r="D41" s="5">
        <v>35299</v>
      </c>
      <c r="E41" s="5">
        <v>35327</v>
      </c>
      <c r="F41" s="5">
        <v>35305</v>
      </c>
      <c r="G41">
        <v>3</v>
      </c>
      <c r="H41" s="1">
        <v>12.76</v>
      </c>
      <c r="I41" s="1" t="s">
        <v>221</v>
      </c>
      <c r="J41" s="1" t="s">
        <v>222</v>
      </c>
      <c r="K41" s="1" t="s">
        <v>71</v>
      </c>
      <c r="L41" s="1" t="s">
        <v>72</v>
      </c>
      <c r="M41" s="1" t="s">
        <v>223</v>
      </c>
      <c r="N41" s="1" t="s">
        <v>74</v>
      </c>
      <c r="O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" spans="1:15" x14ac:dyDescent="0.25">
      <c r="A42">
        <v>10288</v>
      </c>
      <c r="B42" s="1" t="s">
        <v>224</v>
      </c>
      <c r="C42">
        <v>4</v>
      </c>
      <c r="D42" s="5">
        <v>35300</v>
      </c>
      <c r="E42" s="5">
        <v>35328</v>
      </c>
      <c r="F42" s="5">
        <v>35311</v>
      </c>
      <c r="G42">
        <v>1</v>
      </c>
      <c r="H42" s="1">
        <v>7.45</v>
      </c>
      <c r="I42" s="1" t="s">
        <v>225</v>
      </c>
      <c r="J42" s="1" t="s">
        <v>226</v>
      </c>
      <c r="K42" s="1" t="s">
        <v>227</v>
      </c>
      <c r="L42" s="1" t="s">
        <v>59</v>
      </c>
      <c r="M42" s="1" t="s">
        <v>228</v>
      </c>
      <c r="N42" s="1" t="s">
        <v>188</v>
      </c>
      <c r="O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" spans="1:15" x14ac:dyDescent="0.25">
      <c r="A43">
        <v>10289</v>
      </c>
      <c r="B43" s="1" t="s">
        <v>229</v>
      </c>
      <c r="C43">
        <v>7</v>
      </c>
      <c r="D43" s="5">
        <v>35303</v>
      </c>
      <c r="E43" s="5">
        <v>35331</v>
      </c>
      <c r="F43" s="5">
        <v>35305</v>
      </c>
      <c r="G43">
        <v>3</v>
      </c>
      <c r="H43" s="1">
        <v>22.77</v>
      </c>
      <c r="I43" s="1" t="s">
        <v>230</v>
      </c>
      <c r="J43" s="1" t="s">
        <v>231</v>
      </c>
      <c r="K43" s="1" t="s">
        <v>232</v>
      </c>
      <c r="L43" s="1" t="s">
        <v>59</v>
      </c>
      <c r="M43" s="1" t="s">
        <v>233</v>
      </c>
      <c r="N43" s="1" t="s">
        <v>234</v>
      </c>
      <c r="O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" spans="1:15" x14ac:dyDescent="0.25">
      <c r="A44">
        <v>10290</v>
      </c>
      <c r="B44" s="1" t="s">
        <v>235</v>
      </c>
      <c r="C44">
        <v>8</v>
      </c>
      <c r="D44" s="5">
        <v>35304</v>
      </c>
      <c r="E44" s="5">
        <v>35332</v>
      </c>
      <c r="F44" s="5">
        <v>35311</v>
      </c>
      <c r="G44">
        <v>1</v>
      </c>
      <c r="H44" s="1">
        <v>79.7</v>
      </c>
      <c r="I44" s="1" t="s">
        <v>236</v>
      </c>
      <c r="J44" s="1" t="s">
        <v>237</v>
      </c>
      <c r="K44" s="1" t="s">
        <v>238</v>
      </c>
      <c r="L44" s="1" t="s">
        <v>101</v>
      </c>
      <c r="M44" s="1" t="s">
        <v>239</v>
      </c>
      <c r="N44" s="1" t="s">
        <v>74</v>
      </c>
      <c r="O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" spans="1:15" x14ac:dyDescent="0.25">
      <c r="A45">
        <v>10291</v>
      </c>
      <c r="B45" s="1" t="s">
        <v>127</v>
      </c>
      <c r="C45">
        <v>6</v>
      </c>
      <c r="D45" s="5">
        <v>35304</v>
      </c>
      <c r="E45" s="5">
        <v>35332</v>
      </c>
      <c r="F45" s="5">
        <v>35312</v>
      </c>
      <c r="G45">
        <v>2</v>
      </c>
      <c r="H45" s="1">
        <v>6.4</v>
      </c>
      <c r="I45" s="1" t="s">
        <v>128</v>
      </c>
      <c r="J45" s="1" t="s">
        <v>129</v>
      </c>
      <c r="K45" s="1" t="s">
        <v>71</v>
      </c>
      <c r="L45" s="1" t="s">
        <v>72</v>
      </c>
      <c r="M45" s="1" t="s">
        <v>130</v>
      </c>
      <c r="N45" s="1" t="s">
        <v>74</v>
      </c>
      <c r="O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" spans="1:15" x14ac:dyDescent="0.25">
      <c r="A46">
        <v>10292</v>
      </c>
      <c r="B46" s="1" t="s">
        <v>240</v>
      </c>
      <c r="C46">
        <v>1</v>
      </c>
      <c r="D46" s="5">
        <v>35305</v>
      </c>
      <c r="E46" s="5">
        <v>35333</v>
      </c>
      <c r="F46" s="5">
        <v>35310</v>
      </c>
      <c r="G46">
        <v>2</v>
      </c>
      <c r="H46" s="1">
        <v>1.35</v>
      </c>
      <c r="I46" s="1" t="s">
        <v>241</v>
      </c>
      <c r="J46" s="1" t="s">
        <v>242</v>
      </c>
      <c r="K46" s="1" t="s">
        <v>238</v>
      </c>
      <c r="L46" s="1" t="s">
        <v>101</v>
      </c>
      <c r="M46" s="1" t="s">
        <v>243</v>
      </c>
      <c r="N46" s="1" t="s">
        <v>74</v>
      </c>
      <c r="O4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" spans="1:15" x14ac:dyDescent="0.25">
      <c r="A47">
        <v>10293</v>
      </c>
      <c r="B47" s="1" t="s">
        <v>189</v>
      </c>
      <c r="C47">
        <v>1</v>
      </c>
      <c r="D47" s="5">
        <v>35306</v>
      </c>
      <c r="E47" s="5">
        <v>35334</v>
      </c>
      <c r="F47" s="5">
        <v>35319</v>
      </c>
      <c r="G47">
        <v>3</v>
      </c>
      <c r="H47" s="1">
        <v>21.18</v>
      </c>
      <c r="I47" s="1" t="s">
        <v>190</v>
      </c>
      <c r="J47" s="1" t="s">
        <v>191</v>
      </c>
      <c r="K47" s="1" t="s">
        <v>119</v>
      </c>
      <c r="L47" s="1" t="s">
        <v>59</v>
      </c>
      <c r="M47" s="1" t="s">
        <v>192</v>
      </c>
      <c r="N47" s="1" t="s">
        <v>121</v>
      </c>
      <c r="O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" spans="1:15" x14ac:dyDescent="0.25">
      <c r="A48">
        <v>10294</v>
      </c>
      <c r="B48" s="1" t="s">
        <v>131</v>
      </c>
      <c r="C48">
        <v>4</v>
      </c>
      <c r="D48" s="5">
        <v>35307</v>
      </c>
      <c r="E48" s="5">
        <v>35335</v>
      </c>
      <c r="F48" s="5">
        <v>35313</v>
      </c>
      <c r="G48">
        <v>2</v>
      </c>
      <c r="H48" s="1">
        <v>147.26</v>
      </c>
      <c r="I48" s="1" t="s">
        <v>132</v>
      </c>
      <c r="J48" s="1" t="s">
        <v>133</v>
      </c>
      <c r="K48" s="1" t="s">
        <v>134</v>
      </c>
      <c r="L48" s="1" t="s">
        <v>135</v>
      </c>
      <c r="M48" s="1" t="s">
        <v>136</v>
      </c>
      <c r="N48" s="1" t="s">
        <v>137</v>
      </c>
      <c r="O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" spans="1:15" x14ac:dyDescent="0.25">
      <c r="A49">
        <v>10295</v>
      </c>
      <c r="B49" s="1" t="s">
        <v>55</v>
      </c>
      <c r="C49">
        <v>2</v>
      </c>
      <c r="D49" s="5">
        <v>35310</v>
      </c>
      <c r="E49" s="5">
        <v>35338</v>
      </c>
      <c r="F49" s="5">
        <v>35318</v>
      </c>
      <c r="G49">
        <v>2</v>
      </c>
      <c r="H49" s="1">
        <v>1.1499999999999999</v>
      </c>
      <c r="I49" s="1" t="s">
        <v>56</v>
      </c>
      <c r="J49" s="1" t="s">
        <v>57</v>
      </c>
      <c r="K49" s="1" t="s">
        <v>58</v>
      </c>
      <c r="L49" s="1" t="s">
        <v>59</v>
      </c>
      <c r="M49" s="1" t="s">
        <v>60</v>
      </c>
      <c r="N49" s="1" t="s">
        <v>61</v>
      </c>
      <c r="O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" spans="1:15" x14ac:dyDescent="0.25">
      <c r="A50">
        <v>10296</v>
      </c>
      <c r="B50" s="1" t="s">
        <v>214</v>
      </c>
      <c r="C50">
        <v>6</v>
      </c>
      <c r="D50" s="5">
        <v>35311</v>
      </c>
      <c r="E50" s="5">
        <v>35339</v>
      </c>
      <c r="F50" s="5">
        <v>35319</v>
      </c>
      <c r="G50">
        <v>1</v>
      </c>
      <c r="H50" s="1">
        <v>0.12</v>
      </c>
      <c r="I50" s="1" t="s">
        <v>215</v>
      </c>
      <c r="J50" s="1" t="s">
        <v>216</v>
      </c>
      <c r="K50" s="1" t="s">
        <v>217</v>
      </c>
      <c r="L50" s="1" t="s">
        <v>218</v>
      </c>
      <c r="M50" s="1" t="s">
        <v>219</v>
      </c>
      <c r="N50" s="1" t="s">
        <v>109</v>
      </c>
      <c r="O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" spans="1:15" x14ac:dyDescent="0.25">
      <c r="A51">
        <v>10297</v>
      </c>
      <c r="B51" s="1" t="s">
        <v>144</v>
      </c>
      <c r="C51">
        <v>5</v>
      </c>
      <c r="D51" s="5">
        <v>35312</v>
      </c>
      <c r="E51" s="5">
        <v>35354</v>
      </c>
      <c r="F51" s="5">
        <v>35318</v>
      </c>
      <c r="G51">
        <v>2</v>
      </c>
      <c r="H51" s="1">
        <v>5.74</v>
      </c>
      <c r="I51" s="1" t="s">
        <v>145</v>
      </c>
      <c r="J51" s="1" t="s">
        <v>146</v>
      </c>
      <c r="K51" s="1" t="s">
        <v>147</v>
      </c>
      <c r="L51" s="1" t="s">
        <v>59</v>
      </c>
      <c r="M51" s="1" t="s">
        <v>148</v>
      </c>
      <c r="N51" s="1" t="s">
        <v>61</v>
      </c>
      <c r="O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" spans="1:15" x14ac:dyDescent="0.25">
      <c r="A52">
        <v>10299</v>
      </c>
      <c r="B52" s="1" t="s">
        <v>220</v>
      </c>
      <c r="C52">
        <v>4</v>
      </c>
      <c r="D52" s="5">
        <v>35314</v>
      </c>
      <c r="E52" s="5">
        <v>35342</v>
      </c>
      <c r="F52" s="5">
        <v>35321</v>
      </c>
      <c r="G52">
        <v>2</v>
      </c>
      <c r="H52" s="1">
        <v>29.76</v>
      </c>
      <c r="I52" s="1" t="s">
        <v>221</v>
      </c>
      <c r="J52" s="1" t="s">
        <v>222</v>
      </c>
      <c r="K52" s="1" t="s">
        <v>71</v>
      </c>
      <c r="L52" s="1" t="s">
        <v>72</v>
      </c>
      <c r="M52" s="1" t="s">
        <v>223</v>
      </c>
      <c r="N52" s="1" t="s">
        <v>74</v>
      </c>
      <c r="O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" spans="1:15" x14ac:dyDescent="0.25">
      <c r="A53">
        <v>10300</v>
      </c>
      <c r="B53" s="1" t="s">
        <v>183</v>
      </c>
      <c r="C53">
        <v>2</v>
      </c>
      <c r="D53" s="5">
        <v>35317</v>
      </c>
      <c r="E53" s="5">
        <v>35345</v>
      </c>
      <c r="F53" s="5">
        <v>35326</v>
      </c>
      <c r="G53">
        <v>2</v>
      </c>
      <c r="H53" s="1">
        <v>17.68</v>
      </c>
      <c r="I53" s="1" t="s">
        <v>184</v>
      </c>
      <c r="J53" s="1" t="s">
        <v>185</v>
      </c>
      <c r="K53" s="1" t="s">
        <v>186</v>
      </c>
      <c r="L53" s="1" t="s">
        <v>59</v>
      </c>
      <c r="M53" s="1" t="s">
        <v>187</v>
      </c>
      <c r="N53" s="1" t="s">
        <v>188</v>
      </c>
      <c r="O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" spans="1:15" x14ac:dyDescent="0.25">
      <c r="A54">
        <v>10301</v>
      </c>
      <c r="B54" s="1" t="s">
        <v>244</v>
      </c>
      <c r="C54">
        <v>8</v>
      </c>
      <c r="D54" s="5">
        <v>35317</v>
      </c>
      <c r="E54" s="5">
        <v>35345</v>
      </c>
      <c r="F54" s="5">
        <v>35325</v>
      </c>
      <c r="G54">
        <v>2</v>
      </c>
      <c r="H54" s="1">
        <v>45.08</v>
      </c>
      <c r="I54" s="1" t="s">
        <v>245</v>
      </c>
      <c r="J54" s="1" t="s">
        <v>246</v>
      </c>
      <c r="K54" s="1" t="s">
        <v>247</v>
      </c>
      <c r="L54" s="1" t="s">
        <v>59</v>
      </c>
      <c r="M54" s="1" t="s">
        <v>248</v>
      </c>
      <c r="N54" s="1" t="s">
        <v>67</v>
      </c>
      <c r="O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" spans="1:15" x14ac:dyDescent="0.25">
      <c r="A55">
        <v>10302</v>
      </c>
      <c r="B55" s="1" t="s">
        <v>80</v>
      </c>
      <c r="C55">
        <v>4</v>
      </c>
      <c r="D55" s="5">
        <v>35318</v>
      </c>
      <c r="E55" s="5">
        <v>35346</v>
      </c>
      <c r="F55" s="5">
        <v>35347</v>
      </c>
      <c r="G55">
        <v>2</v>
      </c>
      <c r="H55" s="1">
        <v>6.27</v>
      </c>
      <c r="I55" s="1" t="s">
        <v>81</v>
      </c>
      <c r="J55" s="1" t="s">
        <v>82</v>
      </c>
      <c r="K55" s="1" t="s">
        <v>83</v>
      </c>
      <c r="L55" s="1" t="s">
        <v>59</v>
      </c>
      <c r="M55" s="1" t="s">
        <v>84</v>
      </c>
      <c r="N55" s="1" t="s">
        <v>85</v>
      </c>
      <c r="O55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6" spans="1:15" x14ac:dyDescent="0.25">
      <c r="A56">
        <v>10303</v>
      </c>
      <c r="B56" s="1" t="s">
        <v>249</v>
      </c>
      <c r="C56">
        <v>7</v>
      </c>
      <c r="D56" s="5">
        <v>35319</v>
      </c>
      <c r="E56" s="5">
        <v>35347</v>
      </c>
      <c r="F56" s="5">
        <v>35326</v>
      </c>
      <c r="G56">
        <v>2</v>
      </c>
      <c r="H56" s="1">
        <v>107.83</v>
      </c>
      <c r="I56" s="1" t="s">
        <v>250</v>
      </c>
      <c r="J56" s="1" t="s">
        <v>251</v>
      </c>
      <c r="K56" s="1" t="s">
        <v>252</v>
      </c>
      <c r="L56" s="1" t="s">
        <v>59</v>
      </c>
      <c r="M56" s="1" t="s">
        <v>253</v>
      </c>
      <c r="N56" s="1" t="s">
        <v>213</v>
      </c>
      <c r="O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" spans="1:15" x14ac:dyDescent="0.25">
      <c r="A57">
        <v>10304</v>
      </c>
      <c r="B57" s="1" t="s">
        <v>189</v>
      </c>
      <c r="C57">
        <v>1</v>
      </c>
      <c r="D57" s="5">
        <v>35320</v>
      </c>
      <c r="E57" s="5">
        <v>35348</v>
      </c>
      <c r="F57" s="5">
        <v>35325</v>
      </c>
      <c r="G57">
        <v>2</v>
      </c>
      <c r="H57" s="1">
        <v>63.79</v>
      </c>
      <c r="I57" s="1" t="s">
        <v>190</v>
      </c>
      <c r="J57" s="1" t="s">
        <v>191</v>
      </c>
      <c r="K57" s="1" t="s">
        <v>119</v>
      </c>
      <c r="L57" s="1" t="s">
        <v>59</v>
      </c>
      <c r="M57" s="1" t="s">
        <v>192</v>
      </c>
      <c r="N57" s="1" t="s">
        <v>121</v>
      </c>
      <c r="O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" spans="1:15" x14ac:dyDescent="0.25">
      <c r="A58">
        <v>10305</v>
      </c>
      <c r="B58" s="1" t="s">
        <v>254</v>
      </c>
      <c r="C58">
        <v>8</v>
      </c>
      <c r="D58" s="5">
        <v>35321</v>
      </c>
      <c r="E58" s="5">
        <v>35349</v>
      </c>
      <c r="F58" s="5">
        <v>35347</v>
      </c>
      <c r="G58">
        <v>3</v>
      </c>
      <c r="H58" s="1">
        <v>257.62</v>
      </c>
      <c r="I58" s="1" t="s">
        <v>255</v>
      </c>
      <c r="J58" s="1" t="s">
        <v>256</v>
      </c>
      <c r="K58" s="1" t="s">
        <v>257</v>
      </c>
      <c r="L58" s="1" t="s">
        <v>258</v>
      </c>
      <c r="M58" s="1" t="s">
        <v>259</v>
      </c>
      <c r="N58" s="1" t="s">
        <v>137</v>
      </c>
      <c r="O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" spans="1:15" x14ac:dyDescent="0.25">
      <c r="A59">
        <v>10306</v>
      </c>
      <c r="B59" s="1" t="s">
        <v>208</v>
      </c>
      <c r="C59">
        <v>1</v>
      </c>
      <c r="D59" s="5">
        <v>35324</v>
      </c>
      <c r="E59" s="5">
        <v>35352</v>
      </c>
      <c r="F59" s="5">
        <v>35331</v>
      </c>
      <c r="G59">
        <v>3</v>
      </c>
      <c r="H59" s="1">
        <v>7.56</v>
      </c>
      <c r="I59" s="1" t="s">
        <v>209</v>
      </c>
      <c r="J59" s="1" t="s">
        <v>210</v>
      </c>
      <c r="K59" s="1" t="s">
        <v>211</v>
      </c>
      <c r="L59" s="1" t="s">
        <v>59</v>
      </c>
      <c r="M59" s="1" t="s">
        <v>212</v>
      </c>
      <c r="N59" s="1" t="s">
        <v>213</v>
      </c>
      <c r="O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" spans="1:15" x14ac:dyDescent="0.25">
      <c r="A60">
        <v>10307</v>
      </c>
      <c r="B60" s="1" t="s">
        <v>260</v>
      </c>
      <c r="C60">
        <v>2</v>
      </c>
      <c r="D60" s="5">
        <v>35325</v>
      </c>
      <c r="E60" s="5">
        <v>35353</v>
      </c>
      <c r="F60" s="5">
        <v>35333</v>
      </c>
      <c r="G60">
        <v>2</v>
      </c>
      <c r="H60" s="1">
        <v>0.56000000000000005</v>
      </c>
      <c r="I60" s="1" t="s">
        <v>261</v>
      </c>
      <c r="J60" s="1" t="s">
        <v>262</v>
      </c>
      <c r="K60" s="1" t="s">
        <v>263</v>
      </c>
      <c r="L60" s="1" t="s">
        <v>264</v>
      </c>
      <c r="M60" s="1" t="s">
        <v>265</v>
      </c>
      <c r="N60" s="1" t="s">
        <v>137</v>
      </c>
      <c r="O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" spans="1:15" x14ac:dyDescent="0.25">
      <c r="A61">
        <v>10308</v>
      </c>
      <c r="B61" s="1" t="s">
        <v>266</v>
      </c>
      <c r="C61">
        <v>7</v>
      </c>
      <c r="D61" s="5">
        <v>35326</v>
      </c>
      <c r="E61" s="5">
        <v>35354</v>
      </c>
      <c r="F61" s="5">
        <v>35332</v>
      </c>
      <c r="G61">
        <v>3</v>
      </c>
      <c r="H61" s="1">
        <v>1.61</v>
      </c>
      <c r="I61" s="1" t="s">
        <v>267</v>
      </c>
      <c r="J61" s="1" t="s">
        <v>268</v>
      </c>
      <c r="K61" s="1" t="s">
        <v>119</v>
      </c>
      <c r="L61" s="1" t="s">
        <v>59</v>
      </c>
      <c r="M61" s="1" t="s">
        <v>269</v>
      </c>
      <c r="N61" s="1" t="s">
        <v>121</v>
      </c>
      <c r="O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" spans="1:15" x14ac:dyDescent="0.25">
      <c r="A62">
        <v>10310</v>
      </c>
      <c r="B62" s="1" t="s">
        <v>270</v>
      </c>
      <c r="C62">
        <v>8</v>
      </c>
      <c r="D62" s="5">
        <v>35328</v>
      </c>
      <c r="E62" s="5">
        <v>35356</v>
      </c>
      <c r="F62" s="5">
        <v>35335</v>
      </c>
      <c r="G62">
        <v>2</v>
      </c>
      <c r="H62" s="1">
        <v>17.52</v>
      </c>
      <c r="I62" s="1" t="s">
        <v>271</v>
      </c>
      <c r="J62" s="1" t="s">
        <v>272</v>
      </c>
      <c r="K62" s="1" t="s">
        <v>263</v>
      </c>
      <c r="L62" s="1" t="s">
        <v>264</v>
      </c>
      <c r="M62" s="1" t="s">
        <v>273</v>
      </c>
      <c r="N62" s="1" t="s">
        <v>137</v>
      </c>
      <c r="O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" spans="1:15" x14ac:dyDescent="0.25">
      <c r="A63">
        <v>10311</v>
      </c>
      <c r="B63" s="1" t="s">
        <v>274</v>
      </c>
      <c r="C63">
        <v>1</v>
      </c>
      <c r="D63" s="5">
        <v>35328</v>
      </c>
      <c r="E63" s="5">
        <v>35342</v>
      </c>
      <c r="F63" s="5">
        <v>35334</v>
      </c>
      <c r="G63">
        <v>3</v>
      </c>
      <c r="H63" s="1">
        <v>24.69</v>
      </c>
      <c r="I63" s="1" t="s">
        <v>275</v>
      </c>
      <c r="J63" s="1" t="s">
        <v>276</v>
      </c>
      <c r="K63" s="1" t="s">
        <v>277</v>
      </c>
      <c r="L63" s="1" t="s">
        <v>59</v>
      </c>
      <c r="M63" s="1" t="s">
        <v>278</v>
      </c>
      <c r="N63" s="1" t="s">
        <v>61</v>
      </c>
      <c r="O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" spans="1:15" x14ac:dyDescent="0.25">
      <c r="A64">
        <v>10312</v>
      </c>
      <c r="B64" s="1" t="s">
        <v>244</v>
      </c>
      <c r="C64">
        <v>2</v>
      </c>
      <c r="D64" s="5">
        <v>35331</v>
      </c>
      <c r="E64" s="5">
        <v>35359</v>
      </c>
      <c r="F64" s="5">
        <v>35341</v>
      </c>
      <c r="G64">
        <v>2</v>
      </c>
      <c r="H64" s="1">
        <v>40.26</v>
      </c>
      <c r="I64" s="1" t="s">
        <v>245</v>
      </c>
      <c r="J64" s="1" t="s">
        <v>246</v>
      </c>
      <c r="K64" s="1" t="s">
        <v>247</v>
      </c>
      <c r="L64" s="1" t="s">
        <v>59</v>
      </c>
      <c r="M64" s="1" t="s">
        <v>248</v>
      </c>
      <c r="N64" s="1" t="s">
        <v>67</v>
      </c>
      <c r="O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" spans="1:15" x14ac:dyDescent="0.25">
      <c r="A65">
        <v>10313</v>
      </c>
      <c r="B65" s="1" t="s">
        <v>178</v>
      </c>
      <c r="C65">
        <v>2</v>
      </c>
      <c r="D65" s="5">
        <v>35332</v>
      </c>
      <c r="E65" s="5">
        <v>35360</v>
      </c>
      <c r="F65" s="5">
        <v>35342</v>
      </c>
      <c r="G65">
        <v>2</v>
      </c>
      <c r="H65" s="1">
        <v>1.96</v>
      </c>
      <c r="I65" s="1" t="s">
        <v>179</v>
      </c>
      <c r="J65" s="1" t="s">
        <v>180</v>
      </c>
      <c r="K65" s="1" t="s">
        <v>181</v>
      </c>
      <c r="L65" s="1" t="s">
        <v>59</v>
      </c>
      <c r="M65" s="1" t="s">
        <v>182</v>
      </c>
      <c r="N65" s="1" t="s">
        <v>67</v>
      </c>
      <c r="O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" spans="1:15" x14ac:dyDescent="0.25">
      <c r="A66">
        <v>10314</v>
      </c>
      <c r="B66" s="1" t="s">
        <v>131</v>
      </c>
      <c r="C66">
        <v>1</v>
      </c>
      <c r="D66" s="5">
        <v>35333</v>
      </c>
      <c r="E66" s="5">
        <v>35361</v>
      </c>
      <c r="F66" s="5">
        <v>35342</v>
      </c>
      <c r="G66">
        <v>2</v>
      </c>
      <c r="H66" s="1">
        <v>74.16</v>
      </c>
      <c r="I66" s="1" t="s">
        <v>132</v>
      </c>
      <c r="J66" s="1" t="s">
        <v>133</v>
      </c>
      <c r="K66" s="1" t="s">
        <v>134</v>
      </c>
      <c r="L66" s="1" t="s">
        <v>135</v>
      </c>
      <c r="M66" s="1" t="s">
        <v>136</v>
      </c>
      <c r="N66" s="1" t="s">
        <v>137</v>
      </c>
      <c r="O6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" spans="1:15" x14ac:dyDescent="0.25">
      <c r="A67">
        <v>10315</v>
      </c>
      <c r="B67" s="1" t="s">
        <v>279</v>
      </c>
      <c r="C67">
        <v>4</v>
      </c>
      <c r="D67" s="5">
        <v>35334</v>
      </c>
      <c r="E67" s="5">
        <v>35362</v>
      </c>
      <c r="F67" s="5">
        <v>35341</v>
      </c>
      <c r="G67">
        <v>2</v>
      </c>
      <c r="H67" s="1">
        <v>41.76</v>
      </c>
      <c r="I67" s="1" t="s">
        <v>280</v>
      </c>
      <c r="J67" s="1" t="s">
        <v>281</v>
      </c>
      <c r="K67" s="1" t="s">
        <v>282</v>
      </c>
      <c r="L67" s="1" t="s">
        <v>283</v>
      </c>
      <c r="M67" s="1" t="s">
        <v>284</v>
      </c>
      <c r="N67" s="1" t="s">
        <v>234</v>
      </c>
      <c r="O6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" spans="1:15" x14ac:dyDescent="0.25">
      <c r="A68">
        <v>10316</v>
      </c>
      <c r="B68" s="1" t="s">
        <v>131</v>
      </c>
      <c r="C68">
        <v>1</v>
      </c>
      <c r="D68" s="5">
        <v>35335</v>
      </c>
      <c r="E68" s="5">
        <v>35363</v>
      </c>
      <c r="F68" s="5">
        <v>35346</v>
      </c>
      <c r="G68">
        <v>3</v>
      </c>
      <c r="H68" s="1">
        <v>150.15</v>
      </c>
      <c r="I68" s="1" t="s">
        <v>132</v>
      </c>
      <c r="J68" s="1" t="s">
        <v>133</v>
      </c>
      <c r="K68" s="1" t="s">
        <v>134</v>
      </c>
      <c r="L68" s="1" t="s">
        <v>135</v>
      </c>
      <c r="M68" s="1" t="s">
        <v>136</v>
      </c>
      <c r="N68" s="1" t="s">
        <v>137</v>
      </c>
      <c r="O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" spans="1:15" x14ac:dyDescent="0.25">
      <c r="A69">
        <v>10317</v>
      </c>
      <c r="B69" s="1" t="s">
        <v>260</v>
      </c>
      <c r="C69">
        <v>6</v>
      </c>
      <c r="D69" s="5">
        <v>35338</v>
      </c>
      <c r="E69" s="5">
        <v>35366</v>
      </c>
      <c r="F69" s="5">
        <v>35348</v>
      </c>
      <c r="G69">
        <v>1</v>
      </c>
      <c r="H69" s="1">
        <v>12.69</v>
      </c>
      <c r="I69" s="1" t="s">
        <v>261</v>
      </c>
      <c r="J69" s="1" t="s">
        <v>262</v>
      </c>
      <c r="K69" s="1" t="s">
        <v>263</v>
      </c>
      <c r="L69" s="1" t="s">
        <v>264</v>
      </c>
      <c r="M69" s="1" t="s">
        <v>265</v>
      </c>
      <c r="N69" s="1" t="s">
        <v>137</v>
      </c>
      <c r="O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" spans="1:15" x14ac:dyDescent="0.25">
      <c r="A70">
        <v>10318</v>
      </c>
      <c r="B70" s="1" t="s">
        <v>279</v>
      </c>
      <c r="C70">
        <v>8</v>
      </c>
      <c r="D70" s="5">
        <v>35339</v>
      </c>
      <c r="E70" s="5">
        <v>35367</v>
      </c>
      <c r="F70" s="5">
        <v>35342</v>
      </c>
      <c r="G70">
        <v>2</v>
      </c>
      <c r="H70" s="1">
        <v>4.7300000000000004</v>
      </c>
      <c r="I70" s="1" t="s">
        <v>280</v>
      </c>
      <c r="J70" s="1" t="s">
        <v>281</v>
      </c>
      <c r="K70" s="1" t="s">
        <v>282</v>
      </c>
      <c r="L70" s="1" t="s">
        <v>283</v>
      </c>
      <c r="M70" s="1" t="s">
        <v>284</v>
      </c>
      <c r="N70" s="1" t="s">
        <v>234</v>
      </c>
      <c r="O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" spans="1:15" x14ac:dyDescent="0.25">
      <c r="A71">
        <v>10319</v>
      </c>
      <c r="B71" s="1" t="s">
        <v>189</v>
      </c>
      <c r="C71">
        <v>7</v>
      </c>
      <c r="D71" s="5">
        <v>35340</v>
      </c>
      <c r="E71" s="5">
        <v>35368</v>
      </c>
      <c r="F71" s="5">
        <v>35349</v>
      </c>
      <c r="G71">
        <v>3</v>
      </c>
      <c r="H71" s="1">
        <v>64.5</v>
      </c>
      <c r="I71" s="1" t="s">
        <v>190</v>
      </c>
      <c r="J71" s="1" t="s">
        <v>191</v>
      </c>
      <c r="K71" s="1" t="s">
        <v>119</v>
      </c>
      <c r="L71" s="1" t="s">
        <v>59</v>
      </c>
      <c r="M71" s="1" t="s">
        <v>192</v>
      </c>
      <c r="N71" s="1" t="s">
        <v>121</v>
      </c>
      <c r="O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" spans="1:15" x14ac:dyDescent="0.25">
      <c r="A72">
        <v>10320</v>
      </c>
      <c r="B72" s="1" t="s">
        <v>149</v>
      </c>
      <c r="C72">
        <v>5</v>
      </c>
      <c r="D72" s="5">
        <v>35341</v>
      </c>
      <c r="E72" s="5">
        <v>35355</v>
      </c>
      <c r="F72" s="5">
        <v>35356</v>
      </c>
      <c r="G72">
        <v>3</v>
      </c>
      <c r="H72" s="1">
        <v>34.57</v>
      </c>
      <c r="I72" s="1" t="s">
        <v>150</v>
      </c>
      <c r="J72" s="1" t="s">
        <v>151</v>
      </c>
      <c r="K72" s="1" t="s">
        <v>152</v>
      </c>
      <c r="L72" s="1" t="s">
        <v>59</v>
      </c>
      <c r="M72" s="1" t="s">
        <v>153</v>
      </c>
      <c r="N72" s="1" t="s">
        <v>154</v>
      </c>
      <c r="O72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73" spans="1:15" x14ac:dyDescent="0.25">
      <c r="A73">
        <v>10321</v>
      </c>
      <c r="B73" s="1" t="s">
        <v>279</v>
      </c>
      <c r="C73">
        <v>3</v>
      </c>
      <c r="D73" s="5">
        <v>35341</v>
      </c>
      <c r="E73" s="5">
        <v>35369</v>
      </c>
      <c r="F73" s="5">
        <v>35349</v>
      </c>
      <c r="G73">
        <v>2</v>
      </c>
      <c r="H73" s="1">
        <v>3.43</v>
      </c>
      <c r="I73" s="1" t="s">
        <v>280</v>
      </c>
      <c r="J73" s="1" t="s">
        <v>281</v>
      </c>
      <c r="K73" s="1" t="s">
        <v>282</v>
      </c>
      <c r="L73" s="1" t="s">
        <v>283</v>
      </c>
      <c r="M73" s="1" t="s">
        <v>284</v>
      </c>
      <c r="N73" s="1" t="s">
        <v>234</v>
      </c>
      <c r="O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" spans="1:15" x14ac:dyDescent="0.25">
      <c r="A74">
        <v>10322</v>
      </c>
      <c r="B74" s="1" t="s">
        <v>285</v>
      </c>
      <c r="C74">
        <v>7</v>
      </c>
      <c r="D74" s="5">
        <v>35342</v>
      </c>
      <c r="E74" s="5">
        <v>35370</v>
      </c>
      <c r="F74" s="5">
        <v>35361</v>
      </c>
      <c r="G74">
        <v>3</v>
      </c>
      <c r="H74" s="1">
        <v>0.4</v>
      </c>
      <c r="I74" s="1" t="s">
        <v>286</v>
      </c>
      <c r="J74" s="1" t="s">
        <v>287</v>
      </c>
      <c r="K74" s="1" t="s">
        <v>119</v>
      </c>
      <c r="L74" s="1" t="s">
        <v>59</v>
      </c>
      <c r="M74" s="1" t="s">
        <v>192</v>
      </c>
      <c r="N74" s="1" t="s">
        <v>121</v>
      </c>
      <c r="O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" spans="1:15" x14ac:dyDescent="0.25">
      <c r="A75">
        <v>10323</v>
      </c>
      <c r="B75" s="1" t="s">
        <v>288</v>
      </c>
      <c r="C75">
        <v>4</v>
      </c>
      <c r="D75" s="5">
        <v>35345</v>
      </c>
      <c r="E75" s="5">
        <v>35373</v>
      </c>
      <c r="F75" s="5">
        <v>35352</v>
      </c>
      <c r="G75">
        <v>1</v>
      </c>
      <c r="H75" s="1">
        <v>4.88</v>
      </c>
      <c r="I75" s="1" t="s">
        <v>289</v>
      </c>
      <c r="J75" s="1" t="s">
        <v>290</v>
      </c>
      <c r="K75" s="1" t="s">
        <v>291</v>
      </c>
      <c r="L75" s="1" t="s">
        <v>59</v>
      </c>
      <c r="M75" s="1" t="s">
        <v>292</v>
      </c>
      <c r="N75" s="1" t="s">
        <v>67</v>
      </c>
      <c r="O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" spans="1:15" x14ac:dyDescent="0.25">
      <c r="A76">
        <v>10324</v>
      </c>
      <c r="B76" s="1" t="s">
        <v>293</v>
      </c>
      <c r="C76">
        <v>9</v>
      </c>
      <c r="D76" s="5">
        <v>35346</v>
      </c>
      <c r="E76" s="5">
        <v>35374</v>
      </c>
      <c r="F76" s="5">
        <v>35348</v>
      </c>
      <c r="G76">
        <v>1</v>
      </c>
      <c r="H76" s="1">
        <v>214.27</v>
      </c>
      <c r="I76" s="1" t="s">
        <v>294</v>
      </c>
      <c r="J76" s="1" t="s">
        <v>295</v>
      </c>
      <c r="K76" s="1" t="s">
        <v>296</v>
      </c>
      <c r="L76" s="1" t="s">
        <v>297</v>
      </c>
      <c r="M76" s="1" t="s">
        <v>298</v>
      </c>
      <c r="N76" s="1" t="s">
        <v>137</v>
      </c>
      <c r="O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" spans="1:15" x14ac:dyDescent="0.25">
      <c r="A77">
        <v>10325</v>
      </c>
      <c r="B77" s="1" t="s">
        <v>288</v>
      </c>
      <c r="C77">
        <v>1</v>
      </c>
      <c r="D77" s="5">
        <v>35347</v>
      </c>
      <c r="E77" s="5">
        <v>35361</v>
      </c>
      <c r="F77" s="5">
        <v>35352</v>
      </c>
      <c r="G77">
        <v>3</v>
      </c>
      <c r="H77" s="1">
        <v>64.86</v>
      </c>
      <c r="I77" s="1" t="s">
        <v>289</v>
      </c>
      <c r="J77" s="1" t="s">
        <v>290</v>
      </c>
      <c r="K77" s="1" t="s">
        <v>291</v>
      </c>
      <c r="L77" s="1" t="s">
        <v>59</v>
      </c>
      <c r="M77" s="1" t="s">
        <v>292</v>
      </c>
      <c r="N77" s="1" t="s">
        <v>67</v>
      </c>
      <c r="O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" spans="1:15" x14ac:dyDescent="0.25">
      <c r="A78">
        <v>10326</v>
      </c>
      <c r="B78" s="1" t="s">
        <v>299</v>
      </c>
      <c r="C78">
        <v>4</v>
      </c>
      <c r="D78" s="5">
        <v>35348</v>
      </c>
      <c r="E78" s="5">
        <v>35376</v>
      </c>
      <c r="F78" s="5">
        <v>35352</v>
      </c>
      <c r="G78">
        <v>2</v>
      </c>
      <c r="H78" s="1">
        <v>77.92</v>
      </c>
      <c r="I78" s="1" t="s">
        <v>300</v>
      </c>
      <c r="J78" s="1" t="s">
        <v>301</v>
      </c>
      <c r="K78" s="1" t="s">
        <v>211</v>
      </c>
      <c r="L78" s="1" t="s">
        <v>59</v>
      </c>
      <c r="M78" s="1" t="s">
        <v>302</v>
      </c>
      <c r="N78" s="1" t="s">
        <v>213</v>
      </c>
      <c r="O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9" spans="1:15" x14ac:dyDescent="0.25">
      <c r="A79">
        <v>10327</v>
      </c>
      <c r="B79" s="1" t="s">
        <v>138</v>
      </c>
      <c r="C79">
        <v>2</v>
      </c>
      <c r="D79" s="5">
        <v>35349</v>
      </c>
      <c r="E79" s="5">
        <v>35377</v>
      </c>
      <c r="F79" s="5">
        <v>35352</v>
      </c>
      <c r="G79">
        <v>1</v>
      </c>
      <c r="H79" s="1">
        <v>63.36</v>
      </c>
      <c r="I79" s="1" t="s">
        <v>139</v>
      </c>
      <c r="J79" s="1" t="s">
        <v>140</v>
      </c>
      <c r="K79" s="1" t="s">
        <v>141</v>
      </c>
      <c r="L79" s="1" t="s">
        <v>59</v>
      </c>
      <c r="M79" s="1" t="s">
        <v>142</v>
      </c>
      <c r="N79" s="1" t="s">
        <v>143</v>
      </c>
      <c r="O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0" spans="1:15" x14ac:dyDescent="0.25">
      <c r="A80">
        <v>10328</v>
      </c>
      <c r="B80" s="1" t="s">
        <v>303</v>
      </c>
      <c r="C80">
        <v>4</v>
      </c>
      <c r="D80" s="5">
        <v>35352</v>
      </c>
      <c r="E80" s="5">
        <v>35380</v>
      </c>
      <c r="F80" s="5">
        <v>35355</v>
      </c>
      <c r="G80">
        <v>3</v>
      </c>
      <c r="H80" s="1">
        <v>87.03</v>
      </c>
      <c r="I80" s="1" t="s">
        <v>304</v>
      </c>
      <c r="J80" s="1" t="s">
        <v>305</v>
      </c>
      <c r="K80" s="1" t="s">
        <v>306</v>
      </c>
      <c r="L80" s="1" t="s">
        <v>59</v>
      </c>
      <c r="M80" s="1" t="s">
        <v>307</v>
      </c>
      <c r="N80" s="1" t="s">
        <v>308</v>
      </c>
      <c r="O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1" spans="1:15" x14ac:dyDescent="0.25">
      <c r="A81">
        <v>10329</v>
      </c>
      <c r="B81" s="1" t="s">
        <v>172</v>
      </c>
      <c r="C81">
        <v>4</v>
      </c>
      <c r="D81" s="5">
        <v>35353</v>
      </c>
      <c r="E81" s="5">
        <v>35395</v>
      </c>
      <c r="F81" s="5">
        <v>35361</v>
      </c>
      <c r="G81">
        <v>2</v>
      </c>
      <c r="H81" s="1">
        <v>191.67</v>
      </c>
      <c r="I81" s="1" t="s">
        <v>173</v>
      </c>
      <c r="J81" s="1" t="s">
        <v>174</v>
      </c>
      <c r="K81" s="1" t="s">
        <v>175</v>
      </c>
      <c r="L81" s="1" t="s">
        <v>176</v>
      </c>
      <c r="M81" s="1" t="s">
        <v>177</v>
      </c>
      <c r="N81" s="1" t="s">
        <v>137</v>
      </c>
      <c r="O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2" spans="1:15" x14ac:dyDescent="0.25">
      <c r="A82">
        <v>10330</v>
      </c>
      <c r="B82" s="1" t="s">
        <v>214</v>
      </c>
      <c r="C82">
        <v>3</v>
      </c>
      <c r="D82" s="5">
        <v>35354</v>
      </c>
      <c r="E82" s="5">
        <v>35382</v>
      </c>
      <c r="F82" s="5">
        <v>35366</v>
      </c>
      <c r="G82">
        <v>1</v>
      </c>
      <c r="H82" s="1">
        <v>12.75</v>
      </c>
      <c r="I82" s="1" t="s">
        <v>215</v>
      </c>
      <c r="J82" s="1" t="s">
        <v>216</v>
      </c>
      <c r="K82" s="1" t="s">
        <v>217</v>
      </c>
      <c r="L82" s="1" t="s">
        <v>218</v>
      </c>
      <c r="M82" s="1" t="s">
        <v>219</v>
      </c>
      <c r="N82" s="1" t="s">
        <v>109</v>
      </c>
      <c r="O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3" spans="1:15" x14ac:dyDescent="0.25">
      <c r="A83">
        <v>10331</v>
      </c>
      <c r="B83" s="1" t="s">
        <v>309</v>
      </c>
      <c r="C83">
        <v>9</v>
      </c>
      <c r="D83" s="5">
        <v>35354</v>
      </c>
      <c r="E83" s="5">
        <v>35396</v>
      </c>
      <c r="F83" s="5">
        <v>35359</v>
      </c>
      <c r="G83">
        <v>1</v>
      </c>
      <c r="H83" s="1">
        <v>10.19</v>
      </c>
      <c r="I83" s="1" t="s">
        <v>310</v>
      </c>
      <c r="J83" s="1" t="s">
        <v>311</v>
      </c>
      <c r="K83" s="1" t="s">
        <v>312</v>
      </c>
      <c r="L83" s="1" t="s">
        <v>59</v>
      </c>
      <c r="M83" s="1" t="s">
        <v>313</v>
      </c>
      <c r="N83" s="1" t="s">
        <v>61</v>
      </c>
      <c r="O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4" spans="1:15" x14ac:dyDescent="0.25">
      <c r="A84">
        <v>10332</v>
      </c>
      <c r="B84" s="1" t="s">
        <v>314</v>
      </c>
      <c r="C84">
        <v>3</v>
      </c>
      <c r="D84" s="5">
        <v>35355</v>
      </c>
      <c r="E84" s="5">
        <v>35397</v>
      </c>
      <c r="F84" s="5">
        <v>35359</v>
      </c>
      <c r="G84">
        <v>2</v>
      </c>
      <c r="H84" s="1">
        <v>52.84</v>
      </c>
      <c r="I84" s="1" t="s">
        <v>315</v>
      </c>
      <c r="J84" s="1" t="s">
        <v>316</v>
      </c>
      <c r="K84" s="1" t="s">
        <v>317</v>
      </c>
      <c r="L84" s="1" t="s">
        <v>318</v>
      </c>
      <c r="M84" s="1" t="s">
        <v>319</v>
      </c>
      <c r="N84" s="1" t="s">
        <v>320</v>
      </c>
      <c r="O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5" spans="1:15" x14ac:dyDescent="0.25">
      <c r="A85">
        <v>10333</v>
      </c>
      <c r="B85" s="1" t="s">
        <v>149</v>
      </c>
      <c r="C85">
        <v>5</v>
      </c>
      <c r="D85" s="5">
        <v>35356</v>
      </c>
      <c r="E85" s="5">
        <v>35384</v>
      </c>
      <c r="F85" s="5">
        <v>35363</v>
      </c>
      <c r="G85">
        <v>3</v>
      </c>
      <c r="H85" s="1">
        <v>0.59</v>
      </c>
      <c r="I85" s="1" t="s">
        <v>150</v>
      </c>
      <c r="J85" s="1" t="s">
        <v>151</v>
      </c>
      <c r="K85" s="1" t="s">
        <v>152</v>
      </c>
      <c r="L85" s="1" t="s">
        <v>59</v>
      </c>
      <c r="M85" s="1" t="s">
        <v>153</v>
      </c>
      <c r="N85" s="1" t="s">
        <v>154</v>
      </c>
      <c r="O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6" spans="1:15" x14ac:dyDescent="0.25">
      <c r="A86">
        <v>10334</v>
      </c>
      <c r="B86" s="1" t="s">
        <v>75</v>
      </c>
      <c r="C86">
        <v>8</v>
      </c>
      <c r="D86" s="5">
        <v>35359</v>
      </c>
      <c r="E86" s="5">
        <v>35387</v>
      </c>
      <c r="F86" s="5">
        <v>35366</v>
      </c>
      <c r="G86">
        <v>2</v>
      </c>
      <c r="H86" s="1">
        <v>8.56</v>
      </c>
      <c r="I86" s="1" t="s">
        <v>76</v>
      </c>
      <c r="J86" s="1" t="s">
        <v>77</v>
      </c>
      <c r="K86" s="1" t="s">
        <v>78</v>
      </c>
      <c r="L86" s="1" t="s">
        <v>59</v>
      </c>
      <c r="M86" s="1" t="s">
        <v>79</v>
      </c>
      <c r="N86" s="1" t="s">
        <v>61</v>
      </c>
      <c r="O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7" spans="1:15" x14ac:dyDescent="0.25">
      <c r="A87">
        <v>10336</v>
      </c>
      <c r="B87" s="1" t="s">
        <v>321</v>
      </c>
      <c r="C87">
        <v>7</v>
      </c>
      <c r="D87" s="5">
        <v>35361</v>
      </c>
      <c r="E87" s="5">
        <v>35389</v>
      </c>
      <c r="F87" s="5">
        <v>35363</v>
      </c>
      <c r="G87">
        <v>2</v>
      </c>
      <c r="H87" s="1">
        <v>15.51</v>
      </c>
      <c r="I87" s="1" t="s">
        <v>322</v>
      </c>
      <c r="J87" s="1" t="s">
        <v>323</v>
      </c>
      <c r="K87" s="1" t="s">
        <v>306</v>
      </c>
      <c r="L87" s="1" t="s">
        <v>59</v>
      </c>
      <c r="M87" s="1" t="s">
        <v>324</v>
      </c>
      <c r="N87" s="1" t="s">
        <v>308</v>
      </c>
      <c r="O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8" spans="1:15" x14ac:dyDescent="0.25">
      <c r="A88">
        <v>10337</v>
      </c>
      <c r="B88" s="1" t="s">
        <v>155</v>
      </c>
      <c r="C88">
        <v>4</v>
      </c>
      <c r="D88" s="5">
        <v>35362</v>
      </c>
      <c r="E88" s="5">
        <v>35390</v>
      </c>
      <c r="F88" s="5">
        <v>35367</v>
      </c>
      <c r="G88">
        <v>3</v>
      </c>
      <c r="H88" s="1">
        <v>108.26</v>
      </c>
      <c r="I88" s="1" t="s">
        <v>156</v>
      </c>
      <c r="J88" s="1" t="s">
        <v>157</v>
      </c>
      <c r="K88" s="1" t="s">
        <v>158</v>
      </c>
      <c r="L88" s="1" t="s">
        <v>59</v>
      </c>
      <c r="M88" s="1" t="s">
        <v>159</v>
      </c>
      <c r="N88" s="1" t="s">
        <v>67</v>
      </c>
      <c r="O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89" spans="1:15" x14ac:dyDescent="0.25">
      <c r="A89">
        <v>10338</v>
      </c>
      <c r="B89" s="1" t="s">
        <v>254</v>
      </c>
      <c r="C89">
        <v>4</v>
      </c>
      <c r="D89" s="5">
        <v>35363</v>
      </c>
      <c r="E89" s="5">
        <v>35391</v>
      </c>
      <c r="F89" s="5">
        <v>35367</v>
      </c>
      <c r="G89">
        <v>3</v>
      </c>
      <c r="H89" s="1">
        <v>84.21</v>
      </c>
      <c r="I89" s="1" t="s">
        <v>255</v>
      </c>
      <c r="J89" s="1" t="s">
        <v>256</v>
      </c>
      <c r="K89" s="1" t="s">
        <v>257</v>
      </c>
      <c r="L89" s="1" t="s">
        <v>258</v>
      </c>
      <c r="M89" s="1" t="s">
        <v>259</v>
      </c>
      <c r="N89" s="1" t="s">
        <v>137</v>
      </c>
      <c r="O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0" spans="1:15" x14ac:dyDescent="0.25">
      <c r="A90">
        <v>10339</v>
      </c>
      <c r="B90" s="1" t="s">
        <v>314</v>
      </c>
      <c r="C90">
        <v>2</v>
      </c>
      <c r="D90" s="5">
        <v>35366</v>
      </c>
      <c r="E90" s="5">
        <v>35394</v>
      </c>
      <c r="F90" s="5">
        <v>35373</v>
      </c>
      <c r="G90">
        <v>2</v>
      </c>
      <c r="H90" s="1">
        <v>15.66</v>
      </c>
      <c r="I90" s="1" t="s">
        <v>315</v>
      </c>
      <c r="J90" s="1" t="s">
        <v>316</v>
      </c>
      <c r="K90" s="1" t="s">
        <v>317</v>
      </c>
      <c r="L90" s="1" t="s">
        <v>318</v>
      </c>
      <c r="M90" s="1" t="s">
        <v>319</v>
      </c>
      <c r="N90" s="1" t="s">
        <v>320</v>
      </c>
      <c r="O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1" spans="1:15" x14ac:dyDescent="0.25">
      <c r="A91">
        <v>10340</v>
      </c>
      <c r="B91" s="1" t="s">
        <v>309</v>
      </c>
      <c r="C91">
        <v>1</v>
      </c>
      <c r="D91" s="5">
        <v>35367</v>
      </c>
      <c r="E91" s="5">
        <v>35395</v>
      </c>
      <c r="F91" s="5">
        <v>35377</v>
      </c>
      <c r="G91">
        <v>3</v>
      </c>
      <c r="H91" s="1">
        <v>166.31</v>
      </c>
      <c r="I91" s="1" t="s">
        <v>310</v>
      </c>
      <c r="J91" s="1" t="s">
        <v>311</v>
      </c>
      <c r="K91" s="1" t="s">
        <v>312</v>
      </c>
      <c r="L91" s="1" t="s">
        <v>59</v>
      </c>
      <c r="M91" s="1" t="s">
        <v>313</v>
      </c>
      <c r="N91" s="1" t="s">
        <v>61</v>
      </c>
      <c r="O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2" spans="1:15" x14ac:dyDescent="0.25">
      <c r="A92">
        <v>10341</v>
      </c>
      <c r="B92" s="1" t="s">
        <v>325</v>
      </c>
      <c r="C92">
        <v>7</v>
      </c>
      <c r="D92" s="5">
        <v>35367</v>
      </c>
      <c r="E92" s="5">
        <v>35395</v>
      </c>
      <c r="F92" s="5">
        <v>35374</v>
      </c>
      <c r="G92">
        <v>3</v>
      </c>
      <c r="H92" s="1">
        <v>26.78</v>
      </c>
      <c r="I92" s="1" t="s">
        <v>326</v>
      </c>
      <c r="J92" s="1" t="s">
        <v>327</v>
      </c>
      <c r="K92" s="1" t="s">
        <v>328</v>
      </c>
      <c r="L92" s="1" t="s">
        <v>59</v>
      </c>
      <c r="M92" s="1" t="s">
        <v>329</v>
      </c>
      <c r="N92" s="1" t="s">
        <v>330</v>
      </c>
      <c r="O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3" spans="1:15" x14ac:dyDescent="0.25">
      <c r="A93">
        <v>10342</v>
      </c>
      <c r="B93" s="1" t="s">
        <v>155</v>
      </c>
      <c r="C93">
        <v>4</v>
      </c>
      <c r="D93" s="5">
        <v>35368</v>
      </c>
      <c r="E93" s="5">
        <v>35382</v>
      </c>
      <c r="F93" s="5">
        <v>35373</v>
      </c>
      <c r="G93">
        <v>2</v>
      </c>
      <c r="H93" s="1">
        <v>54.83</v>
      </c>
      <c r="I93" s="1" t="s">
        <v>156</v>
      </c>
      <c r="J93" s="1" t="s">
        <v>157</v>
      </c>
      <c r="K93" s="1" t="s">
        <v>158</v>
      </c>
      <c r="L93" s="1" t="s">
        <v>59</v>
      </c>
      <c r="M93" s="1" t="s">
        <v>159</v>
      </c>
      <c r="N93" s="1" t="s">
        <v>67</v>
      </c>
      <c r="O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4" spans="1:15" x14ac:dyDescent="0.25">
      <c r="A94">
        <v>10343</v>
      </c>
      <c r="B94" s="1" t="s">
        <v>203</v>
      </c>
      <c r="C94">
        <v>4</v>
      </c>
      <c r="D94" s="5">
        <v>35369</v>
      </c>
      <c r="E94" s="5">
        <v>35397</v>
      </c>
      <c r="F94" s="5">
        <v>35375</v>
      </c>
      <c r="G94">
        <v>1</v>
      </c>
      <c r="H94" s="1">
        <v>110.37</v>
      </c>
      <c r="I94" s="1" t="s">
        <v>204</v>
      </c>
      <c r="J94" s="1" t="s">
        <v>205</v>
      </c>
      <c r="K94" s="1" t="s">
        <v>206</v>
      </c>
      <c r="L94" s="1" t="s">
        <v>59</v>
      </c>
      <c r="M94" s="1" t="s">
        <v>207</v>
      </c>
      <c r="N94" s="1" t="s">
        <v>67</v>
      </c>
      <c r="O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5" spans="1:15" x14ac:dyDescent="0.25">
      <c r="A95">
        <v>10344</v>
      </c>
      <c r="B95" s="1" t="s">
        <v>166</v>
      </c>
      <c r="C95">
        <v>4</v>
      </c>
      <c r="D95" s="5">
        <v>35370</v>
      </c>
      <c r="E95" s="5">
        <v>35398</v>
      </c>
      <c r="F95" s="5">
        <v>35374</v>
      </c>
      <c r="G95">
        <v>2</v>
      </c>
      <c r="H95" s="1">
        <v>23.29</v>
      </c>
      <c r="I95" s="1" t="s">
        <v>167</v>
      </c>
      <c r="J95" s="1" t="s">
        <v>168</v>
      </c>
      <c r="K95" s="1" t="s">
        <v>169</v>
      </c>
      <c r="L95" s="1" t="s">
        <v>170</v>
      </c>
      <c r="M95" s="1" t="s">
        <v>171</v>
      </c>
      <c r="N95" s="1" t="s">
        <v>137</v>
      </c>
      <c r="O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6" spans="1:15" x14ac:dyDescent="0.25">
      <c r="A96">
        <v>10345</v>
      </c>
      <c r="B96" s="1" t="s">
        <v>178</v>
      </c>
      <c r="C96">
        <v>2</v>
      </c>
      <c r="D96" s="5">
        <v>35373</v>
      </c>
      <c r="E96" s="5">
        <v>35401</v>
      </c>
      <c r="F96" s="5">
        <v>35380</v>
      </c>
      <c r="G96">
        <v>2</v>
      </c>
      <c r="H96" s="1">
        <v>249.06</v>
      </c>
      <c r="I96" s="1" t="s">
        <v>179</v>
      </c>
      <c r="J96" s="1" t="s">
        <v>180</v>
      </c>
      <c r="K96" s="1" t="s">
        <v>181</v>
      </c>
      <c r="L96" s="1" t="s">
        <v>59</v>
      </c>
      <c r="M96" s="1" t="s">
        <v>182</v>
      </c>
      <c r="N96" s="1" t="s">
        <v>67</v>
      </c>
      <c r="O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7" spans="1:15" x14ac:dyDescent="0.25">
      <c r="A97">
        <v>10346</v>
      </c>
      <c r="B97" s="1" t="s">
        <v>131</v>
      </c>
      <c r="C97">
        <v>3</v>
      </c>
      <c r="D97" s="5">
        <v>35374</v>
      </c>
      <c r="E97" s="5">
        <v>35416</v>
      </c>
      <c r="F97" s="5">
        <v>35377</v>
      </c>
      <c r="G97">
        <v>3</v>
      </c>
      <c r="H97" s="1">
        <v>142.08000000000001</v>
      </c>
      <c r="I97" s="1" t="s">
        <v>132</v>
      </c>
      <c r="J97" s="1" t="s">
        <v>133</v>
      </c>
      <c r="K97" s="1" t="s">
        <v>134</v>
      </c>
      <c r="L97" s="1" t="s">
        <v>135</v>
      </c>
      <c r="M97" s="1" t="s">
        <v>136</v>
      </c>
      <c r="N97" s="1" t="s">
        <v>137</v>
      </c>
      <c r="O9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8" spans="1:15" x14ac:dyDescent="0.25">
      <c r="A98">
        <v>10347</v>
      </c>
      <c r="B98" s="1" t="s">
        <v>331</v>
      </c>
      <c r="C98">
        <v>4</v>
      </c>
      <c r="D98" s="5">
        <v>35375</v>
      </c>
      <c r="E98" s="5">
        <v>35403</v>
      </c>
      <c r="F98" s="5">
        <v>35377</v>
      </c>
      <c r="G98">
        <v>3</v>
      </c>
      <c r="H98" s="1">
        <v>3.1</v>
      </c>
      <c r="I98" s="1" t="s">
        <v>332</v>
      </c>
      <c r="J98" s="1" t="s">
        <v>333</v>
      </c>
      <c r="K98" s="1" t="s">
        <v>238</v>
      </c>
      <c r="L98" s="1" t="s">
        <v>101</v>
      </c>
      <c r="M98" s="1" t="s">
        <v>334</v>
      </c>
      <c r="N98" s="1" t="s">
        <v>74</v>
      </c>
      <c r="O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99" spans="1:15" x14ac:dyDescent="0.25">
      <c r="A99">
        <v>10348</v>
      </c>
      <c r="B99" s="1" t="s">
        <v>244</v>
      </c>
      <c r="C99">
        <v>4</v>
      </c>
      <c r="D99" s="5">
        <v>35376</v>
      </c>
      <c r="E99" s="5">
        <v>35404</v>
      </c>
      <c r="F99" s="5">
        <v>35384</v>
      </c>
      <c r="G99">
        <v>2</v>
      </c>
      <c r="H99" s="1">
        <v>0.78</v>
      </c>
      <c r="I99" s="1" t="s">
        <v>245</v>
      </c>
      <c r="J99" s="1" t="s">
        <v>246</v>
      </c>
      <c r="K99" s="1" t="s">
        <v>247</v>
      </c>
      <c r="L99" s="1" t="s">
        <v>59</v>
      </c>
      <c r="M99" s="1" t="s">
        <v>248</v>
      </c>
      <c r="N99" s="1" t="s">
        <v>67</v>
      </c>
      <c r="O9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0" spans="1:15" x14ac:dyDescent="0.25">
      <c r="A100">
        <v>10349</v>
      </c>
      <c r="B100" s="1" t="s">
        <v>172</v>
      </c>
      <c r="C100">
        <v>7</v>
      </c>
      <c r="D100" s="5">
        <v>35377</v>
      </c>
      <c r="E100" s="5">
        <v>35405</v>
      </c>
      <c r="F100" s="5">
        <v>35384</v>
      </c>
      <c r="G100">
        <v>1</v>
      </c>
      <c r="H100" s="1">
        <v>8.6300000000000008</v>
      </c>
      <c r="I100" s="1" t="s">
        <v>173</v>
      </c>
      <c r="J100" s="1" t="s">
        <v>174</v>
      </c>
      <c r="K100" s="1" t="s">
        <v>175</v>
      </c>
      <c r="L100" s="1" t="s">
        <v>176</v>
      </c>
      <c r="M100" s="1" t="s">
        <v>177</v>
      </c>
      <c r="N100" s="1" t="s">
        <v>137</v>
      </c>
      <c r="O1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1" spans="1:15" x14ac:dyDescent="0.25">
      <c r="A101">
        <v>10350</v>
      </c>
      <c r="B101" s="1" t="s">
        <v>335</v>
      </c>
      <c r="C101">
        <v>6</v>
      </c>
      <c r="D101" s="5">
        <v>35380</v>
      </c>
      <c r="E101" s="5">
        <v>35408</v>
      </c>
      <c r="F101" s="5">
        <v>35402</v>
      </c>
      <c r="G101">
        <v>2</v>
      </c>
      <c r="H101" s="1">
        <v>64.19</v>
      </c>
      <c r="I101" s="1" t="s">
        <v>336</v>
      </c>
      <c r="J101" s="1" t="s">
        <v>337</v>
      </c>
      <c r="K101" s="1" t="s">
        <v>338</v>
      </c>
      <c r="L101" s="1" t="s">
        <v>59</v>
      </c>
      <c r="M101" s="1" t="s">
        <v>339</v>
      </c>
      <c r="N101" s="1" t="s">
        <v>61</v>
      </c>
      <c r="O1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2" spans="1:15" x14ac:dyDescent="0.25">
      <c r="A102">
        <v>10351</v>
      </c>
      <c r="B102" s="1" t="s">
        <v>110</v>
      </c>
      <c r="C102">
        <v>1</v>
      </c>
      <c r="D102" s="5">
        <v>35380</v>
      </c>
      <c r="E102" s="5">
        <v>35408</v>
      </c>
      <c r="F102" s="5">
        <v>35389</v>
      </c>
      <c r="G102">
        <v>1</v>
      </c>
      <c r="H102" s="1">
        <v>162.33000000000001</v>
      </c>
      <c r="I102" s="1" t="s">
        <v>111</v>
      </c>
      <c r="J102" s="1" t="s">
        <v>112</v>
      </c>
      <c r="K102" s="1" t="s">
        <v>113</v>
      </c>
      <c r="L102" s="1" t="s">
        <v>59</v>
      </c>
      <c r="M102" s="1" t="s">
        <v>114</v>
      </c>
      <c r="N102" s="1" t="s">
        <v>115</v>
      </c>
      <c r="O1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3" spans="1:15" x14ac:dyDescent="0.25">
      <c r="A103">
        <v>10352</v>
      </c>
      <c r="B103" s="1" t="s">
        <v>303</v>
      </c>
      <c r="C103">
        <v>3</v>
      </c>
      <c r="D103" s="5">
        <v>35381</v>
      </c>
      <c r="E103" s="5">
        <v>35395</v>
      </c>
      <c r="F103" s="5">
        <v>35387</v>
      </c>
      <c r="G103">
        <v>3</v>
      </c>
      <c r="H103" s="1">
        <v>1.3</v>
      </c>
      <c r="I103" s="1" t="s">
        <v>304</v>
      </c>
      <c r="J103" s="1" t="s">
        <v>305</v>
      </c>
      <c r="K103" s="1" t="s">
        <v>306</v>
      </c>
      <c r="L103" s="1" t="s">
        <v>59</v>
      </c>
      <c r="M103" s="1" t="s">
        <v>307</v>
      </c>
      <c r="N103" s="1" t="s">
        <v>308</v>
      </c>
      <c r="O1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4" spans="1:15" x14ac:dyDescent="0.25">
      <c r="A104">
        <v>10353</v>
      </c>
      <c r="B104" s="1" t="s">
        <v>340</v>
      </c>
      <c r="C104">
        <v>7</v>
      </c>
      <c r="D104" s="5">
        <v>35382</v>
      </c>
      <c r="E104" s="5">
        <v>35410</v>
      </c>
      <c r="F104" s="5">
        <v>35394</v>
      </c>
      <c r="G104">
        <v>3</v>
      </c>
      <c r="H104" s="1">
        <v>360.63</v>
      </c>
      <c r="I104" s="1" t="s">
        <v>341</v>
      </c>
      <c r="J104" s="1" t="s">
        <v>342</v>
      </c>
      <c r="K104" s="1" t="s">
        <v>343</v>
      </c>
      <c r="L104" s="1" t="s">
        <v>59</v>
      </c>
      <c r="M104" s="1" t="s">
        <v>344</v>
      </c>
      <c r="N104" s="1" t="s">
        <v>115</v>
      </c>
      <c r="O10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5" spans="1:15" x14ac:dyDescent="0.25">
      <c r="A105">
        <v>10354</v>
      </c>
      <c r="B105" s="1" t="s">
        <v>285</v>
      </c>
      <c r="C105">
        <v>8</v>
      </c>
      <c r="D105" s="5">
        <v>35383</v>
      </c>
      <c r="E105" s="5">
        <v>35411</v>
      </c>
      <c r="F105" s="5">
        <v>35389</v>
      </c>
      <c r="G105">
        <v>3</v>
      </c>
      <c r="H105" s="1">
        <v>53.8</v>
      </c>
      <c r="I105" s="1" t="s">
        <v>286</v>
      </c>
      <c r="J105" s="1" t="s">
        <v>287</v>
      </c>
      <c r="K105" s="1" t="s">
        <v>119</v>
      </c>
      <c r="L105" s="1" t="s">
        <v>59</v>
      </c>
      <c r="M105" s="1" t="s">
        <v>192</v>
      </c>
      <c r="N105" s="1" t="s">
        <v>121</v>
      </c>
      <c r="O1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6" spans="1:15" x14ac:dyDescent="0.25">
      <c r="A106">
        <v>10355</v>
      </c>
      <c r="B106" s="1" t="s">
        <v>345</v>
      </c>
      <c r="C106">
        <v>6</v>
      </c>
      <c r="D106" s="5">
        <v>35384</v>
      </c>
      <c r="E106" s="5">
        <v>35412</v>
      </c>
      <c r="F106" s="5">
        <v>35389</v>
      </c>
      <c r="G106">
        <v>1</v>
      </c>
      <c r="H106" s="1">
        <v>41.95</v>
      </c>
      <c r="I106" s="1" t="s">
        <v>346</v>
      </c>
      <c r="J106" s="1" t="s">
        <v>347</v>
      </c>
      <c r="K106" s="1" t="s">
        <v>348</v>
      </c>
      <c r="L106" s="1" t="s">
        <v>349</v>
      </c>
      <c r="M106" s="1" t="s">
        <v>350</v>
      </c>
      <c r="N106" s="1" t="s">
        <v>234</v>
      </c>
      <c r="O10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7" spans="1:15" x14ac:dyDescent="0.25">
      <c r="A107">
        <v>10356</v>
      </c>
      <c r="B107" s="1" t="s">
        <v>244</v>
      </c>
      <c r="C107">
        <v>6</v>
      </c>
      <c r="D107" s="5">
        <v>35387</v>
      </c>
      <c r="E107" s="5">
        <v>35415</v>
      </c>
      <c r="F107" s="5">
        <v>35396</v>
      </c>
      <c r="G107">
        <v>2</v>
      </c>
      <c r="H107" s="1">
        <v>36.71</v>
      </c>
      <c r="I107" s="1" t="s">
        <v>245</v>
      </c>
      <c r="J107" s="1" t="s">
        <v>246</v>
      </c>
      <c r="K107" s="1" t="s">
        <v>247</v>
      </c>
      <c r="L107" s="1" t="s">
        <v>59</v>
      </c>
      <c r="M107" s="1" t="s">
        <v>248</v>
      </c>
      <c r="N107" s="1" t="s">
        <v>67</v>
      </c>
      <c r="O10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8" spans="1:15" x14ac:dyDescent="0.25">
      <c r="A108">
        <v>10357</v>
      </c>
      <c r="B108" s="1" t="s">
        <v>214</v>
      </c>
      <c r="C108">
        <v>1</v>
      </c>
      <c r="D108" s="5">
        <v>35388</v>
      </c>
      <c r="E108" s="5">
        <v>35416</v>
      </c>
      <c r="F108" s="5">
        <v>35401</v>
      </c>
      <c r="G108">
        <v>3</v>
      </c>
      <c r="H108" s="1">
        <v>34.880000000000003</v>
      </c>
      <c r="I108" s="1" t="s">
        <v>215</v>
      </c>
      <c r="J108" s="1" t="s">
        <v>216</v>
      </c>
      <c r="K108" s="1" t="s">
        <v>217</v>
      </c>
      <c r="L108" s="1" t="s">
        <v>218</v>
      </c>
      <c r="M108" s="1" t="s">
        <v>219</v>
      </c>
      <c r="N108" s="1" t="s">
        <v>109</v>
      </c>
      <c r="O1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09" spans="1:15" x14ac:dyDescent="0.25">
      <c r="A109">
        <v>10358</v>
      </c>
      <c r="B109" s="1" t="s">
        <v>335</v>
      </c>
      <c r="C109">
        <v>5</v>
      </c>
      <c r="D109" s="5">
        <v>35389</v>
      </c>
      <c r="E109" s="5">
        <v>35417</v>
      </c>
      <c r="F109" s="5">
        <v>35396</v>
      </c>
      <c r="G109">
        <v>1</v>
      </c>
      <c r="H109" s="1">
        <v>19.64</v>
      </c>
      <c r="I109" s="1" t="s">
        <v>336</v>
      </c>
      <c r="J109" s="1" t="s">
        <v>337</v>
      </c>
      <c r="K109" s="1" t="s">
        <v>338</v>
      </c>
      <c r="L109" s="1" t="s">
        <v>59</v>
      </c>
      <c r="M109" s="1" t="s">
        <v>339</v>
      </c>
      <c r="N109" s="1" t="s">
        <v>61</v>
      </c>
      <c r="O1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0" spans="1:15" x14ac:dyDescent="0.25">
      <c r="A110">
        <v>10359</v>
      </c>
      <c r="B110" s="1" t="s">
        <v>351</v>
      </c>
      <c r="C110">
        <v>5</v>
      </c>
      <c r="D110" s="5">
        <v>35390</v>
      </c>
      <c r="E110" s="5">
        <v>35418</v>
      </c>
      <c r="F110" s="5">
        <v>35395</v>
      </c>
      <c r="G110">
        <v>3</v>
      </c>
      <c r="H110" s="1">
        <v>288.43</v>
      </c>
      <c r="I110" s="1" t="s">
        <v>352</v>
      </c>
      <c r="J110" s="1" t="s">
        <v>353</v>
      </c>
      <c r="K110" s="1" t="s">
        <v>232</v>
      </c>
      <c r="L110" s="1" t="s">
        <v>59</v>
      </c>
      <c r="M110" s="1" t="s">
        <v>354</v>
      </c>
      <c r="N110" s="1" t="s">
        <v>234</v>
      </c>
      <c r="O1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1" spans="1:15" x14ac:dyDescent="0.25">
      <c r="A111">
        <v>10360</v>
      </c>
      <c r="B111" s="1" t="s">
        <v>144</v>
      </c>
      <c r="C111">
        <v>4</v>
      </c>
      <c r="D111" s="5">
        <v>35391</v>
      </c>
      <c r="E111" s="5">
        <v>35419</v>
      </c>
      <c r="F111" s="5">
        <v>35401</v>
      </c>
      <c r="G111">
        <v>3</v>
      </c>
      <c r="H111" s="1">
        <v>131.69999999999999</v>
      </c>
      <c r="I111" s="1" t="s">
        <v>145</v>
      </c>
      <c r="J111" s="1" t="s">
        <v>146</v>
      </c>
      <c r="K111" s="1" t="s">
        <v>147</v>
      </c>
      <c r="L111" s="1" t="s">
        <v>59</v>
      </c>
      <c r="M111" s="1" t="s">
        <v>148</v>
      </c>
      <c r="N111" s="1" t="s">
        <v>61</v>
      </c>
      <c r="O1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2" spans="1:15" x14ac:dyDescent="0.25">
      <c r="A112">
        <v>10361</v>
      </c>
      <c r="B112" s="1" t="s">
        <v>178</v>
      </c>
      <c r="C112">
        <v>1</v>
      </c>
      <c r="D112" s="5">
        <v>35391</v>
      </c>
      <c r="E112" s="5">
        <v>35419</v>
      </c>
      <c r="F112" s="5">
        <v>35402</v>
      </c>
      <c r="G112">
        <v>2</v>
      </c>
      <c r="H112" s="1">
        <v>183.17</v>
      </c>
      <c r="I112" s="1" t="s">
        <v>179</v>
      </c>
      <c r="J112" s="1" t="s">
        <v>180</v>
      </c>
      <c r="K112" s="1" t="s">
        <v>181</v>
      </c>
      <c r="L112" s="1" t="s">
        <v>59</v>
      </c>
      <c r="M112" s="1" t="s">
        <v>182</v>
      </c>
      <c r="N112" s="1" t="s">
        <v>67</v>
      </c>
      <c r="O1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3" spans="1:15" x14ac:dyDescent="0.25">
      <c r="A113">
        <v>10362</v>
      </c>
      <c r="B113" s="1" t="s">
        <v>309</v>
      </c>
      <c r="C113">
        <v>3</v>
      </c>
      <c r="D113" s="5">
        <v>35394</v>
      </c>
      <c r="E113" s="5">
        <v>35422</v>
      </c>
      <c r="F113" s="5">
        <v>35397</v>
      </c>
      <c r="G113">
        <v>1</v>
      </c>
      <c r="H113" s="1">
        <v>96.04</v>
      </c>
      <c r="I113" s="1" t="s">
        <v>310</v>
      </c>
      <c r="J113" s="1" t="s">
        <v>311</v>
      </c>
      <c r="K113" s="1" t="s">
        <v>312</v>
      </c>
      <c r="L113" s="1" t="s">
        <v>59</v>
      </c>
      <c r="M113" s="1" t="s">
        <v>313</v>
      </c>
      <c r="N113" s="1" t="s">
        <v>61</v>
      </c>
      <c r="O1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4" spans="1:15" x14ac:dyDescent="0.25">
      <c r="A114">
        <v>10363</v>
      </c>
      <c r="B114" s="1" t="s">
        <v>355</v>
      </c>
      <c r="C114">
        <v>4</v>
      </c>
      <c r="D114" s="5">
        <v>35395</v>
      </c>
      <c r="E114" s="5">
        <v>35423</v>
      </c>
      <c r="F114" s="5">
        <v>35403</v>
      </c>
      <c r="G114">
        <v>3</v>
      </c>
      <c r="H114" s="1">
        <v>30.54</v>
      </c>
      <c r="I114" s="1" t="s">
        <v>356</v>
      </c>
      <c r="J114" s="1" t="s">
        <v>357</v>
      </c>
      <c r="K114" s="1" t="s">
        <v>358</v>
      </c>
      <c r="L114" s="1" t="s">
        <v>59</v>
      </c>
      <c r="M114" s="1" t="s">
        <v>359</v>
      </c>
      <c r="N114" s="1" t="s">
        <v>67</v>
      </c>
      <c r="O1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5" spans="1:15" x14ac:dyDescent="0.25">
      <c r="A115">
        <v>10364</v>
      </c>
      <c r="B115" s="1" t="s">
        <v>360</v>
      </c>
      <c r="C115">
        <v>1</v>
      </c>
      <c r="D115" s="5">
        <v>35395</v>
      </c>
      <c r="E115" s="5">
        <v>35437</v>
      </c>
      <c r="F115" s="5">
        <v>35403</v>
      </c>
      <c r="G115">
        <v>1</v>
      </c>
      <c r="H115" s="1">
        <v>71.97</v>
      </c>
      <c r="I115" s="1" t="s">
        <v>361</v>
      </c>
      <c r="J115" s="1" t="s">
        <v>362</v>
      </c>
      <c r="K115" s="1" t="s">
        <v>232</v>
      </c>
      <c r="L115" s="1" t="s">
        <v>59</v>
      </c>
      <c r="M115" s="1" t="s">
        <v>363</v>
      </c>
      <c r="N115" s="1" t="s">
        <v>234</v>
      </c>
      <c r="O1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6" spans="1:15" x14ac:dyDescent="0.25">
      <c r="A116">
        <v>10365</v>
      </c>
      <c r="B116" s="1" t="s">
        <v>364</v>
      </c>
      <c r="C116">
        <v>3</v>
      </c>
      <c r="D116" s="5">
        <v>35396</v>
      </c>
      <c r="E116" s="5">
        <v>35424</v>
      </c>
      <c r="F116" s="5">
        <v>35401</v>
      </c>
      <c r="G116">
        <v>2</v>
      </c>
      <c r="H116" s="1" t="s">
        <v>25</v>
      </c>
      <c r="I116" s="1" t="s">
        <v>365</v>
      </c>
      <c r="J116" s="1" t="s">
        <v>366</v>
      </c>
      <c r="K116" s="1" t="s">
        <v>119</v>
      </c>
      <c r="L116" s="1" t="s">
        <v>59</v>
      </c>
      <c r="M116" s="1" t="s">
        <v>367</v>
      </c>
      <c r="N116" s="1" t="s">
        <v>121</v>
      </c>
      <c r="O1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7" spans="1:15" x14ac:dyDescent="0.25">
      <c r="A117">
        <v>10366</v>
      </c>
      <c r="B117" s="1" t="s">
        <v>368</v>
      </c>
      <c r="C117">
        <v>8</v>
      </c>
      <c r="D117" s="5">
        <v>35397</v>
      </c>
      <c r="E117" s="5">
        <v>35439</v>
      </c>
      <c r="F117" s="5">
        <v>35429</v>
      </c>
      <c r="G117">
        <v>2</v>
      </c>
      <c r="H117" s="1">
        <v>10.14</v>
      </c>
      <c r="I117" s="1" t="s">
        <v>369</v>
      </c>
      <c r="J117" s="1" t="s">
        <v>370</v>
      </c>
      <c r="K117" s="1" t="s">
        <v>371</v>
      </c>
      <c r="L117" s="1" t="s">
        <v>59</v>
      </c>
      <c r="M117" s="1" t="s">
        <v>372</v>
      </c>
      <c r="N117" s="1" t="s">
        <v>213</v>
      </c>
      <c r="O1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8" spans="1:15" x14ac:dyDescent="0.25">
      <c r="A118">
        <v>10367</v>
      </c>
      <c r="B118" s="1" t="s">
        <v>373</v>
      </c>
      <c r="C118">
        <v>7</v>
      </c>
      <c r="D118" s="5">
        <v>35397</v>
      </c>
      <c r="E118" s="5">
        <v>35425</v>
      </c>
      <c r="F118" s="5">
        <v>35401</v>
      </c>
      <c r="G118">
        <v>3</v>
      </c>
      <c r="H118" s="1">
        <v>13.55</v>
      </c>
      <c r="I118" s="1" t="s">
        <v>374</v>
      </c>
      <c r="J118" s="1" t="s">
        <v>375</v>
      </c>
      <c r="K118" s="1" t="s">
        <v>376</v>
      </c>
      <c r="L118" s="1" t="s">
        <v>59</v>
      </c>
      <c r="M118" s="1" t="s">
        <v>377</v>
      </c>
      <c r="N118" s="1" t="s">
        <v>330</v>
      </c>
      <c r="O11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19" spans="1:15" x14ac:dyDescent="0.25">
      <c r="A119">
        <v>10368</v>
      </c>
      <c r="B119" s="1" t="s">
        <v>110</v>
      </c>
      <c r="C119">
        <v>2</v>
      </c>
      <c r="D119" s="5">
        <v>35398</v>
      </c>
      <c r="E119" s="5">
        <v>35426</v>
      </c>
      <c r="F119" s="5">
        <v>35401</v>
      </c>
      <c r="G119">
        <v>2</v>
      </c>
      <c r="H119" s="1">
        <v>101.95</v>
      </c>
      <c r="I119" s="1" t="s">
        <v>111</v>
      </c>
      <c r="J119" s="1" t="s">
        <v>112</v>
      </c>
      <c r="K119" s="1" t="s">
        <v>113</v>
      </c>
      <c r="L119" s="1" t="s">
        <v>59</v>
      </c>
      <c r="M119" s="1" t="s">
        <v>114</v>
      </c>
      <c r="N119" s="1" t="s">
        <v>115</v>
      </c>
      <c r="O1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0" spans="1:15" x14ac:dyDescent="0.25">
      <c r="A120">
        <v>10369</v>
      </c>
      <c r="B120" s="1" t="s">
        <v>172</v>
      </c>
      <c r="C120">
        <v>8</v>
      </c>
      <c r="D120" s="5">
        <v>35401</v>
      </c>
      <c r="E120" s="5">
        <v>35429</v>
      </c>
      <c r="F120" s="5">
        <v>35408</v>
      </c>
      <c r="G120">
        <v>2</v>
      </c>
      <c r="H120" s="1">
        <v>195.68</v>
      </c>
      <c r="I120" s="1" t="s">
        <v>173</v>
      </c>
      <c r="J120" s="1" t="s">
        <v>174</v>
      </c>
      <c r="K120" s="1" t="s">
        <v>175</v>
      </c>
      <c r="L120" s="1" t="s">
        <v>176</v>
      </c>
      <c r="M120" s="1" t="s">
        <v>177</v>
      </c>
      <c r="N120" s="1" t="s">
        <v>137</v>
      </c>
      <c r="O1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1" spans="1:15" x14ac:dyDescent="0.25">
      <c r="A121">
        <v>10370</v>
      </c>
      <c r="B121" s="1" t="s">
        <v>86</v>
      </c>
      <c r="C121">
        <v>6</v>
      </c>
      <c r="D121" s="5">
        <v>35402</v>
      </c>
      <c r="E121" s="5">
        <v>35430</v>
      </c>
      <c r="F121" s="5">
        <v>35426</v>
      </c>
      <c r="G121">
        <v>2</v>
      </c>
      <c r="H121" s="1">
        <v>1.17</v>
      </c>
      <c r="I121" s="1" t="s">
        <v>87</v>
      </c>
      <c r="J121" s="1" t="s">
        <v>88</v>
      </c>
      <c r="K121" s="1" t="s">
        <v>89</v>
      </c>
      <c r="L121" s="1" t="s">
        <v>59</v>
      </c>
      <c r="M121" s="1" t="s">
        <v>90</v>
      </c>
      <c r="N121" s="1" t="s">
        <v>91</v>
      </c>
      <c r="O1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2" spans="1:15" x14ac:dyDescent="0.25">
      <c r="A122">
        <v>10371</v>
      </c>
      <c r="B122" s="1" t="s">
        <v>335</v>
      </c>
      <c r="C122">
        <v>1</v>
      </c>
      <c r="D122" s="5">
        <v>35402</v>
      </c>
      <c r="E122" s="5">
        <v>35430</v>
      </c>
      <c r="F122" s="5">
        <v>35423</v>
      </c>
      <c r="G122">
        <v>1</v>
      </c>
      <c r="H122" s="1">
        <v>0.45</v>
      </c>
      <c r="I122" s="1" t="s">
        <v>336</v>
      </c>
      <c r="J122" s="1" t="s">
        <v>337</v>
      </c>
      <c r="K122" s="1" t="s">
        <v>338</v>
      </c>
      <c r="L122" s="1" t="s">
        <v>59</v>
      </c>
      <c r="M122" s="1" t="s">
        <v>339</v>
      </c>
      <c r="N122" s="1" t="s">
        <v>61</v>
      </c>
      <c r="O1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3" spans="1:15" x14ac:dyDescent="0.25">
      <c r="A123">
        <v>10372</v>
      </c>
      <c r="B123" s="1" t="s">
        <v>378</v>
      </c>
      <c r="C123">
        <v>5</v>
      </c>
      <c r="D123" s="5">
        <v>35403</v>
      </c>
      <c r="E123" s="5">
        <v>35431</v>
      </c>
      <c r="F123" s="5">
        <v>35408</v>
      </c>
      <c r="G123">
        <v>2</v>
      </c>
      <c r="H123" s="1">
        <v>890.78</v>
      </c>
      <c r="I123" s="1" t="s">
        <v>379</v>
      </c>
      <c r="J123" s="1" t="s">
        <v>380</v>
      </c>
      <c r="K123" s="1" t="s">
        <v>238</v>
      </c>
      <c r="L123" s="1" t="s">
        <v>101</v>
      </c>
      <c r="M123" s="1" t="s">
        <v>381</v>
      </c>
      <c r="N123" s="1" t="s">
        <v>74</v>
      </c>
      <c r="O1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4" spans="1:15" x14ac:dyDescent="0.25">
      <c r="A124">
        <v>10374</v>
      </c>
      <c r="B124" s="1" t="s">
        <v>382</v>
      </c>
      <c r="C124">
        <v>1</v>
      </c>
      <c r="D124" s="5">
        <v>35404</v>
      </c>
      <c r="E124" s="5">
        <v>35432</v>
      </c>
      <c r="F124" s="5">
        <v>35408</v>
      </c>
      <c r="G124">
        <v>3</v>
      </c>
      <c r="H124" s="1">
        <v>3.94</v>
      </c>
      <c r="I124" s="1" t="s">
        <v>383</v>
      </c>
      <c r="J124" s="1" t="s">
        <v>384</v>
      </c>
      <c r="K124" s="1" t="s">
        <v>385</v>
      </c>
      <c r="L124" s="1" t="s">
        <v>59</v>
      </c>
      <c r="M124" s="1" t="s">
        <v>386</v>
      </c>
      <c r="N124" s="1" t="s">
        <v>387</v>
      </c>
      <c r="O1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5" spans="1:15" x14ac:dyDescent="0.25">
      <c r="A125">
        <v>10375</v>
      </c>
      <c r="B125" s="1" t="s">
        <v>388</v>
      </c>
      <c r="C125">
        <v>3</v>
      </c>
      <c r="D125" s="5">
        <v>35405</v>
      </c>
      <c r="E125" s="5">
        <v>35433</v>
      </c>
      <c r="F125" s="5">
        <v>35408</v>
      </c>
      <c r="G125">
        <v>2</v>
      </c>
      <c r="H125" s="1">
        <v>20.12</v>
      </c>
      <c r="I125" s="1" t="s">
        <v>389</v>
      </c>
      <c r="J125" s="1" t="s">
        <v>390</v>
      </c>
      <c r="K125" s="1" t="s">
        <v>391</v>
      </c>
      <c r="L125" s="1" t="s">
        <v>264</v>
      </c>
      <c r="M125" s="1" t="s">
        <v>392</v>
      </c>
      <c r="N125" s="1" t="s">
        <v>137</v>
      </c>
      <c r="O1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6" spans="1:15" x14ac:dyDescent="0.25">
      <c r="A126">
        <v>10376</v>
      </c>
      <c r="B126" s="1" t="s">
        <v>314</v>
      </c>
      <c r="C126">
        <v>1</v>
      </c>
      <c r="D126" s="5">
        <v>35408</v>
      </c>
      <c r="E126" s="5">
        <v>35436</v>
      </c>
      <c r="F126" s="5">
        <v>35412</v>
      </c>
      <c r="G126">
        <v>2</v>
      </c>
      <c r="H126" s="1">
        <v>20.39</v>
      </c>
      <c r="I126" s="1" t="s">
        <v>315</v>
      </c>
      <c r="J126" s="1" t="s">
        <v>316</v>
      </c>
      <c r="K126" s="1" t="s">
        <v>317</v>
      </c>
      <c r="L126" s="1" t="s">
        <v>318</v>
      </c>
      <c r="M126" s="1" t="s">
        <v>319</v>
      </c>
      <c r="N126" s="1" t="s">
        <v>320</v>
      </c>
      <c r="O1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7" spans="1:15" x14ac:dyDescent="0.25">
      <c r="A127">
        <v>10377</v>
      </c>
      <c r="B127" s="1" t="s">
        <v>351</v>
      </c>
      <c r="C127">
        <v>1</v>
      </c>
      <c r="D127" s="5">
        <v>35408</v>
      </c>
      <c r="E127" s="5">
        <v>35436</v>
      </c>
      <c r="F127" s="5">
        <v>35412</v>
      </c>
      <c r="G127">
        <v>3</v>
      </c>
      <c r="H127" s="1">
        <v>22.21</v>
      </c>
      <c r="I127" s="1" t="s">
        <v>352</v>
      </c>
      <c r="J127" s="1" t="s">
        <v>353</v>
      </c>
      <c r="K127" s="1" t="s">
        <v>232</v>
      </c>
      <c r="L127" s="1" t="s">
        <v>59</v>
      </c>
      <c r="M127" s="1" t="s">
        <v>354</v>
      </c>
      <c r="N127" s="1" t="s">
        <v>234</v>
      </c>
      <c r="O1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8" spans="1:15" x14ac:dyDescent="0.25">
      <c r="A128">
        <v>10378</v>
      </c>
      <c r="B128" s="1" t="s">
        <v>138</v>
      </c>
      <c r="C128">
        <v>5</v>
      </c>
      <c r="D128" s="5">
        <v>35409</v>
      </c>
      <c r="E128" s="5">
        <v>35437</v>
      </c>
      <c r="F128" s="5">
        <v>35418</v>
      </c>
      <c r="G128">
        <v>3</v>
      </c>
      <c r="H128" s="1">
        <v>5.44</v>
      </c>
      <c r="I128" s="1" t="s">
        <v>139</v>
      </c>
      <c r="J128" s="1" t="s">
        <v>140</v>
      </c>
      <c r="K128" s="1" t="s">
        <v>141</v>
      </c>
      <c r="L128" s="1" t="s">
        <v>59</v>
      </c>
      <c r="M128" s="1" t="s">
        <v>142</v>
      </c>
      <c r="N128" s="1" t="s">
        <v>143</v>
      </c>
      <c r="O1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29" spans="1:15" x14ac:dyDescent="0.25">
      <c r="A129">
        <v>10379</v>
      </c>
      <c r="B129" s="1" t="s">
        <v>127</v>
      </c>
      <c r="C129">
        <v>2</v>
      </c>
      <c r="D129" s="5">
        <v>35410</v>
      </c>
      <c r="E129" s="5">
        <v>35438</v>
      </c>
      <c r="F129" s="5">
        <v>35412</v>
      </c>
      <c r="G129">
        <v>1</v>
      </c>
      <c r="H129" s="1">
        <v>45.03</v>
      </c>
      <c r="I129" s="1" t="s">
        <v>128</v>
      </c>
      <c r="J129" s="1" t="s">
        <v>129</v>
      </c>
      <c r="K129" s="1" t="s">
        <v>71</v>
      </c>
      <c r="L129" s="1" t="s">
        <v>72</v>
      </c>
      <c r="M129" s="1" t="s">
        <v>130</v>
      </c>
      <c r="N129" s="1" t="s">
        <v>74</v>
      </c>
      <c r="O1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0" spans="1:15" x14ac:dyDescent="0.25">
      <c r="A130">
        <v>10381</v>
      </c>
      <c r="B130" s="1" t="s">
        <v>214</v>
      </c>
      <c r="C130">
        <v>3</v>
      </c>
      <c r="D130" s="5">
        <v>35411</v>
      </c>
      <c r="E130" s="5">
        <v>35439</v>
      </c>
      <c r="F130" s="5">
        <v>35412</v>
      </c>
      <c r="G130">
        <v>3</v>
      </c>
      <c r="H130" s="1">
        <v>7.99</v>
      </c>
      <c r="I130" s="1" t="s">
        <v>215</v>
      </c>
      <c r="J130" s="1" t="s">
        <v>216</v>
      </c>
      <c r="K130" s="1" t="s">
        <v>217</v>
      </c>
      <c r="L130" s="1" t="s">
        <v>218</v>
      </c>
      <c r="M130" s="1" t="s">
        <v>219</v>
      </c>
      <c r="N130" s="1" t="s">
        <v>109</v>
      </c>
      <c r="O1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1" spans="1:15" x14ac:dyDescent="0.25">
      <c r="A131">
        <v>10382</v>
      </c>
      <c r="B131" s="1" t="s">
        <v>110</v>
      </c>
      <c r="C131">
        <v>4</v>
      </c>
      <c r="D131" s="5">
        <v>35412</v>
      </c>
      <c r="E131" s="5">
        <v>35440</v>
      </c>
      <c r="F131" s="5">
        <v>35415</v>
      </c>
      <c r="G131">
        <v>1</v>
      </c>
      <c r="H131" s="1">
        <v>94.77</v>
      </c>
      <c r="I131" s="1" t="s">
        <v>111</v>
      </c>
      <c r="J131" s="1" t="s">
        <v>112</v>
      </c>
      <c r="K131" s="1" t="s">
        <v>113</v>
      </c>
      <c r="L131" s="1" t="s">
        <v>59</v>
      </c>
      <c r="M131" s="1" t="s">
        <v>114</v>
      </c>
      <c r="N131" s="1" t="s">
        <v>115</v>
      </c>
      <c r="O1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2" spans="1:15" x14ac:dyDescent="0.25">
      <c r="A132">
        <v>10383</v>
      </c>
      <c r="B132" s="1" t="s">
        <v>345</v>
      </c>
      <c r="C132">
        <v>8</v>
      </c>
      <c r="D132" s="5">
        <v>35415</v>
      </c>
      <c r="E132" s="5">
        <v>35443</v>
      </c>
      <c r="F132" s="5">
        <v>35417</v>
      </c>
      <c r="G132">
        <v>3</v>
      </c>
      <c r="H132" s="1">
        <v>34.24</v>
      </c>
      <c r="I132" s="1" t="s">
        <v>346</v>
      </c>
      <c r="J132" s="1" t="s">
        <v>347</v>
      </c>
      <c r="K132" s="1" t="s">
        <v>348</v>
      </c>
      <c r="L132" s="1" t="s">
        <v>349</v>
      </c>
      <c r="M132" s="1" t="s">
        <v>350</v>
      </c>
      <c r="N132" s="1" t="s">
        <v>234</v>
      </c>
      <c r="O1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3" spans="1:15" x14ac:dyDescent="0.25">
      <c r="A133">
        <v>10384</v>
      </c>
      <c r="B133" s="1" t="s">
        <v>198</v>
      </c>
      <c r="C133">
        <v>3</v>
      </c>
      <c r="D133" s="5">
        <v>35415</v>
      </c>
      <c r="E133" s="5">
        <v>35443</v>
      </c>
      <c r="F133" s="5">
        <v>35419</v>
      </c>
      <c r="G133">
        <v>3</v>
      </c>
      <c r="H133" s="1">
        <v>168.64</v>
      </c>
      <c r="I133" s="1" t="s">
        <v>199</v>
      </c>
      <c r="J133" s="1" t="s">
        <v>200</v>
      </c>
      <c r="K133" s="1" t="s">
        <v>201</v>
      </c>
      <c r="L133" s="1" t="s">
        <v>59</v>
      </c>
      <c r="M133" s="1" t="s">
        <v>202</v>
      </c>
      <c r="N133" s="1" t="s">
        <v>143</v>
      </c>
      <c r="O1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4" spans="1:15" x14ac:dyDescent="0.25">
      <c r="A134">
        <v>10385</v>
      </c>
      <c r="B134" s="1" t="s">
        <v>172</v>
      </c>
      <c r="C134">
        <v>1</v>
      </c>
      <c r="D134" s="5">
        <v>35416</v>
      </c>
      <c r="E134" s="5">
        <v>35444</v>
      </c>
      <c r="F134" s="5">
        <v>35422</v>
      </c>
      <c r="G134">
        <v>2</v>
      </c>
      <c r="H134" s="1">
        <v>30.96</v>
      </c>
      <c r="I134" s="1" t="s">
        <v>173</v>
      </c>
      <c r="J134" s="1" t="s">
        <v>174</v>
      </c>
      <c r="K134" s="1" t="s">
        <v>175</v>
      </c>
      <c r="L134" s="1" t="s">
        <v>176</v>
      </c>
      <c r="M134" s="1" t="s">
        <v>177</v>
      </c>
      <c r="N134" s="1" t="s">
        <v>137</v>
      </c>
      <c r="O13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5" spans="1:15" x14ac:dyDescent="0.25">
      <c r="A135">
        <v>10386</v>
      </c>
      <c r="B135" s="1" t="s">
        <v>331</v>
      </c>
      <c r="C135">
        <v>9</v>
      </c>
      <c r="D135" s="5">
        <v>35417</v>
      </c>
      <c r="E135" s="5">
        <v>35431</v>
      </c>
      <c r="F135" s="5">
        <v>35424</v>
      </c>
      <c r="G135">
        <v>3</v>
      </c>
      <c r="H135" s="1">
        <v>13.99</v>
      </c>
      <c r="I135" s="1" t="s">
        <v>332</v>
      </c>
      <c r="J135" s="1" t="s">
        <v>333</v>
      </c>
      <c r="K135" s="1" t="s">
        <v>238</v>
      </c>
      <c r="L135" s="1" t="s">
        <v>101</v>
      </c>
      <c r="M135" s="1" t="s">
        <v>334</v>
      </c>
      <c r="N135" s="1" t="s">
        <v>74</v>
      </c>
      <c r="O1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6" spans="1:15" x14ac:dyDescent="0.25">
      <c r="A136">
        <v>10387</v>
      </c>
      <c r="B136" s="1" t="s">
        <v>393</v>
      </c>
      <c r="C136">
        <v>1</v>
      </c>
      <c r="D136" s="5">
        <v>35417</v>
      </c>
      <c r="E136" s="5">
        <v>35445</v>
      </c>
      <c r="F136" s="5">
        <v>35419</v>
      </c>
      <c r="G136">
        <v>2</v>
      </c>
      <c r="H136" s="1">
        <v>93.63</v>
      </c>
      <c r="I136" s="1" t="s">
        <v>394</v>
      </c>
      <c r="J136" s="1" t="s">
        <v>395</v>
      </c>
      <c r="K136" s="1" t="s">
        <v>396</v>
      </c>
      <c r="L136" s="1" t="s">
        <v>59</v>
      </c>
      <c r="M136" s="1" t="s">
        <v>397</v>
      </c>
      <c r="N136" s="1" t="s">
        <v>398</v>
      </c>
      <c r="O1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7" spans="1:15" x14ac:dyDescent="0.25">
      <c r="A137">
        <v>10388</v>
      </c>
      <c r="B137" s="1" t="s">
        <v>351</v>
      </c>
      <c r="C137">
        <v>2</v>
      </c>
      <c r="D137" s="5">
        <v>35418</v>
      </c>
      <c r="E137" s="5">
        <v>35446</v>
      </c>
      <c r="F137" s="5">
        <v>35419</v>
      </c>
      <c r="G137">
        <v>1</v>
      </c>
      <c r="H137" s="1">
        <v>34.86</v>
      </c>
      <c r="I137" s="1" t="s">
        <v>352</v>
      </c>
      <c r="J137" s="1" t="s">
        <v>353</v>
      </c>
      <c r="K137" s="1" t="s">
        <v>232</v>
      </c>
      <c r="L137" s="1" t="s">
        <v>59</v>
      </c>
      <c r="M137" s="1" t="s">
        <v>354</v>
      </c>
      <c r="N137" s="1" t="s">
        <v>234</v>
      </c>
      <c r="O1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8" spans="1:15" x14ac:dyDescent="0.25">
      <c r="A138">
        <v>10389</v>
      </c>
      <c r="B138" s="1" t="s">
        <v>399</v>
      </c>
      <c r="C138">
        <v>4</v>
      </c>
      <c r="D138" s="5">
        <v>35419</v>
      </c>
      <c r="E138" s="5">
        <v>35447</v>
      </c>
      <c r="F138" s="5">
        <v>35423</v>
      </c>
      <c r="G138">
        <v>2</v>
      </c>
      <c r="H138" s="1">
        <v>47.42</v>
      </c>
      <c r="I138" s="1" t="s">
        <v>400</v>
      </c>
      <c r="J138" s="1" t="s">
        <v>401</v>
      </c>
      <c r="K138" s="1" t="s">
        <v>402</v>
      </c>
      <c r="L138" s="1" t="s">
        <v>403</v>
      </c>
      <c r="M138" s="1" t="s">
        <v>404</v>
      </c>
      <c r="N138" s="1" t="s">
        <v>320</v>
      </c>
      <c r="O1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39" spans="1:15" x14ac:dyDescent="0.25">
      <c r="A139">
        <v>10390</v>
      </c>
      <c r="B139" s="1" t="s">
        <v>110</v>
      </c>
      <c r="C139">
        <v>6</v>
      </c>
      <c r="D139" s="5">
        <v>35422</v>
      </c>
      <c r="E139" s="5">
        <v>35450</v>
      </c>
      <c r="F139" s="5">
        <v>35425</v>
      </c>
      <c r="G139">
        <v>1</v>
      </c>
      <c r="H139" s="1">
        <v>126.38</v>
      </c>
      <c r="I139" s="1" t="s">
        <v>111</v>
      </c>
      <c r="J139" s="1" t="s">
        <v>112</v>
      </c>
      <c r="K139" s="1" t="s">
        <v>113</v>
      </c>
      <c r="L139" s="1" t="s">
        <v>59</v>
      </c>
      <c r="M139" s="1" t="s">
        <v>114</v>
      </c>
      <c r="N139" s="1" t="s">
        <v>115</v>
      </c>
      <c r="O1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0" spans="1:15" x14ac:dyDescent="0.25">
      <c r="A140">
        <v>10391</v>
      </c>
      <c r="B140" s="1" t="s">
        <v>355</v>
      </c>
      <c r="C140">
        <v>3</v>
      </c>
      <c r="D140" s="5">
        <v>35422</v>
      </c>
      <c r="E140" s="5">
        <v>35450</v>
      </c>
      <c r="F140" s="5">
        <v>35430</v>
      </c>
      <c r="G140">
        <v>3</v>
      </c>
      <c r="H140" s="1">
        <v>5.45</v>
      </c>
      <c r="I140" s="1" t="s">
        <v>356</v>
      </c>
      <c r="J140" s="1" t="s">
        <v>357</v>
      </c>
      <c r="K140" s="1" t="s">
        <v>358</v>
      </c>
      <c r="L140" s="1" t="s">
        <v>59</v>
      </c>
      <c r="M140" s="1" t="s">
        <v>359</v>
      </c>
      <c r="N140" s="1" t="s">
        <v>67</v>
      </c>
      <c r="O1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1" spans="1:15" x14ac:dyDescent="0.25">
      <c r="A141">
        <v>10392</v>
      </c>
      <c r="B141" s="1" t="s">
        <v>340</v>
      </c>
      <c r="C141">
        <v>2</v>
      </c>
      <c r="D141" s="5">
        <v>35423</v>
      </c>
      <c r="E141" s="5">
        <v>35451</v>
      </c>
      <c r="F141" s="5">
        <v>35431</v>
      </c>
      <c r="G141">
        <v>3</v>
      </c>
      <c r="H141" s="1">
        <v>122.46</v>
      </c>
      <c r="I141" s="1" t="s">
        <v>341</v>
      </c>
      <c r="J141" s="1" t="s">
        <v>342</v>
      </c>
      <c r="K141" s="1" t="s">
        <v>343</v>
      </c>
      <c r="L141" s="1" t="s">
        <v>59</v>
      </c>
      <c r="M141" s="1" t="s">
        <v>344</v>
      </c>
      <c r="N141" s="1" t="s">
        <v>115</v>
      </c>
      <c r="O1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2" spans="1:15" x14ac:dyDescent="0.25">
      <c r="A142">
        <v>10393</v>
      </c>
      <c r="B142" s="1" t="s">
        <v>293</v>
      </c>
      <c r="C142">
        <v>1</v>
      </c>
      <c r="D142" s="5">
        <v>35424</v>
      </c>
      <c r="E142" s="5">
        <v>35452</v>
      </c>
      <c r="F142" s="5">
        <v>35433</v>
      </c>
      <c r="G142">
        <v>3</v>
      </c>
      <c r="H142" s="1">
        <v>126.56</v>
      </c>
      <c r="I142" s="1" t="s">
        <v>294</v>
      </c>
      <c r="J142" s="1" t="s">
        <v>295</v>
      </c>
      <c r="K142" s="1" t="s">
        <v>296</v>
      </c>
      <c r="L142" s="1" t="s">
        <v>297</v>
      </c>
      <c r="M142" s="1" t="s">
        <v>298</v>
      </c>
      <c r="N142" s="1" t="s">
        <v>137</v>
      </c>
      <c r="O1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3" spans="1:15" x14ac:dyDescent="0.25">
      <c r="A143">
        <v>10394</v>
      </c>
      <c r="B143" s="1" t="s">
        <v>388</v>
      </c>
      <c r="C143">
        <v>1</v>
      </c>
      <c r="D143" s="5">
        <v>35424</v>
      </c>
      <c r="E143" s="5">
        <v>35452</v>
      </c>
      <c r="F143" s="5">
        <v>35433</v>
      </c>
      <c r="G143">
        <v>3</v>
      </c>
      <c r="H143" s="1">
        <v>30.34</v>
      </c>
      <c r="I143" s="1" t="s">
        <v>389</v>
      </c>
      <c r="J143" s="1" t="s">
        <v>390</v>
      </c>
      <c r="K143" s="1" t="s">
        <v>391</v>
      </c>
      <c r="L143" s="1" t="s">
        <v>264</v>
      </c>
      <c r="M143" s="1" t="s">
        <v>392</v>
      </c>
      <c r="N143" s="1" t="s">
        <v>137</v>
      </c>
      <c r="O1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4" spans="1:15" x14ac:dyDescent="0.25">
      <c r="A144">
        <v>10395</v>
      </c>
      <c r="B144" s="1" t="s">
        <v>103</v>
      </c>
      <c r="C144">
        <v>6</v>
      </c>
      <c r="D144" s="5">
        <v>35425</v>
      </c>
      <c r="E144" s="5">
        <v>35453</v>
      </c>
      <c r="F144" s="5">
        <v>35433</v>
      </c>
      <c r="G144">
        <v>1</v>
      </c>
      <c r="H144" s="1">
        <v>184.41</v>
      </c>
      <c r="I144" s="1" t="s">
        <v>104</v>
      </c>
      <c r="J144" s="1" t="s">
        <v>105</v>
      </c>
      <c r="K144" s="1" t="s">
        <v>106</v>
      </c>
      <c r="L144" s="1" t="s">
        <v>107</v>
      </c>
      <c r="M144" s="1" t="s">
        <v>108</v>
      </c>
      <c r="N144" s="1" t="s">
        <v>109</v>
      </c>
      <c r="O1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5" spans="1:15" x14ac:dyDescent="0.25">
      <c r="A145">
        <v>10396</v>
      </c>
      <c r="B145" s="1" t="s">
        <v>155</v>
      </c>
      <c r="C145">
        <v>1</v>
      </c>
      <c r="D145" s="5">
        <v>35426</v>
      </c>
      <c r="E145" s="5">
        <v>35440</v>
      </c>
      <c r="F145" s="5">
        <v>35436</v>
      </c>
      <c r="G145">
        <v>3</v>
      </c>
      <c r="H145" s="1">
        <v>135.35</v>
      </c>
      <c r="I145" s="1" t="s">
        <v>156</v>
      </c>
      <c r="J145" s="1" t="s">
        <v>157</v>
      </c>
      <c r="K145" s="1" t="s">
        <v>158</v>
      </c>
      <c r="L145" s="1" t="s">
        <v>59</v>
      </c>
      <c r="M145" s="1" t="s">
        <v>159</v>
      </c>
      <c r="N145" s="1" t="s">
        <v>67</v>
      </c>
      <c r="O1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6" spans="1:15" x14ac:dyDescent="0.25">
      <c r="A146">
        <v>10397</v>
      </c>
      <c r="B146" s="1" t="s">
        <v>321</v>
      </c>
      <c r="C146">
        <v>5</v>
      </c>
      <c r="D146" s="5">
        <v>35426</v>
      </c>
      <c r="E146" s="5">
        <v>35454</v>
      </c>
      <c r="F146" s="5">
        <v>35432</v>
      </c>
      <c r="G146">
        <v>1</v>
      </c>
      <c r="H146" s="1">
        <v>60.26</v>
      </c>
      <c r="I146" s="1" t="s">
        <v>322</v>
      </c>
      <c r="J146" s="1" t="s">
        <v>323</v>
      </c>
      <c r="K146" s="1" t="s">
        <v>306</v>
      </c>
      <c r="L146" s="1" t="s">
        <v>59</v>
      </c>
      <c r="M146" s="1" t="s">
        <v>324</v>
      </c>
      <c r="N146" s="1" t="s">
        <v>308</v>
      </c>
      <c r="O14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7" spans="1:15" x14ac:dyDescent="0.25">
      <c r="A147">
        <v>10398</v>
      </c>
      <c r="B147" s="1" t="s">
        <v>293</v>
      </c>
      <c r="C147">
        <v>2</v>
      </c>
      <c r="D147" s="5">
        <v>35429</v>
      </c>
      <c r="E147" s="5">
        <v>35457</v>
      </c>
      <c r="F147" s="5">
        <v>35439</v>
      </c>
      <c r="G147">
        <v>3</v>
      </c>
      <c r="H147" s="1">
        <v>89.16</v>
      </c>
      <c r="I147" s="1" t="s">
        <v>294</v>
      </c>
      <c r="J147" s="1" t="s">
        <v>295</v>
      </c>
      <c r="K147" s="1" t="s">
        <v>296</v>
      </c>
      <c r="L147" s="1" t="s">
        <v>297</v>
      </c>
      <c r="M147" s="1" t="s">
        <v>298</v>
      </c>
      <c r="N147" s="1" t="s">
        <v>137</v>
      </c>
      <c r="O1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8" spans="1:15" x14ac:dyDescent="0.25">
      <c r="A148">
        <v>10399</v>
      </c>
      <c r="B148" s="1" t="s">
        <v>373</v>
      </c>
      <c r="C148">
        <v>8</v>
      </c>
      <c r="D148" s="5">
        <v>35430</v>
      </c>
      <c r="E148" s="5">
        <v>35444</v>
      </c>
      <c r="F148" s="5">
        <v>35438</v>
      </c>
      <c r="G148">
        <v>3</v>
      </c>
      <c r="H148" s="1">
        <v>27.36</v>
      </c>
      <c r="I148" s="1" t="s">
        <v>374</v>
      </c>
      <c r="J148" s="1" t="s">
        <v>375</v>
      </c>
      <c r="K148" s="1" t="s">
        <v>376</v>
      </c>
      <c r="L148" s="1" t="s">
        <v>59</v>
      </c>
      <c r="M148" s="1" t="s">
        <v>377</v>
      </c>
      <c r="N148" s="1" t="s">
        <v>330</v>
      </c>
      <c r="O1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49" spans="1:15" x14ac:dyDescent="0.25">
      <c r="A149">
        <v>10400</v>
      </c>
      <c r="B149" s="1" t="s">
        <v>360</v>
      </c>
      <c r="C149">
        <v>1</v>
      </c>
      <c r="D149" s="5">
        <v>35431</v>
      </c>
      <c r="E149" s="5">
        <v>35459</v>
      </c>
      <c r="F149" s="5">
        <v>35446</v>
      </c>
      <c r="G149">
        <v>3</v>
      </c>
      <c r="H149" s="1">
        <v>83.93</v>
      </c>
      <c r="I149" s="1" t="s">
        <v>361</v>
      </c>
      <c r="J149" s="1" t="s">
        <v>362</v>
      </c>
      <c r="K149" s="1" t="s">
        <v>232</v>
      </c>
      <c r="L149" s="1" t="s">
        <v>59</v>
      </c>
      <c r="M149" s="1" t="s">
        <v>363</v>
      </c>
      <c r="N149" s="1" t="s">
        <v>234</v>
      </c>
      <c r="O1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0" spans="1:15" x14ac:dyDescent="0.25">
      <c r="A150">
        <v>10401</v>
      </c>
      <c r="B150" s="1" t="s">
        <v>131</v>
      </c>
      <c r="C150">
        <v>1</v>
      </c>
      <c r="D150" s="5">
        <v>35431</v>
      </c>
      <c r="E150" s="5">
        <v>35459</v>
      </c>
      <c r="F150" s="5">
        <v>35440</v>
      </c>
      <c r="G150">
        <v>1</v>
      </c>
      <c r="H150" s="1">
        <v>12.51</v>
      </c>
      <c r="I150" s="1" t="s">
        <v>132</v>
      </c>
      <c r="J150" s="1" t="s">
        <v>133</v>
      </c>
      <c r="K150" s="1" t="s">
        <v>134</v>
      </c>
      <c r="L150" s="1" t="s">
        <v>135</v>
      </c>
      <c r="M150" s="1" t="s">
        <v>136</v>
      </c>
      <c r="N150" s="1" t="s">
        <v>137</v>
      </c>
      <c r="O1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1" spans="1:15" x14ac:dyDescent="0.25">
      <c r="A151">
        <v>10402</v>
      </c>
      <c r="B151" s="1" t="s">
        <v>110</v>
      </c>
      <c r="C151">
        <v>8</v>
      </c>
      <c r="D151" s="5">
        <v>35432</v>
      </c>
      <c r="E151" s="5">
        <v>35474</v>
      </c>
      <c r="F151" s="5">
        <v>35440</v>
      </c>
      <c r="G151">
        <v>2</v>
      </c>
      <c r="H151" s="1">
        <v>67.88</v>
      </c>
      <c r="I151" s="1" t="s">
        <v>111</v>
      </c>
      <c r="J151" s="1" t="s">
        <v>112</v>
      </c>
      <c r="K151" s="1" t="s">
        <v>113</v>
      </c>
      <c r="L151" s="1" t="s">
        <v>59</v>
      </c>
      <c r="M151" s="1" t="s">
        <v>114</v>
      </c>
      <c r="N151" s="1" t="s">
        <v>115</v>
      </c>
      <c r="O1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2" spans="1:15" x14ac:dyDescent="0.25">
      <c r="A152">
        <v>10403</v>
      </c>
      <c r="B152" s="1" t="s">
        <v>110</v>
      </c>
      <c r="C152">
        <v>4</v>
      </c>
      <c r="D152" s="5">
        <v>35433</v>
      </c>
      <c r="E152" s="5">
        <v>35461</v>
      </c>
      <c r="F152" s="5">
        <v>35439</v>
      </c>
      <c r="G152">
        <v>3</v>
      </c>
      <c r="H152" s="1">
        <v>73.790000000000006</v>
      </c>
      <c r="I152" s="1" t="s">
        <v>111</v>
      </c>
      <c r="J152" s="1" t="s">
        <v>112</v>
      </c>
      <c r="K152" s="1" t="s">
        <v>113</v>
      </c>
      <c r="L152" s="1" t="s">
        <v>59</v>
      </c>
      <c r="M152" s="1" t="s">
        <v>114</v>
      </c>
      <c r="N152" s="1" t="s">
        <v>115</v>
      </c>
      <c r="O1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3" spans="1:15" x14ac:dyDescent="0.25">
      <c r="A153">
        <v>10404</v>
      </c>
      <c r="B153" s="1" t="s">
        <v>183</v>
      </c>
      <c r="C153">
        <v>2</v>
      </c>
      <c r="D153" s="5">
        <v>35433</v>
      </c>
      <c r="E153" s="5">
        <v>35461</v>
      </c>
      <c r="F153" s="5">
        <v>35438</v>
      </c>
      <c r="G153">
        <v>1</v>
      </c>
      <c r="H153" s="1">
        <v>155.97</v>
      </c>
      <c r="I153" s="1" t="s">
        <v>184</v>
      </c>
      <c r="J153" s="1" t="s">
        <v>185</v>
      </c>
      <c r="K153" s="1" t="s">
        <v>186</v>
      </c>
      <c r="L153" s="1" t="s">
        <v>59</v>
      </c>
      <c r="M153" s="1" t="s">
        <v>187</v>
      </c>
      <c r="N153" s="1" t="s">
        <v>188</v>
      </c>
      <c r="O1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4" spans="1:15" x14ac:dyDescent="0.25">
      <c r="A154">
        <v>10405</v>
      </c>
      <c r="B154" s="1" t="s">
        <v>405</v>
      </c>
      <c r="C154">
        <v>1</v>
      </c>
      <c r="D154" s="5">
        <v>35436</v>
      </c>
      <c r="E154" s="5">
        <v>35464</v>
      </c>
      <c r="F154" s="5">
        <v>35452</v>
      </c>
      <c r="G154">
        <v>1</v>
      </c>
      <c r="H154" s="1">
        <v>34.82</v>
      </c>
      <c r="I154" s="1" t="s">
        <v>406</v>
      </c>
      <c r="J154" s="1" t="s">
        <v>407</v>
      </c>
      <c r="K154" s="1" t="s">
        <v>408</v>
      </c>
      <c r="L154" s="1" t="s">
        <v>409</v>
      </c>
      <c r="M154" s="1" t="s">
        <v>410</v>
      </c>
      <c r="N154" s="1" t="s">
        <v>109</v>
      </c>
      <c r="O1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5" spans="1:15" x14ac:dyDescent="0.25">
      <c r="A155">
        <v>10406</v>
      </c>
      <c r="B155" s="1" t="s">
        <v>378</v>
      </c>
      <c r="C155">
        <v>7</v>
      </c>
      <c r="D155" s="5">
        <v>35437</v>
      </c>
      <c r="E155" s="5">
        <v>35479</v>
      </c>
      <c r="F155" s="5">
        <v>35443</v>
      </c>
      <c r="G155">
        <v>1</v>
      </c>
      <c r="H155" s="1">
        <v>108.04</v>
      </c>
      <c r="I155" s="1" t="s">
        <v>379</v>
      </c>
      <c r="J155" s="1" t="s">
        <v>380</v>
      </c>
      <c r="K155" s="1" t="s">
        <v>238</v>
      </c>
      <c r="L155" s="1" t="s">
        <v>101</v>
      </c>
      <c r="M155" s="1" t="s">
        <v>381</v>
      </c>
      <c r="N155" s="1" t="s">
        <v>74</v>
      </c>
      <c r="O15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6" spans="1:15" x14ac:dyDescent="0.25">
      <c r="A156">
        <v>10407</v>
      </c>
      <c r="B156" s="1" t="s">
        <v>122</v>
      </c>
      <c r="C156">
        <v>2</v>
      </c>
      <c r="D156" s="5">
        <v>35437</v>
      </c>
      <c r="E156" s="5">
        <v>35465</v>
      </c>
      <c r="F156" s="5">
        <v>35460</v>
      </c>
      <c r="G156">
        <v>2</v>
      </c>
      <c r="H156" s="1">
        <v>91.48</v>
      </c>
      <c r="I156" s="1" t="s">
        <v>123</v>
      </c>
      <c r="J156" s="1" t="s">
        <v>124</v>
      </c>
      <c r="K156" s="1" t="s">
        <v>125</v>
      </c>
      <c r="L156" s="1" t="s">
        <v>59</v>
      </c>
      <c r="M156" s="1" t="s">
        <v>126</v>
      </c>
      <c r="N156" s="1" t="s">
        <v>67</v>
      </c>
      <c r="O1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7" spans="1:15" x14ac:dyDescent="0.25">
      <c r="A157">
        <v>10408</v>
      </c>
      <c r="B157" s="1" t="s">
        <v>411</v>
      </c>
      <c r="C157">
        <v>8</v>
      </c>
      <c r="D157" s="5">
        <v>35438</v>
      </c>
      <c r="E157" s="5">
        <v>35466</v>
      </c>
      <c r="F157" s="5">
        <v>35444</v>
      </c>
      <c r="G157">
        <v>1</v>
      </c>
      <c r="H157" s="1">
        <v>11.26</v>
      </c>
      <c r="I157" s="1" t="s">
        <v>412</v>
      </c>
      <c r="J157" s="1" t="s">
        <v>413</v>
      </c>
      <c r="K157" s="1" t="s">
        <v>414</v>
      </c>
      <c r="L157" s="1" t="s">
        <v>59</v>
      </c>
      <c r="M157" s="1" t="s">
        <v>415</v>
      </c>
      <c r="N157" s="1" t="s">
        <v>61</v>
      </c>
      <c r="O1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8" spans="1:15" x14ac:dyDescent="0.25">
      <c r="A158">
        <v>10409</v>
      </c>
      <c r="B158" s="1" t="s">
        <v>416</v>
      </c>
      <c r="C158">
        <v>3</v>
      </c>
      <c r="D158" s="5">
        <v>35439</v>
      </c>
      <c r="E158" s="5">
        <v>35467</v>
      </c>
      <c r="F158" s="5">
        <v>35444</v>
      </c>
      <c r="G158">
        <v>1</v>
      </c>
      <c r="H158" s="1">
        <v>29.83</v>
      </c>
      <c r="I158" s="1" t="s">
        <v>417</v>
      </c>
      <c r="J158" s="1" t="s">
        <v>418</v>
      </c>
      <c r="K158" s="1" t="s">
        <v>419</v>
      </c>
      <c r="L158" s="1" t="s">
        <v>59</v>
      </c>
      <c r="M158" s="1" t="s">
        <v>420</v>
      </c>
      <c r="N158" s="1" t="s">
        <v>421</v>
      </c>
      <c r="O1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59" spans="1:15" x14ac:dyDescent="0.25">
      <c r="A159">
        <v>10410</v>
      </c>
      <c r="B159" s="1" t="s">
        <v>399</v>
      </c>
      <c r="C159">
        <v>3</v>
      </c>
      <c r="D159" s="5">
        <v>35440</v>
      </c>
      <c r="E159" s="5">
        <v>35468</v>
      </c>
      <c r="F159" s="5">
        <v>35445</v>
      </c>
      <c r="G159">
        <v>3</v>
      </c>
      <c r="H159" s="1">
        <v>2.4</v>
      </c>
      <c r="I159" s="1" t="s">
        <v>400</v>
      </c>
      <c r="J159" s="1" t="s">
        <v>401</v>
      </c>
      <c r="K159" s="1" t="s">
        <v>402</v>
      </c>
      <c r="L159" s="1" t="s">
        <v>403</v>
      </c>
      <c r="M159" s="1" t="s">
        <v>404</v>
      </c>
      <c r="N159" s="1" t="s">
        <v>320</v>
      </c>
      <c r="O1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0" spans="1:15" x14ac:dyDescent="0.25">
      <c r="A160">
        <v>10411</v>
      </c>
      <c r="B160" s="1" t="s">
        <v>399</v>
      </c>
      <c r="C160">
        <v>9</v>
      </c>
      <c r="D160" s="5">
        <v>35440</v>
      </c>
      <c r="E160" s="5">
        <v>35468</v>
      </c>
      <c r="F160" s="5">
        <v>35451</v>
      </c>
      <c r="G160">
        <v>3</v>
      </c>
      <c r="H160" s="1">
        <v>23.65</v>
      </c>
      <c r="I160" s="1" t="s">
        <v>400</v>
      </c>
      <c r="J160" s="1" t="s">
        <v>401</v>
      </c>
      <c r="K160" s="1" t="s">
        <v>402</v>
      </c>
      <c r="L160" s="1" t="s">
        <v>403</v>
      </c>
      <c r="M160" s="1" t="s">
        <v>404</v>
      </c>
      <c r="N160" s="1" t="s">
        <v>320</v>
      </c>
      <c r="O1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1" spans="1:15" x14ac:dyDescent="0.25">
      <c r="A161">
        <v>10412</v>
      </c>
      <c r="B161" s="1" t="s">
        <v>149</v>
      </c>
      <c r="C161">
        <v>8</v>
      </c>
      <c r="D161" s="5">
        <v>35443</v>
      </c>
      <c r="E161" s="5">
        <v>35471</v>
      </c>
      <c r="F161" s="5">
        <v>35445</v>
      </c>
      <c r="G161">
        <v>2</v>
      </c>
      <c r="H161" s="1">
        <v>3.77</v>
      </c>
      <c r="I161" s="1" t="s">
        <v>150</v>
      </c>
      <c r="J161" s="1" t="s">
        <v>151</v>
      </c>
      <c r="K161" s="1" t="s">
        <v>152</v>
      </c>
      <c r="L161" s="1" t="s">
        <v>59</v>
      </c>
      <c r="M161" s="1" t="s">
        <v>153</v>
      </c>
      <c r="N161" s="1" t="s">
        <v>154</v>
      </c>
      <c r="O1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2" spans="1:15" x14ac:dyDescent="0.25">
      <c r="A162">
        <v>10413</v>
      </c>
      <c r="B162" s="1" t="s">
        <v>335</v>
      </c>
      <c r="C162">
        <v>3</v>
      </c>
      <c r="D162" s="5">
        <v>35444</v>
      </c>
      <c r="E162" s="5">
        <v>35472</v>
      </c>
      <c r="F162" s="5">
        <v>35446</v>
      </c>
      <c r="G162">
        <v>2</v>
      </c>
      <c r="H162" s="1">
        <v>95.66</v>
      </c>
      <c r="I162" s="1" t="s">
        <v>336</v>
      </c>
      <c r="J162" s="1" t="s">
        <v>337</v>
      </c>
      <c r="K162" s="1" t="s">
        <v>338</v>
      </c>
      <c r="L162" s="1" t="s">
        <v>59</v>
      </c>
      <c r="M162" s="1" t="s">
        <v>339</v>
      </c>
      <c r="N162" s="1" t="s">
        <v>61</v>
      </c>
      <c r="O1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3" spans="1:15" x14ac:dyDescent="0.25">
      <c r="A163">
        <v>10414</v>
      </c>
      <c r="B163" s="1" t="s">
        <v>331</v>
      </c>
      <c r="C163">
        <v>2</v>
      </c>
      <c r="D163" s="5">
        <v>35444</v>
      </c>
      <c r="E163" s="5">
        <v>35472</v>
      </c>
      <c r="F163" s="5">
        <v>35447</v>
      </c>
      <c r="G163">
        <v>3</v>
      </c>
      <c r="H163" s="1">
        <v>21.48</v>
      </c>
      <c r="I163" s="1" t="s">
        <v>332</v>
      </c>
      <c r="J163" s="1" t="s">
        <v>333</v>
      </c>
      <c r="K163" s="1" t="s">
        <v>238</v>
      </c>
      <c r="L163" s="1" t="s">
        <v>101</v>
      </c>
      <c r="M163" s="1" t="s">
        <v>334</v>
      </c>
      <c r="N163" s="1" t="s">
        <v>74</v>
      </c>
      <c r="O1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4" spans="1:15" x14ac:dyDescent="0.25">
      <c r="A164">
        <v>10415</v>
      </c>
      <c r="B164" s="1" t="s">
        <v>388</v>
      </c>
      <c r="C164">
        <v>3</v>
      </c>
      <c r="D164" s="5">
        <v>35445</v>
      </c>
      <c r="E164" s="5">
        <v>35473</v>
      </c>
      <c r="F164" s="5">
        <v>35454</v>
      </c>
      <c r="G164">
        <v>1</v>
      </c>
      <c r="H164" s="1">
        <v>0.2</v>
      </c>
      <c r="I164" s="1" t="s">
        <v>389</v>
      </c>
      <c r="J164" s="1" t="s">
        <v>390</v>
      </c>
      <c r="K164" s="1" t="s">
        <v>391</v>
      </c>
      <c r="L164" s="1" t="s">
        <v>264</v>
      </c>
      <c r="M164" s="1" t="s">
        <v>392</v>
      </c>
      <c r="N164" s="1" t="s">
        <v>137</v>
      </c>
      <c r="O1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5" spans="1:15" x14ac:dyDescent="0.25">
      <c r="A165">
        <v>10416</v>
      </c>
      <c r="B165" s="1" t="s">
        <v>149</v>
      </c>
      <c r="C165">
        <v>8</v>
      </c>
      <c r="D165" s="5">
        <v>35446</v>
      </c>
      <c r="E165" s="5">
        <v>35474</v>
      </c>
      <c r="F165" s="5">
        <v>35457</v>
      </c>
      <c r="G165">
        <v>3</v>
      </c>
      <c r="H165" s="1">
        <v>22.72</v>
      </c>
      <c r="I165" s="1" t="s">
        <v>150</v>
      </c>
      <c r="J165" s="1" t="s">
        <v>151</v>
      </c>
      <c r="K165" s="1" t="s">
        <v>152</v>
      </c>
      <c r="L165" s="1" t="s">
        <v>59</v>
      </c>
      <c r="M165" s="1" t="s">
        <v>153</v>
      </c>
      <c r="N165" s="1" t="s">
        <v>154</v>
      </c>
      <c r="O1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6" spans="1:15" x14ac:dyDescent="0.25">
      <c r="A166">
        <v>10417</v>
      </c>
      <c r="B166" s="1" t="s">
        <v>325</v>
      </c>
      <c r="C166">
        <v>4</v>
      </c>
      <c r="D166" s="5">
        <v>35446</v>
      </c>
      <c r="E166" s="5">
        <v>35474</v>
      </c>
      <c r="F166" s="5">
        <v>35458</v>
      </c>
      <c r="G166">
        <v>3</v>
      </c>
      <c r="H166" s="1">
        <v>70.290000000000006</v>
      </c>
      <c r="I166" s="1" t="s">
        <v>326</v>
      </c>
      <c r="J166" s="1" t="s">
        <v>327</v>
      </c>
      <c r="K166" s="1" t="s">
        <v>328</v>
      </c>
      <c r="L166" s="1" t="s">
        <v>59</v>
      </c>
      <c r="M166" s="1" t="s">
        <v>329</v>
      </c>
      <c r="N166" s="1" t="s">
        <v>330</v>
      </c>
      <c r="O16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7" spans="1:15" x14ac:dyDescent="0.25">
      <c r="A167">
        <v>10418</v>
      </c>
      <c r="B167" s="1" t="s">
        <v>178</v>
      </c>
      <c r="C167">
        <v>4</v>
      </c>
      <c r="D167" s="5">
        <v>35447</v>
      </c>
      <c r="E167" s="5">
        <v>35475</v>
      </c>
      <c r="F167" s="5">
        <v>35454</v>
      </c>
      <c r="G167">
        <v>1</v>
      </c>
      <c r="H167" s="1">
        <v>17.55</v>
      </c>
      <c r="I167" s="1" t="s">
        <v>179</v>
      </c>
      <c r="J167" s="1" t="s">
        <v>180</v>
      </c>
      <c r="K167" s="1" t="s">
        <v>181</v>
      </c>
      <c r="L167" s="1" t="s">
        <v>59</v>
      </c>
      <c r="M167" s="1" t="s">
        <v>182</v>
      </c>
      <c r="N167" s="1" t="s">
        <v>67</v>
      </c>
      <c r="O16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8" spans="1:15" x14ac:dyDescent="0.25">
      <c r="A168">
        <v>10419</v>
      </c>
      <c r="B168" s="1" t="s">
        <v>92</v>
      </c>
      <c r="C168">
        <v>4</v>
      </c>
      <c r="D168" s="5">
        <v>35450</v>
      </c>
      <c r="E168" s="5">
        <v>35478</v>
      </c>
      <c r="F168" s="5">
        <v>35460</v>
      </c>
      <c r="G168">
        <v>2</v>
      </c>
      <c r="H168" s="1">
        <v>137.35</v>
      </c>
      <c r="I168" s="1" t="s">
        <v>93</v>
      </c>
      <c r="J168" s="1" t="s">
        <v>94</v>
      </c>
      <c r="K168" s="1" t="s">
        <v>95</v>
      </c>
      <c r="L168" s="1" t="s">
        <v>59</v>
      </c>
      <c r="M168" s="1" t="s">
        <v>96</v>
      </c>
      <c r="N168" s="1" t="s">
        <v>91</v>
      </c>
      <c r="O1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69" spans="1:15" x14ac:dyDescent="0.25">
      <c r="A169">
        <v>10420</v>
      </c>
      <c r="B169" s="1" t="s">
        <v>97</v>
      </c>
      <c r="C169">
        <v>3</v>
      </c>
      <c r="D169" s="5">
        <v>35451</v>
      </c>
      <c r="E169" s="5">
        <v>35479</v>
      </c>
      <c r="F169" s="5">
        <v>35457</v>
      </c>
      <c r="G169">
        <v>1</v>
      </c>
      <c r="H169" s="1">
        <v>44.12</v>
      </c>
      <c r="I169" s="1" t="s">
        <v>98</v>
      </c>
      <c r="J169" s="1" t="s">
        <v>99</v>
      </c>
      <c r="K169" s="1" t="s">
        <v>100</v>
      </c>
      <c r="L169" s="1" t="s">
        <v>101</v>
      </c>
      <c r="M169" s="1" t="s">
        <v>102</v>
      </c>
      <c r="N169" s="1" t="s">
        <v>74</v>
      </c>
      <c r="O1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0" spans="1:15" x14ac:dyDescent="0.25">
      <c r="A170">
        <v>10421</v>
      </c>
      <c r="B170" s="1" t="s">
        <v>127</v>
      </c>
      <c r="C170">
        <v>8</v>
      </c>
      <c r="D170" s="5">
        <v>35451</v>
      </c>
      <c r="E170" s="5">
        <v>35493</v>
      </c>
      <c r="F170" s="5">
        <v>35457</v>
      </c>
      <c r="G170">
        <v>1</v>
      </c>
      <c r="H170" s="1">
        <v>99.23</v>
      </c>
      <c r="I170" s="1" t="s">
        <v>128</v>
      </c>
      <c r="J170" s="1" t="s">
        <v>129</v>
      </c>
      <c r="K170" s="1" t="s">
        <v>71</v>
      </c>
      <c r="L170" s="1" t="s">
        <v>72</v>
      </c>
      <c r="M170" s="1" t="s">
        <v>130</v>
      </c>
      <c r="N170" s="1" t="s">
        <v>74</v>
      </c>
      <c r="O1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1" spans="1:15" x14ac:dyDescent="0.25">
      <c r="A171">
        <v>10422</v>
      </c>
      <c r="B171" s="1" t="s">
        <v>422</v>
      </c>
      <c r="C171">
        <v>2</v>
      </c>
      <c r="D171" s="5">
        <v>35452</v>
      </c>
      <c r="E171" s="5">
        <v>35480</v>
      </c>
      <c r="F171" s="5">
        <v>35461</v>
      </c>
      <c r="G171">
        <v>1</v>
      </c>
      <c r="H171" s="1">
        <v>3.02</v>
      </c>
      <c r="I171" s="1" t="s">
        <v>423</v>
      </c>
      <c r="J171" s="1" t="s">
        <v>424</v>
      </c>
      <c r="K171" s="1" t="s">
        <v>425</v>
      </c>
      <c r="L171" s="1" t="s">
        <v>59</v>
      </c>
      <c r="M171" s="1" t="s">
        <v>426</v>
      </c>
      <c r="N171" s="1" t="s">
        <v>188</v>
      </c>
      <c r="O1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2" spans="1:15" x14ac:dyDescent="0.25">
      <c r="A172">
        <v>10423</v>
      </c>
      <c r="B172" s="1" t="s">
        <v>427</v>
      </c>
      <c r="C172">
        <v>6</v>
      </c>
      <c r="D172" s="5">
        <v>35453</v>
      </c>
      <c r="E172" s="5">
        <v>35467</v>
      </c>
      <c r="F172" s="5">
        <v>35485</v>
      </c>
      <c r="G172">
        <v>3</v>
      </c>
      <c r="H172" s="1">
        <v>24.5</v>
      </c>
      <c r="I172" s="1" t="s">
        <v>428</v>
      </c>
      <c r="J172" s="1" t="s">
        <v>429</v>
      </c>
      <c r="K172" s="1" t="s">
        <v>430</v>
      </c>
      <c r="L172" s="1" t="s">
        <v>101</v>
      </c>
      <c r="M172" s="1" t="s">
        <v>431</v>
      </c>
      <c r="N172" s="1" t="s">
        <v>74</v>
      </c>
      <c r="O172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173" spans="1:15" x14ac:dyDescent="0.25">
      <c r="A173">
        <v>10424</v>
      </c>
      <c r="B173" s="1" t="s">
        <v>314</v>
      </c>
      <c r="C173">
        <v>7</v>
      </c>
      <c r="D173" s="5">
        <v>35453</v>
      </c>
      <c r="E173" s="5">
        <v>35481</v>
      </c>
      <c r="F173" s="5">
        <v>35457</v>
      </c>
      <c r="G173">
        <v>2</v>
      </c>
      <c r="H173" s="1">
        <v>370.61</v>
      </c>
      <c r="I173" s="1" t="s">
        <v>315</v>
      </c>
      <c r="J173" s="1" t="s">
        <v>316</v>
      </c>
      <c r="K173" s="1" t="s">
        <v>317</v>
      </c>
      <c r="L173" s="1" t="s">
        <v>318</v>
      </c>
      <c r="M173" s="1" t="s">
        <v>319</v>
      </c>
      <c r="N173" s="1" t="s">
        <v>320</v>
      </c>
      <c r="O1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4" spans="1:15" x14ac:dyDescent="0.25">
      <c r="A174">
        <v>10425</v>
      </c>
      <c r="B174" s="1" t="s">
        <v>335</v>
      </c>
      <c r="C174">
        <v>6</v>
      </c>
      <c r="D174" s="5">
        <v>35454</v>
      </c>
      <c r="E174" s="5">
        <v>35482</v>
      </c>
      <c r="F174" s="5">
        <v>35475</v>
      </c>
      <c r="G174">
        <v>2</v>
      </c>
      <c r="H174" s="1">
        <v>7.93</v>
      </c>
      <c r="I174" s="1" t="s">
        <v>336</v>
      </c>
      <c r="J174" s="1" t="s">
        <v>337</v>
      </c>
      <c r="K174" s="1" t="s">
        <v>338</v>
      </c>
      <c r="L174" s="1" t="s">
        <v>59</v>
      </c>
      <c r="M174" s="1" t="s">
        <v>339</v>
      </c>
      <c r="N174" s="1" t="s">
        <v>61</v>
      </c>
      <c r="O1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5" spans="1:15" x14ac:dyDescent="0.25">
      <c r="A175">
        <v>10426</v>
      </c>
      <c r="B175" s="1" t="s">
        <v>368</v>
      </c>
      <c r="C175">
        <v>4</v>
      </c>
      <c r="D175" s="5">
        <v>35457</v>
      </c>
      <c r="E175" s="5">
        <v>35485</v>
      </c>
      <c r="F175" s="5">
        <v>35467</v>
      </c>
      <c r="G175">
        <v>1</v>
      </c>
      <c r="H175" s="1">
        <v>18.690000000000001</v>
      </c>
      <c r="I175" s="1" t="s">
        <v>369</v>
      </c>
      <c r="J175" s="1" t="s">
        <v>370</v>
      </c>
      <c r="K175" s="1" t="s">
        <v>371</v>
      </c>
      <c r="L175" s="1" t="s">
        <v>59</v>
      </c>
      <c r="M175" s="1" t="s">
        <v>372</v>
      </c>
      <c r="N175" s="1" t="s">
        <v>213</v>
      </c>
      <c r="O1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6" spans="1:15" x14ac:dyDescent="0.25">
      <c r="A176">
        <v>10427</v>
      </c>
      <c r="B176" s="1" t="s">
        <v>340</v>
      </c>
      <c r="C176">
        <v>4</v>
      </c>
      <c r="D176" s="5">
        <v>35457</v>
      </c>
      <c r="E176" s="5">
        <v>35485</v>
      </c>
      <c r="F176" s="5">
        <v>35492</v>
      </c>
      <c r="G176">
        <v>2</v>
      </c>
      <c r="H176" s="1">
        <v>31.29</v>
      </c>
      <c r="I176" s="1" t="s">
        <v>341</v>
      </c>
      <c r="J176" s="1" t="s">
        <v>342</v>
      </c>
      <c r="K176" s="1" t="s">
        <v>343</v>
      </c>
      <c r="L176" s="1" t="s">
        <v>59</v>
      </c>
      <c r="M176" s="1" t="s">
        <v>344</v>
      </c>
      <c r="N176" s="1" t="s">
        <v>115</v>
      </c>
      <c r="O17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177" spans="1:15" x14ac:dyDescent="0.25">
      <c r="A177">
        <v>10428</v>
      </c>
      <c r="B177" s="1" t="s">
        <v>224</v>
      </c>
      <c r="C177">
        <v>7</v>
      </c>
      <c r="D177" s="5">
        <v>35458</v>
      </c>
      <c r="E177" s="5">
        <v>35486</v>
      </c>
      <c r="F177" s="5">
        <v>35465</v>
      </c>
      <c r="G177">
        <v>1</v>
      </c>
      <c r="H177" s="1">
        <v>11.09</v>
      </c>
      <c r="I177" s="1" t="s">
        <v>225</v>
      </c>
      <c r="J177" s="1" t="s">
        <v>226</v>
      </c>
      <c r="K177" s="1" t="s">
        <v>227</v>
      </c>
      <c r="L177" s="1" t="s">
        <v>59</v>
      </c>
      <c r="M177" s="1" t="s">
        <v>228</v>
      </c>
      <c r="N177" s="1" t="s">
        <v>188</v>
      </c>
      <c r="O1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8" spans="1:15" x14ac:dyDescent="0.25">
      <c r="A178">
        <v>10430</v>
      </c>
      <c r="B178" s="1" t="s">
        <v>110</v>
      </c>
      <c r="C178">
        <v>4</v>
      </c>
      <c r="D178" s="5">
        <v>35460</v>
      </c>
      <c r="E178" s="5">
        <v>35474</v>
      </c>
      <c r="F178" s="5">
        <v>35464</v>
      </c>
      <c r="G178">
        <v>1</v>
      </c>
      <c r="H178" s="1">
        <v>458.78</v>
      </c>
      <c r="I178" s="1" t="s">
        <v>111</v>
      </c>
      <c r="J178" s="1" t="s">
        <v>112</v>
      </c>
      <c r="K178" s="1" t="s">
        <v>113</v>
      </c>
      <c r="L178" s="1" t="s">
        <v>59</v>
      </c>
      <c r="M178" s="1" t="s">
        <v>114</v>
      </c>
      <c r="N178" s="1" t="s">
        <v>115</v>
      </c>
      <c r="O1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79" spans="1:15" x14ac:dyDescent="0.25">
      <c r="A179">
        <v>10431</v>
      </c>
      <c r="B179" s="1" t="s">
        <v>399</v>
      </c>
      <c r="C179">
        <v>4</v>
      </c>
      <c r="D179" s="5">
        <v>35460</v>
      </c>
      <c r="E179" s="5">
        <v>35474</v>
      </c>
      <c r="F179" s="5">
        <v>35468</v>
      </c>
      <c r="G179">
        <v>2</v>
      </c>
      <c r="H179" s="1">
        <v>44.17</v>
      </c>
      <c r="I179" s="1" t="s">
        <v>400</v>
      </c>
      <c r="J179" s="1" t="s">
        <v>401</v>
      </c>
      <c r="K179" s="1" t="s">
        <v>402</v>
      </c>
      <c r="L179" s="1" t="s">
        <v>403</v>
      </c>
      <c r="M179" s="1" t="s">
        <v>404</v>
      </c>
      <c r="N179" s="1" t="s">
        <v>320</v>
      </c>
      <c r="O1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0" spans="1:15" x14ac:dyDescent="0.25">
      <c r="A180">
        <v>10432</v>
      </c>
      <c r="B180" s="1" t="s">
        <v>172</v>
      </c>
      <c r="C180">
        <v>3</v>
      </c>
      <c r="D180" s="5">
        <v>35461</v>
      </c>
      <c r="E180" s="5">
        <v>35475</v>
      </c>
      <c r="F180" s="5">
        <v>35468</v>
      </c>
      <c r="G180">
        <v>2</v>
      </c>
      <c r="H180" s="1">
        <v>4.34</v>
      </c>
      <c r="I180" s="1" t="s">
        <v>173</v>
      </c>
      <c r="J180" s="1" t="s">
        <v>174</v>
      </c>
      <c r="K180" s="1" t="s">
        <v>175</v>
      </c>
      <c r="L180" s="1" t="s">
        <v>176</v>
      </c>
      <c r="M180" s="1" t="s">
        <v>177</v>
      </c>
      <c r="N180" s="1" t="s">
        <v>137</v>
      </c>
      <c r="O1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1" spans="1:15" x14ac:dyDescent="0.25">
      <c r="A181">
        <v>10433</v>
      </c>
      <c r="B181" s="1" t="s">
        <v>321</v>
      </c>
      <c r="C181">
        <v>3</v>
      </c>
      <c r="D181" s="5">
        <v>35464</v>
      </c>
      <c r="E181" s="5">
        <v>35492</v>
      </c>
      <c r="F181" s="5">
        <v>35493</v>
      </c>
      <c r="G181">
        <v>3</v>
      </c>
      <c r="H181" s="1">
        <v>73.83</v>
      </c>
      <c r="I181" s="1" t="s">
        <v>322</v>
      </c>
      <c r="J181" s="1" t="s">
        <v>323</v>
      </c>
      <c r="K181" s="1" t="s">
        <v>306</v>
      </c>
      <c r="L181" s="1" t="s">
        <v>59</v>
      </c>
      <c r="M181" s="1" t="s">
        <v>324</v>
      </c>
      <c r="N181" s="1" t="s">
        <v>308</v>
      </c>
      <c r="O181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182" spans="1:15" x14ac:dyDescent="0.25">
      <c r="A182">
        <v>10434</v>
      </c>
      <c r="B182" s="1" t="s">
        <v>138</v>
      </c>
      <c r="C182">
        <v>3</v>
      </c>
      <c r="D182" s="5">
        <v>35464</v>
      </c>
      <c r="E182" s="5">
        <v>35492</v>
      </c>
      <c r="F182" s="5">
        <v>35474</v>
      </c>
      <c r="G182">
        <v>2</v>
      </c>
      <c r="H182" s="1">
        <v>17.920000000000002</v>
      </c>
      <c r="I182" s="1" t="s">
        <v>139</v>
      </c>
      <c r="J182" s="1" t="s">
        <v>140</v>
      </c>
      <c r="K182" s="1" t="s">
        <v>141</v>
      </c>
      <c r="L182" s="1" t="s">
        <v>59</v>
      </c>
      <c r="M182" s="1" t="s">
        <v>142</v>
      </c>
      <c r="N182" s="1" t="s">
        <v>143</v>
      </c>
      <c r="O1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3" spans="1:15" x14ac:dyDescent="0.25">
      <c r="A183">
        <v>10435</v>
      </c>
      <c r="B183" s="1" t="s">
        <v>432</v>
      </c>
      <c r="C183">
        <v>8</v>
      </c>
      <c r="D183" s="5">
        <v>35465</v>
      </c>
      <c r="E183" s="5">
        <v>35507</v>
      </c>
      <c r="F183" s="5">
        <v>35468</v>
      </c>
      <c r="G183">
        <v>2</v>
      </c>
      <c r="H183" s="1">
        <v>9.2100000000000009</v>
      </c>
      <c r="I183" s="1" t="s">
        <v>433</v>
      </c>
      <c r="J183" s="1" t="s">
        <v>434</v>
      </c>
      <c r="K183" s="1" t="s">
        <v>232</v>
      </c>
      <c r="L183" s="1" t="s">
        <v>59</v>
      </c>
      <c r="M183" s="1" t="s">
        <v>435</v>
      </c>
      <c r="N183" s="1" t="s">
        <v>234</v>
      </c>
      <c r="O1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4" spans="1:15" x14ac:dyDescent="0.25">
      <c r="A184">
        <v>10436</v>
      </c>
      <c r="B184" s="1" t="s">
        <v>144</v>
      </c>
      <c r="C184">
        <v>3</v>
      </c>
      <c r="D184" s="5">
        <v>35466</v>
      </c>
      <c r="E184" s="5">
        <v>35494</v>
      </c>
      <c r="F184" s="5">
        <v>35472</v>
      </c>
      <c r="G184">
        <v>2</v>
      </c>
      <c r="H184" s="1">
        <v>156.66</v>
      </c>
      <c r="I184" s="1" t="s">
        <v>145</v>
      </c>
      <c r="J184" s="1" t="s">
        <v>146</v>
      </c>
      <c r="K184" s="1" t="s">
        <v>147</v>
      </c>
      <c r="L184" s="1" t="s">
        <v>59</v>
      </c>
      <c r="M184" s="1" t="s">
        <v>148</v>
      </c>
      <c r="N184" s="1" t="s">
        <v>61</v>
      </c>
      <c r="O1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5" spans="1:15" x14ac:dyDescent="0.25">
      <c r="A185">
        <v>10437</v>
      </c>
      <c r="B185" s="1" t="s">
        <v>149</v>
      </c>
      <c r="C185">
        <v>8</v>
      </c>
      <c r="D185" s="5">
        <v>35466</v>
      </c>
      <c r="E185" s="5">
        <v>35494</v>
      </c>
      <c r="F185" s="5">
        <v>35473</v>
      </c>
      <c r="G185">
        <v>1</v>
      </c>
      <c r="H185" s="1">
        <v>19.97</v>
      </c>
      <c r="I185" s="1" t="s">
        <v>150</v>
      </c>
      <c r="J185" s="1" t="s">
        <v>151</v>
      </c>
      <c r="K185" s="1" t="s">
        <v>152</v>
      </c>
      <c r="L185" s="1" t="s">
        <v>59</v>
      </c>
      <c r="M185" s="1" t="s">
        <v>153</v>
      </c>
      <c r="N185" s="1" t="s">
        <v>154</v>
      </c>
      <c r="O1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6" spans="1:15" x14ac:dyDescent="0.25">
      <c r="A186">
        <v>10438</v>
      </c>
      <c r="B186" s="1" t="s">
        <v>62</v>
      </c>
      <c r="C186">
        <v>3</v>
      </c>
      <c r="D186" s="5">
        <v>35467</v>
      </c>
      <c r="E186" s="5">
        <v>35495</v>
      </c>
      <c r="F186" s="5">
        <v>35475</v>
      </c>
      <c r="G186">
        <v>2</v>
      </c>
      <c r="H186" s="1">
        <v>8.24</v>
      </c>
      <c r="I186" s="1" t="s">
        <v>63</v>
      </c>
      <c r="J186" s="1" t="s">
        <v>64</v>
      </c>
      <c r="K186" s="1" t="s">
        <v>65</v>
      </c>
      <c r="L186" s="1" t="s">
        <v>59</v>
      </c>
      <c r="M186" s="1" t="s">
        <v>66</v>
      </c>
      <c r="N186" s="1" t="s">
        <v>67</v>
      </c>
      <c r="O1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7" spans="1:15" x14ac:dyDescent="0.25">
      <c r="A187">
        <v>10439</v>
      </c>
      <c r="B187" s="1" t="s">
        <v>314</v>
      </c>
      <c r="C187">
        <v>6</v>
      </c>
      <c r="D187" s="5">
        <v>35468</v>
      </c>
      <c r="E187" s="5">
        <v>35496</v>
      </c>
      <c r="F187" s="5">
        <v>35471</v>
      </c>
      <c r="G187">
        <v>3</v>
      </c>
      <c r="H187" s="1">
        <v>4.07</v>
      </c>
      <c r="I187" s="1" t="s">
        <v>315</v>
      </c>
      <c r="J187" s="1" t="s">
        <v>316</v>
      </c>
      <c r="K187" s="1" t="s">
        <v>317</v>
      </c>
      <c r="L187" s="1" t="s">
        <v>318</v>
      </c>
      <c r="M187" s="1" t="s">
        <v>319</v>
      </c>
      <c r="N187" s="1" t="s">
        <v>320</v>
      </c>
      <c r="O1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8" spans="1:15" x14ac:dyDescent="0.25">
      <c r="A188">
        <v>10440</v>
      </c>
      <c r="B188" s="1" t="s">
        <v>293</v>
      </c>
      <c r="C188">
        <v>4</v>
      </c>
      <c r="D188" s="5">
        <v>35471</v>
      </c>
      <c r="E188" s="5">
        <v>35499</v>
      </c>
      <c r="F188" s="5">
        <v>35489</v>
      </c>
      <c r="G188">
        <v>2</v>
      </c>
      <c r="H188" s="1">
        <v>86.53</v>
      </c>
      <c r="I188" s="1" t="s">
        <v>294</v>
      </c>
      <c r="J188" s="1" t="s">
        <v>295</v>
      </c>
      <c r="K188" s="1" t="s">
        <v>296</v>
      </c>
      <c r="L188" s="1" t="s">
        <v>297</v>
      </c>
      <c r="M188" s="1" t="s">
        <v>298</v>
      </c>
      <c r="N188" s="1" t="s">
        <v>137</v>
      </c>
      <c r="O1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89" spans="1:15" x14ac:dyDescent="0.25">
      <c r="A189">
        <v>10441</v>
      </c>
      <c r="B189" s="1" t="s">
        <v>254</v>
      </c>
      <c r="C189">
        <v>3</v>
      </c>
      <c r="D189" s="5">
        <v>35471</v>
      </c>
      <c r="E189" s="5">
        <v>35513</v>
      </c>
      <c r="F189" s="5">
        <v>35503</v>
      </c>
      <c r="G189">
        <v>2</v>
      </c>
      <c r="H189" s="1">
        <v>73.02</v>
      </c>
      <c r="I189" s="1" t="s">
        <v>255</v>
      </c>
      <c r="J189" s="1" t="s">
        <v>256</v>
      </c>
      <c r="K189" s="1" t="s">
        <v>257</v>
      </c>
      <c r="L189" s="1" t="s">
        <v>258</v>
      </c>
      <c r="M189" s="1" t="s">
        <v>259</v>
      </c>
      <c r="N189" s="1" t="s">
        <v>137</v>
      </c>
      <c r="O1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0" spans="1:15" x14ac:dyDescent="0.25">
      <c r="A190">
        <v>10442</v>
      </c>
      <c r="B190" s="1" t="s">
        <v>110</v>
      </c>
      <c r="C190">
        <v>3</v>
      </c>
      <c r="D190" s="5">
        <v>35472</v>
      </c>
      <c r="E190" s="5">
        <v>35500</v>
      </c>
      <c r="F190" s="5">
        <v>35479</v>
      </c>
      <c r="G190">
        <v>2</v>
      </c>
      <c r="H190" s="1">
        <v>47.94</v>
      </c>
      <c r="I190" s="1" t="s">
        <v>111</v>
      </c>
      <c r="J190" s="1" t="s">
        <v>112</v>
      </c>
      <c r="K190" s="1" t="s">
        <v>113</v>
      </c>
      <c r="L190" s="1" t="s">
        <v>59</v>
      </c>
      <c r="M190" s="1" t="s">
        <v>114</v>
      </c>
      <c r="N190" s="1" t="s">
        <v>115</v>
      </c>
      <c r="O1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1" spans="1:15" x14ac:dyDescent="0.25">
      <c r="A191">
        <v>10443</v>
      </c>
      <c r="B191" s="1" t="s">
        <v>224</v>
      </c>
      <c r="C191">
        <v>8</v>
      </c>
      <c r="D191" s="5">
        <v>35473</v>
      </c>
      <c r="E191" s="5">
        <v>35501</v>
      </c>
      <c r="F191" s="5">
        <v>35475</v>
      </c>
      <c r="G191">
        <v>1</v>
      </c>
      <c r="H191" s="1">
        <v>13.95</v>
      </c>
      <c r="I191" s="1" t="s">
        <v>225</v>
      </c>
      <c r="J191" s="1" t="s">
        <v>226</v>
      </c>
      <c r="K191" s="1" t="s">
        <v>227</v>
      </c>
      <c r="L191" s="1" t="s">
        <v>59</v>
      </c>
      <c r="M191" s="1" t="s">
        <v>228</v>
      </c>
      <c r="N191" s="1" t="s">
        <v>188</v>
      </c>
      <c r="O1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2" spans="1:15" x14ac:dyDescent="0.25">
      <c r="A192">
        <v>10444</v>
      </c>
      <c r="B192" s="1" t="s">
        <v>198</v>
      </c>
      <c r="C192">
        <v>3</v>
      </c>
      <c r="D192" s="5">
        <v>35473</v>
      </c>
      <c r="E192" s="5">
        <v>35501</v>
      </c>
      <c r="F192" s="5">
        <v>35482</v>
      </c>
      <c r="G192">
        <v>3</v>
      </c>
      <c r="H192" s="1">
        <v>3.5</v>
      </c>
      <c r="I192" s="1" t="s">
        <v>199</v>
      </c>
      <c r="J192" s="1" t="s">
        <v>200</v>
      </c>
      <c r="K192" s="1" t="s">
        <v>201</v>
      </c>
      <c r="L192" s="1" t="s">
        <v>59</v>
      </c>
      <c r="M192" s="1" t="s">
        <v>202</v>
      </c>
      <c r="N192" s="1" t="s">
        <v>143</v>
      </c>
      <c r="O1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3" spans="1:15" x14ac:dyDescent="0.25">
      <c r="A193">
        <v>10445</v>
      </c>
      <c r="B193" s="1" t="s">
        <v>198</v>
      </c>
      <c r="C193">
        <v>3</v>
      </c>
      <c r="D193" s="5">
        <v>35474</v>
      </c>
      <c r="E193" s="5">
        <v>35502</v>
      </c>
      <c r="F193" s="5">
        <v>35481</v>
      </c>
      <c r="G193">
        <v>1</v>
      </c>
      <c r="H193" s="1">
        <v>9.3000000000000007</v>
      </c>
      <c r="I193" s="1" t="s">
        <v>199</v>
      </c>
      <c r="J193" s="1" t="s">
        <v>200</v>
      </c>
      <c r="K193" s="1" t="s">
        <v>201</v>
      </c>
      <c r="L193" s="1" t="s">
        <v>59</v>
      </c>
      <c r="M193" s="1" t="s">
        <v>202</v>
      </c>
      <c r="N193" s="1" t="s">
        <v>143</v>
      </c>
      <c r="O1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4" spans="1:15" x14ac:dyDescent="0.25">
      <c r="A194">
        <v>10446</v>
      </c>
      <c r="B194" s="1" t="s">
        <v>62</v>
      </c>
      <c r="C194">
        <v>6</v>
      </c>
      <c r="D194" s="5">
        <v>35475</v>
      </c>
      <c r="E194" s="5">
        <v>35503</v>
      </c>
      <c r="F194" s="5">
        <v>35480</v>
      </c>
      <c r="G194">
        <v>1</v>
      </c>
      <c r="H194" s="1">
        <v>14.68</v>
      </c>
      <c r="I194" s="1" t="s">
        <v>63</v>
      </c>
      <c r="J194" s="1" t="s">
        <v>64</v>
      </c>
      <c r="K194" s="1" t="s">
        <v>65</v>
      </c>
      <c r="L194" s="1" t="s">
        <v>59</v>
      </c>
      <c r="M194" s="1" t="s">
        <v>66</v>
      </c>
      <c r="N194" s="1" t="s">
        <v>67</v>
      </c>
      <c r="O1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5" spans="1:15" x14ac:dyDescent="0.25">
      <c r="A195">
        <v>10447</v>
      </c>
      <c r="B195" s="1" t="s">
        <v>220</v>
      </c>
      <c r="C195">
        <v>4</v>
      </c>
      <c r="D195" s="5">
        <v>35475</v>
      </c>
      <c r="E195" s="5">
        <v>35503</v>
      </c>
      <c r="F195" s="5">
        <v>35496</v>
      </c>
      <c r="G195">
        <v>2</v>
      </c>
      <c r="H195" s="1">
        <v>68.66</v>
      </c>
      <c r="I195" s="1" t="s">
        <v>221</v>
      </c>
      <c r="J195" s="1" t="s">
        <v>222</v>
      </c>
      <c r="K195" s="1" t="s">
        <v>71</v>
      </c>
      <c r="L195" s="1" t="s">
        <v>72</v>
      </c>
      <c r="M195" s="1" t="s">
        <v>223</v>
      </c>
      <c r="N195" s="1" t="s">
        <v>74</v>
      </c>
      <c r="O1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6" spans="1:15" x14ac:dyDescent="0.25">
      <c r="A196">
        <v>10448</v>
      </c>
      <c r="B196" s="1" t="s">
        <v>436</v>
      </c>
      <c r="C196">
        <v>4</v>
      </c>
      <c r="D196" s="5">
        <v>35478</v>
      </c>
      <c r="E196" s="5">
        <v>35506</v>
      </c>
      <c r="F196" s="5">
        <v>35485</v>
      </c>
      <c r="G196">
        <v>2</v>
      </c>
      <c r="H196" s="1">
        <v>38.82</v>
      </c>
      <c r="I196" s="1" t="s">
        <v>437</v>
      </c>
      <c r="J196" s="1" t="s">
        <v>438</v>
      </c>
      <c r="K196" s="1" t="s">
        <v>419</v>
      </c>
      <c r="L196" s="1" t="s">
        <v>59</v>
      </c>
      <c r="M196" s="1" t="s">
        <v>420</v>
      </c>
      <c r="N196" s="1" t="s">
        <v>421</v>
      </c>
      <c r="O1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7" spans="1:15" x14ac:dyDescent="0.25">
      <c r="A197">
        <v>10449</v>
      </c>
      <c r="B197" s="1" t="s">
        <v>144</v>
      </c>
      <c r="C197">
        <v>3</v>
      </c>
      <c r="D197" s="5">
        <v>35479</v>
      </c>
      <c r="E197" s="5">
        <v>35507</v>
      </c>
      <c r="F197" s="5">
        <v>35488</v>
      </c>
      <c r="G197">
        <v>2</v>
      </c>
      <c r="H197" s="1">
        <v>53.3</v>
      </c>
      <c r="I197" s="1" t="s">
        <v>145</v>
      </c>
      <c r="J197" s="1" t="s">
        <v>146</v>
      </c>
      <c r="K197" s="1" t="s">
        <v>147</v>
      </c>
      <c r="L197" s="1" t="s">
        <v>59</v>
      </c>
      <c r="M197" s="1" t="s">
        <v>148</v>
      </c>
      <c r="N197" s="1" t="s">
        <v>61</v>
      </c>
      <c r="O19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8" spans="1:15" x14ac:dyDescent="0.25">
      <c r="A198">
        <v>10450</v>
      </c>
      <c r="B198" s="1" t="s">
        <v>75</v>
      </c>
      <c r="C198">
        <v>8</v>
      </c>
      <c r="D198" s="5">
        <v>35480</v>
      </c>
      <c r="E198" s="5">
        <v>35508</v>
      </c>
      <c r="F198" s="5">
        <v>35500</v>
      </c>
      <c r="G198">
        <v>2</v>
      </c>
      <c r="H198" s="1">
        <v>7.23</v>
      </c>
      <c r="I198" s="1" t="s">
        <v>76</v>
      </c>
      <c r="J198" s="1" t="s">
        <v>77</v>
      </c>
      <c r="K198" s="1" t="s">
        <v>78</v>
      </c>
      <c r="L198" s="1" t="s">
        <v>59</v>
      </c>
      <c r="M198" s="1" t="s">
        <v>79</v>
      </c>
      <c r="N198" s="1" t="s">
        <v>61</v>
      </c>
      <c r="O1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199" spans="1:15" x14ac:dyDescent="0.25">
      <c r="A199">
        <v>10451</v>
      </c>
      <c r="B199" s="1" t="s">
        <v>178</v>
      </c>
      <c r="C199">
        <v>4</v>
      </c>
      <c r="D199" s="5">
        <v>35480</v>
      </c>
      <c r="E199" s="5">
        <v>35494</v>
      </c>
      <c r="F199" s="5">
        <v>35501</v>
      </c>
      <c r="G199">
        <v>3</v>
      </c>
      <c r="H199" s="1">
        <v>189.09</v>
      </c>
      <c r="I199" s="1" t="s">
        <v>179</v>
      </c>
      <c r="J199" s="1" t="s">
        <v>180</v>
      </c>
      <c r="K199" s="1" t="s">
        <v>181</v>
      </c>
      <c r="L199" s="1" t="s">
        <v>59</v>
      </c>
      <c r="M199" s="1" t="s">
        <v>182</v>
      </c>
      <c r="N199" s="1" t="s">
        <v>67</v>
      </c>
      <c r="O199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200" spans="1:15" x14ac:dyDescent="0.25">
      <c r="A200">
        <v>10452</v>
      </c>
      <c r="B200" s="1" t="s">
        <v>293</v>
      </c>
      <c r="C200">
        <v>8</v>
      </c>
      <c r="D200" s="5">
        <v>35481</v>
      </c>
      <c r="E200" s="5">
        <v>35509</v>
      </c>
      <c r="F200" s="5">
        <v>35487</v>
      </c>
      <c r="G200">
        <v>1</v>
      </c>
      <c r="H200" s="1">
        <v>140.26</v>
      </c>
      <c r="I200" s="1" t="s">
        <v>294</v>
      </c>
      <c r="J200" s="1" t="s">
        <v>295</v>
      </c>
      <c r="K200" s="1" t="s">
        <v>296</v>
      </c>
      <c r="L200" s="1" t="s">
        <v>297</v>
      </c>
      <c r="M200" s="1" t="s">
        <v>298</v>
      </c>
      <c r="N200" s="1" t="s">
        <v>137</v>
      </c>
      <c r="O2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1" spans="1:15" x14ac:dyDescent="0.25">
      <c r="A201">
        <v>10453</v>
      </c>
      <c r="B201" s="1" t="s">
        <v>345</v>
      </c>
      <c r="C201">
        <v>1</v>
      </c>
      <c r="D201" s="5">
        <v>35482</v>
      </c>
      <c r="E201" s="5">
        <v>35510</v>
      </c>
      <c r="F201" s="5">
        <v>35487</v>
      </c>
      <c r="G201">
        <v>2</v>
      </c>
      <c r="H201" s="1">
        <v>25.36</v>
      </c>
      <c r="I201" s="1" t="s">
        <v>346</v>
      </c>
      <c r="J201" s="1" t="s">
        <v>347</v>
      </c>
      <c r="K201" s="1" t="s">
        <v>348</v>
      </c>
      <c r="L201" s="1" t="s">
        <v>349</v>
      </c>
      <c r="M201" s="1" t="s">
        <v>350</v>
      </c>
      <c r="N201" s="1" t="s">
        <v>234</v>
      </c>
      <c r="O2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2" spans="1:15" x14ac:dyDescent="0.25">
      <c r="A202">
        <v>10454</v>
      </c>
      <c r="B202" s="1" t="s">
        <v>335</v>
      </c>
      <c r="C202">
        <v>4</v>
      </c>
      <c r="D202" s="5">
        <v>35482</v>
      </c>
      <c r="E202" s="5">
        <v>35510</v>
      </c>
      <c r="F202" s="5">
        <v>35486</v>
      </c>
      <c r="G202">
        <v>3</v>
      </c>
      <c r="H202" s="1">
        <v>2.74</v>
      </c>
      <c r="I202" s="1" t="s">
        <v>336</v>
      </c>
      <c r="J202" s="1" t="s">
        <v>337</v>
      </c>
      <c r="K202" s="1" t="s">
        <v>338</v>
      </c>
      <c r="L202" s="1" t="s">
        <v>59</v>
      </c>
      <c r="M202" s="1" t="s">
        <v>339</v>
      </c>
      <c r="N202" s="1" t="s">
        <v>61</v>
      </c>
      <c r="O2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3" spans="1:15" x14ac:dyDescent="0.25">
      <c r="A203">
        <v>10455</v>
      </c>
      <c r="B203" s="1" t="s">
        <v>149</v>
      </c>
      <c r="C203">
        <v>8</v>
      </c>
      <c r="D203" s="5">
        <v>35485</v>
      </c>
      <c r="E203" s="5">
        <v>35527</v>
      </c>
      <c r="F203" s="5">
        <v>35492</v>
      </c>
      <c r="G203">
        <v>2</v>
      </c>
      <c r="H203" s="1">
        <v>180.45</v>
      </c>
      <c r="I203" s="1" t="s">
        <v>150</v>
      </c>
      <c r="J203" s="1" t="s">
        <v>151</v>
      </c>
      <c r="K203" s="1" t="s">
        <v>152</v>
      </c>
      <c r="L203" s="1" t="s">
        <v>59</v>
      </c>
      <c r="M203" s="1" t="s">
        <v>153</v>
      </c>
      <c r="N203" s="1" t="s">
        <v>154</v>
      </c>
      <c r="O2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4" spans="1:15" x14ac:dyDescent="0.25">
      <c r="A204">
        <v>10456</v>
      </c>
      <c r="B204" s="1" t="s">
        <v>288</v>
      </c>
      <c r="C204">
        <v>8</v>
      </c>
      <c r="D204" s="5">
        <v>35486</v>
      </c>
      <c r="E204" s="5">
        <v>35528</v>
      </c>
      <c r="F204" s="5">
        <v>35489</v>
      </c>
      <c r="G204">
        <v>2</v>
      </c>
      <c r="H204" s="1">
        <v>8.1199999999999992</v>
      </c>
      <c r="I204" s="1" t="s">
        <v>289</v>
      </c>
      <c r="J204" s="1" t="s">
        <v>290</v>
      </c>
      <c r="K204" s="1" t="s">
        <v>291</v>
      </c>
      <c r="L204" s="1" t="s">
        <v>59</v>
      </c>
      <c r="M204" s="1" t="s">
        <v>292</v>
      </c>
      <c r="N204" s="1" t="s">
        <v>67</v>
      </c>
      <c r="O20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5" spans="1:15" x14ac:dyDescent="0.25">
      <c r="A205">
        <v>10457</v>
      </c>
      <c r="B205" s="1" t="s">
        <v>288</v>
      </c>
      <c r="C205">
        <v>2</v>
      </c>
      <c r="D205" s="5">
        <v>35486</v>
      </c>
      <c r="E205" s="5">
        <v>35514</v>
      </c>
      <c r="F205" s="5">
        <v>35492</v>
      </c>
      <c r="G205">
        <v>1</v>
      </c>
      <c r="H205" s="1">
        <v>11.57</v>
      </c>
      <c r="I205" s="1" t="s">
        <v>289</v>
      </c>
      <c r="J205" s="1" t="s">
        <v>290</v>
      </c>
      <c r="K205" s="1" t="s">
        <v>291</v>
      </c>
      <c r="L205" s="1" t="s">
        <v>59</v>
      </c>
      <c r="M205" s="1" t="s">
        <v>292</v>
      </c>
      <c r="N205" s="1" t="s">
        <v>67</v>
      </c>
      <c r="O2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6" spans="1:15" x14ac:dyDescent="0.25">
      <c r="A206">
        <v>10458</v>
      </c>
      <c r="B206" s="1" t="s">
        <v>80</v>
      </c>
      <c r="C206">
        <v>7</v>
      </c>
      <c r="D206" s="5">
        <v>35487</v>
      </c>
      <c r="E206" s="5">
        <v>35515</v>
      </c>
      <c r="F206" s="5">
        <v>35493</v>
      </c>
      <c r="G206">
        <v>3</v>
      </c>
      <c r="H206" s="1">
        <v>147.06</v>
      </c>
      <c r="I206" s="1" t="s">
        <v>81</v>
      </c>
      <c r="J206" s="1" t="s">
        <v>82</v>
      </c>
      <c r="K206" s="1" t="s">
        <v>83</v>
      </c>
      <c r="L206" s="1" t="s">
        <v>59</v>
      </c>
      <c r="M206" s="1" t="s">
        <v>84</v>
      </c>
      <c r="N206" s="1" t="s">
        <v>85</v>
      </c>
      <c r="O20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7" spans="1:15" x14ac:dyDescent="0.25">
      <c r="A207">
        <v>10459</v>
      </c>
      <c r="B207" s="1" t="s">
        <v>75</v>
      </c>
      <c r="C207">
        <v>4</v>
      </c>
      <c r="D207" s="5">
        <v>35488</v>
      </c>
      <c r="E207" s="5">
        <v>35516</v>
      </c>
      <c r="F207" s="5">
        <v>35489</v>
      </c>
      <c r="G207">
        <v>2</v>
      </c>
      <c r="H207" s="1">
        <v>25.09</v>
      </c>
      <c r="I207" s="1" t="s">
        <v>76</v>
      </c>
      <c r="J207" s="1" t="s">
        <v>77</v>
      </c>
      <c r="K207" s="1" t="s">
        <v>78</v>
      </c>
      <c r="L207" s="1" t="s">
        <v>59</v>
      </c>
      <c r="M207" s="1" t="s">
        <v>79</v>
      </c>
      <c r="N207" s="1" t="s">
        <v>61</v>
      </c>
      <c r="O20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8" spans="1:15" x14ac:dyDescent="0.25">
      <c r="A208">
        <v>10460</v>
      </c>
      <c r="B208" s="1" t="s">
        <v>138</v>
      </c>
      <c r="C208">
        <v>8</v>
      </c>
      <c r="D208" s="5">
        <v>35489</v>
      </c>
      <c r="E208" s="5">
        <v>35517</v>
      </c>
      <c r="F208" s="5">
        <v>35492</v>
      </c>
      <c r="G208">
        <v>1</v>
      </c>
      <c r="H208" s="1">
        <v>16.27</v>
      </c>
      <c r="I208" s="1" t="s">
        <v>139</v>
      </c>
      <c r="J208" s="1" t="s">
        <v>140</v>
      </c>
      <c r="K208" s="1" t="s">
        <v>141</v>
      </c>
      <c r="L208" s="1" t="s">
        <v>59</v>
      </c>
      <c r="M208" s="1" t="s">
        <v>142</v>
      </c>
      <c r="N208" s="1" t="s">
        <v>143</v>
      </c>
      <c r="O2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09" spans="1:15" x14ac:dyDescent="0.25">
      <c r="A209">
        <v>10461</v>
      </c>
      <c r="B209" s="1" t="s">
        <v>214</v>
      </c>
      <c r="C209">
        <v>1</v>
      </c>
      <c r="D209" s="5">
        <v>35489</v>
      </c>
      <c r="E209" s="5">
        <v>35517</v>
      </c>
      <c r="F209" s="5">
        <v>35494</v>
      </c>
      <c r="G209">
        <v>3</v>
      </c>
      <c r="H209" s="1">
        <v>148.61000000000001</v>
      </c>
      <c r="I209" s="1" t="s">
        <v>215</v>
      </c>
      <c r="J209" s="1" t="s">
        <v>216</v>
      </c>
      <c r="K209" s="1" t="s">
        <v>217</v>
      </c>
      <c r="L209" s="1" t="s">
        <v>218</v>
      </c>
      <c r="M209" s="1" t="s">
        <v>219</v>
      </c>
      <c r="N209" s="1" t="s">
        <v>109</v>
      </c>
      <c r="O2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0" spans="1:15" x14ac:dyDescent="0.25">
      <c r="A210">
        <v>10462</v>
      </c>
      <c r="B210" s="1" t="s">
        <v>432</v>
      </c>
      <c r="C210">
        <v>2</v>
      </c>
      <c r="D210" s="5">
        <v>35492</v>
      </c>
      <c r="E210" s="5">
        <v>35520</v>
      </c>
      <c r="F210" s="5">
        <v>35507</v>
      </c>
      <c r="G210">
        <v>1</v>
      </c>
      <c r="H210" s="1">
        <v>6.17</v>
      </c>
      <c r="I210" s="1" t="s">
        <v>433</v>
      </c>
      <c r="J210" s="1" t="s">
        <v>434</v>
      </c>
      <c r="K210" s="1" t="s">
        <v>232</v>
      </c>
      <c r="L210" s="1" t="s">
        <v>59</v>
      </c>
      <c r="M210" s="1" t="s">
        <v>435</v>
      </c>
      <c r="N210" s="1" t="s">
        <v>234</v>
      </c>
      <c r="O2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1" spans="1:15" x14ac:dyDescent="0.25">
      <c r="A211">
        <v>10463</v>
      </c>
      <c r="B211" s="1" t="s">
        <v>80</v>
      </c>
      <c r="C211">
        <v>5</v>
      </c>
      <c r="D211" s="5">
        <v>35493</v>
      </c>
      <c r="E211" s="5">
        <v>35521</v>
      </c>
      <c r="F211" s="5">
        <v>35495</v>
      </c>
      <c r="G211">
        <v>3</v>
      </c>
      <c r="H211" s="1">
        <v>14.78</v>
      </c>
      <c r="I211" s="1" t="s">
        <v>81</v>
      </c>
      <c r="J211" s="1" t="s">
        <v>82</v>
      </c>
      <c r="K211" s="1" t="s">
        <v>83</v>
      </c>
      <c r="L211" s="1" t="s">
        <v>59</v>
      </c>
      <c r="M211" s="1" t="s">
        <v>84</v>
      </c>
      <c r="N211" s="1" t="s">
        <v>85</v>
      </c>
      <c r="O2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2" spans="1:15" x14ac:dyDescent="0.25">
      <c r="A212">
        <v>10464</v>
      </c>
      <c r="B212" s="1" t="s">
        <v>303</v>
      </c>
      <c r="C212">
        <v>4</v>
      </c>
      <c r="D212" s="5">
        <v>35493</v>
      </c>
      <c r="E212" s="5">
        <v>35521</v>
      </c>
      <c r="F212" s="5">
        <v>35503</v>
      </c>
      <c r="G212">
        <v>2</v>
      </c>
      <c r="H212" s="1" t="s">
        <v>439</v>
      </c>
      <c r="I212" s="1" t="s">
        <v>304</v>
      </c>
      <c r="J212" s="1" t="s">
        <v>305</v>
      </c>
      <c r="K212" s="1" t="s">
        <v>306</v>
      </c>
      <c r="L212" s="1" t="s">
        <v>59</v>
      </c>
      <c r="M212" s="1" t="s">
        <v>307</v>
      </c>
      <c r="N212" s="1" t="s">
        <v>308</v>
      </c>
      <c r="O2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3" spans="1:15" x14ac:dyDescent="0.25">
      <c r="A213">
        <v>10465</v>
      </c>
      <c r="B213" s="1" t="s">
        <v>373</v>
      </c>
      <c r="C213">
        <v>1</v>
      </c>
      <c r="D213" s="5">
        <v>35494</v>
      </c>
      <c r="E213" s="5">
        <v>35522</v>
      </c>
      <c r="F213" s="5">
        <v>35503</v>
      </c>
      <c r="G213">
        <v>3</v>
      </c>
      <c r="H213" s="1">
        <v>145.04</v>
      </c>
      <c r="I213" s="1" t="s">
        <v>374</v>
      </c>
      <c r="J213" s="1" t="s">
        <v>375</v>
      </c>
      <c r="K213" s="1" t="s">
        <v>376</v>
      </c>
      <c r="L213" s="1" t="s">
        <v>59</v>
      </c>
      <c r="M213" s="1" t="s">
        <v>377</v>
      </c>
      <c r="N213" s="1" t="s">
        <v>330</v>
      </c>
      <c r="O2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4" spans="1:15" x14ac:dyDescent="0.25">
      <c r="A214">
        <v>10466</v>
      </c>
      <c r="B214" s="1" t="s">
        <v>235</v>
      </c>
      <c r="C214">
        <v>4</v>
      </c>
      <c r="D214" s="5">
        <v>35495</v>
      </c>
      <c r="E214" s="5">
        <v>35523</v>
      </c>
      <c r="F214" s="5">
        <v>35502</v>
      </c>
      <c r="G214">
        <v>1</v>
      </c>
      <c r="H214" s="1">
        <v>11.93</v>
      </c>
      <c r="I214" s="1" t="s">
        <v>236</v>
      </c>
      <c r="J214" s="1" t="s">
        <v>237</v>
      </c>
      <c r="K214" s="1" t="s">
        <v>238</v>
      </c>
      <c r="L214" s="1" t="s">
        <v>101</v>
      </c>
      <c r="M214" s="1" t="s">
        <v>239</v>
      </c>
      <c r="N214" s="1" t="s">
        <v>74</v>
      </c>
      <c r="O2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5" spans="1:15" x14ac:dyDescent="0.25">
      <c r="A215">
        <v>10467</v>
      </c>
      <c r="B215" s="1" t="s">
        <v>183</v>
      </c>
      <c r="C215">
        <v>8</v>
      </c>
      <c r="D215" s="5">
        <v>35495</v>
      </c>
      <c r="E215" s="5">
        <v>35523</v>
      </c>
      <c r="F215" s="5">
        <v>35500</v>
      </c>
      <c r="G215">
        <v>2</v>
      </c>
      <c r="H215" s="1">
        <v>4.93</v>
      </c>
      <c r="I215" s="1" t="s">
        <v>184</v>
      </c>
      <c r="J215" s="1" t="s">
        <v>185</v>
      </c>
      <c r="K215" s="1" t="s">
        <v>186</v>
      </c>
      <c r="L215" s="1" t="s">
        <v>59</v>
      </c>
      <c r="M215" s="1" t="s">
        <v>187</v>
      </c>
      <c r="N215" s="1" t="s">
        <v>188</v>
      </c>
      <c r="O2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6" spans="1:15" x14ac:dyDescent="0.25">
      <c r="A216">
        <v>10468</v>
      </c>
      <c r="B216" s="1" t="s">
        <v>288</v>
      </c>
      <c r="C216">
        <v>3</v>
      </c>
      <c r="D216" s="5">
        <v>35496</v>
      </c>
      <c r="E216" s="5">
        <v>35524</v>
      </c>
      <c r="F216" s="5">
        <v>35501</v>
      </c>
      <c r="G216">
        <v>3</v>
      </c>
      <c r="H216" s="1">
        <v>44.12</v>
      </c>
      <c r="I216" s="1" t="s">
        <v>289</v>
      </c>
      <c r="J216" s="1" t="s">
        <v>290</v>
      </c>
      <c r="K216" s="1" t="s">
        <v>291</v>
      </c>
      <c r="L216" s="1" t="s">
        <v>59</v>
      </c>
      <c r="M216" s="1" t="s">
        <v>292</v>
      </c>
      <c r="N216" s="1" t="s">
        <v>67</v>
      </c>
      <c r="O2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7" spans="1:15" x14ac:dyDescent="0.25">
      <c r="A217">
        <v>10469</v>
      </c>
      <c r="B217" s="1" t="s">
        <v>166</v>
      </c>
      <c r="C217">
        <v>1</v>
      </c>
      <c r="D217" s="5">
        <v>35499</v>
      </c>
      <c r="E217" s="5">
        <v>35527</v>
      </c>
      <c r="F217" s="5">
        <v>35503</v>
      </c>
      <c r="G217">
        <v>1</v>
      </c>
      <c r="H217" s="1">
        <v>60.18</v>
      </c>
      <c r="I217" s="1" t="s">
        <v>167</v>
      </c>
      <c r="J217" s="1" t="s">
        <v>168</v>
      </c>
      <c r="K217" s="1" t="s">
        <v>169</v>
      </c>
      <c r="L217" s="1" t="s">
        <v>170</v>
      </c>
      <c r="M217" s="1" t="s">
        <v>171</v>
      </c>
      <c r="N217" s="1" t="s">
        <v>137</v>
      </c>
      <c r="O2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8" spans="1:15" x14ac:dyDescent="0.25">
      <c r="A218">
        <v>10470</v>
      </c>
      <c r="B218" s="1" t="s">
        <v>309</v>
      </c>
      <c r="C218">
        <v>4</v>
      </c>
      <c r="D218" s="5">
        <v>35500</v>
      </c>
      <c r="E218" s="5">
        <v>35528</v>
      </c>
      <c r="F218" s="5">
        <v>35503</v>
      </c>
      <c r="G218">
        <v>2</v>
      </c>
      <c r="H218" s="1">
        <v>64.56</v>
      </c>
      <c r="I218" s="1" t="s">
        <v>310</v>
      </c>
      <c r="J218" s="1" t="s">
        <v>311</v>
      </c>
      <c r="K218" s="1" t="s">
        <v>312</v>
      </c>
      <c r="L218" s="1" t="s">
        <v>59</v>
      </c>
      <c r="M218" s="1" t="s">
        <v>313</v>
      </c>
      <c r="N218" s="1" t="s">
        <v>61</v>
      </c>
      <c r="O21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19" spans="1:15" x14ac:dyDescent="0.25">
      <c r="A219">
        <v>10471</v>
      </c>
      <c r="B219" s="1" t="s">
        <v>229</v>
      </c>
      <c r="C219">
        <v>2</v>
      </c>
      <c r="D219" s="5">
        <v>35500</v>
      </c>
      <c r="E219" s="5">
        <v>35528</v>
      </c>
      <c r="F219" s="5">
        <v>35507</v>
      </c>
      <c r="G219">
        <v>3</v>
      </c>
      <c r="H219" s="1">
        <v>45.59</v>
      </c>
      <c r="I219" s="1" t="s">
        <v>230</v>
      </c>
      <c r="J219" s="1" t="s">
        <v>231</v>
      </c>
      <c r="K219" s="1" t="s">
        <v>232</v>
      </c>
      <c r="L219" s="1" t="s">
        <v>59</v>
      </c>
      <c r="M219" s="1" t="s">
        <v>233</v>
      </c>
      <c r="N219" s="1" t="s">
        <v>234</v>
      </c>
      <c r="O2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0" spans="1:15" x14ac:dyDescent="0.25">
      <c r="A220">
        <v>10472</v>
      </c>
      <c r="B220" s="1" t="s">
        <v>351</v>
      </c>
      <c r="C220">
        <v>8</v>
      </c>
      <c r="D220" s="5">
        <v>35501</v>
      </c>
      <c r="E220" s="5">
        <v>35529</v>
      </c>
      <c r="F220" s="5">
        <v>35508</v>
      </c>
      <c r="G220">
        <v>1</v>
      </c>
      <c r="H220" s="1">
        <v>4.2</v>
      </c>
      <c r="I220" s="1" t="s">
        <v>352</v>
      </c>
      <c r="J220" s="1" t="s">
        <v>353</v>
      </c>
      <c r="K220" s="1" t="s">
        <v>232</v>
      </c>
      <c r="L220" s="1" t="s">
        <v>59</v>
      </c>
      <c r="M220" s="1" t="s">
        <v>354</v>
      </c>
      <c r="N220" s="1" t="s">
        <v>234</v>
      </c>
      <c r="O2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1" spans="1:15" x14ac:dyDescent="0.25">
      <c r="A221">
        <v>10473</v>
      </c>
      <c r="B221" s="1" t="s">
        <v>279</v>
      </c>
      <c r="C221">
        <v>1</v>
      </c>
      <c r="D221" s="5">
        <v>35502</v>
      </c>
      <c r="E221" s="5">
        <v>35516</v>
      </c>
      <c r="F221" s="5">
        <v>35510</v>
      </c>
      <c r="G221">
        <v>3</v>
      </c>
      <c r="H221" s="1">
        <v>16.37</v>
      </c>
      <c r="I221" s="1" t="s">
        <v>280</v>
      </c>
      <c r="J221" s="1" t="s">
        <v>281</v>
      </c>
      <c r="K221" s="1" t="s">
        <v>282</v>
      </c>
      <c r="L221" s="1" t="s">
        <v>283</v>
      </c>
      <c r="M221" s="1" t="s">
        <v>284</v>
      </c>
      <c r="N221" s="1" t="s">
        <v>234</v>
      </c>
      <c r="O2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2" spans="1:15" x14ac:dyDescent="0.25">
      <c r="A222">
        <v>10474</v>
      </c>
      <c r="B222" s="1" t="s">
        <v>285</v>
      </c>
      <c r="C222">
        <v>5</v>
      </c>
      <c r="D222" s="5">
        <v>35502</v>
      </c>
      <c r="E222" s="5">
        <v>35530</v>
      </c>
      <c r="F222" s="5">
        <v>35510</v>
      </c>
      <c r="G222">
        <v>2</v>
      </c>
      <c r="H222" s="1">
        <v>83.49</v>
      </c>
      <c r="I222" s="1" t="s">
        <v>286</v>
      </c>
      <c r="J222" s="1" t="s">
        <v>287</v>
      </c>
      <c r="K222" s="1" t="s">
        <v>119</v>
      </c>
      <c r="L222" s="1" t="s">
        <v>59</v>
      </c>
      <c r="M222" s="1" t="s">
        <v>192</v>
      </c>
      <c r="N222" s="1" t="s">
        <v>121</v>
      </c>
      <c r="O2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3" spans="1:15" x14ac:dyDescent="0.25">
      <c r="A223">
        <v>10475</v>
      </c>
      <c r="B223" s="1" t="s">
        <v>80</v>
      </c>
      <c r="C223">
        <v>9</v>
      </c>
      <c r="D223" s="5">
        <v>35503</v>
      </c>
      <c r="E223" s="5">
        <v>35531</v>
      </c>
      <c r="F223" s="5">
        <v>35524</v>
      </c>
      <c r="G223">
        <v>1</v>
      </c>
      <c r="H223" s="1">
        <v>68.52</v>
      </c>
      <c r="I223" s="1" t="s">
        <v>81</v>
      </c>
      <c r="J223" s="1" t="s">
        <v>82</v>
      </c>
      <c r="K223" s="1" t="s">
        <v>83</v>
      </c>
      <c r="L223" s="1" t="s">
        <v>59</v>
      </c>
      <c r="M223" s="1" t="s">
        <v>84</v>
      </c>
      <c r="N223" s="1" t="s">
        <v>85</v>
      </c>
      <c r="O2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4" spans="1:15" x14ac:dyDescent="0.25">
      <c r="A224">
        <v>10476</v>
      </c>
      <c r="B224" s="1" t="s">
        <v>103</v>
      </c>
      <c r="C224">
        <v>8</v>
      </c>
      <c r="D224" s="5">
        <v>35506</v>
      </c>
      <c r="E224" s="5">
        <v>35534</v>
      </c>
      <c r="F224" s="5">
        <v>35513</v>
      </c>
      <c r="G224">
        <v>3</v>
      </c>
      <c r="H224" s="1">
        <v>4.41</v>
      </c>
      <c r="I224" s="1" t="s">
        <v>104</v>
      </c>
      <c r="J224" s="1" t="s">
        <v>105</v>
      </c>
      <c r="K224" s="1" t="s">
        <v>106</v>
      </c>
      <c r="L224" s="1" t="s">
        <v>107</v>
      </c>
      <c r="M224" s="1" t="s">
        <v>108</v>
      </c>
      <c r="N224" s="1" t="s">
        <v>109</v>
      </c>
      <c r="O2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5" spans="1:15" x14ac:dyDescent="0.25">
      <c r="A225">
        <v>10477</v>
      </c>
      <c r="B225" s="1" t="s">
        <v>321</v>
      </c>
      <c r="C225">
        <v>5</v>
      </c>
      <c r="D225" s="5">
        <v>35506</v>
      </c>
      <c r="E225" s="5">
        <v>35534</v>
      </c>
      <c r="F225" s="5">
        <v>35514</v>
      </c>
      <c r="G225">
        <v>2</v>
      </c>
      <c r="H225" s="1">
        <v>13.02</v>
      </c>
      <c r="I225" s="1" t="s">
        <v>322</v>
      </c>
      <c r="J225" s="1" t="s">
        <v>323</v>
      </c>
      <c r="K225" s="1" t="s">
        <v>306</v>
      </c>
      <c r="L225" s="1" t="s">
        <v>59</v>
      </c>
      <c r="M225" s="1" t="s">
        <v>324</v>
      </c>
      <c r="N225" s="1" t="s">
        <v>308</v>
      </c>
      <c r="O2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6" spans="1:15" x14ac:dyDescent="0.25">
      <c r="A226">
        <v>10478</v>
      </c>
      <c r="B226" s="1" t="s">
        <v>75</v>
      </c>
      <c r="C226">
        <v>2</v>
      </c>
      <c r="D226" s="5">
        <v>35507</v>
      </c>
      <c r="E226" s="5">
        <v>35521</v>
      </c>
      <c r="F226" s="5">
        <v>35515</v>
      </c>
      <c r="G226">
        <v>3</v>
      </c>
      <c r="H226" s="1">
        <v>4.8099999999999996</v>
      </c>
      <c r="I226" s="1" t="s">
        <v>76</v>
      </c>
      <c r="J226" s="1" t="s">
        <v>77</v>
      </c>
      <c r="K226" s="1" t="s">
        <v>78</v>
      </c>
      <c r="L226" s="1" t="s">
        <v>59</v>
      </c>
      <c r="M226" s="1" t="s">
        <v>79</v>
      </c>
      <c r="N226" s="1" t="s">
        <v>61</v>
      </c>
      <c r="O2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7" spans="1:15" x14ac:dyDescent="0.25">
      <c r="A227">
        <v>10479</v>
      </c>
      <c r="B227" s="1" t="s">
        <v>131</v>
      </c>
      <c r="C227">
        <v>3</v>
      </c>
      <c r="D227" s="5">
        <v>35508</v>
      </c>
      <c r="E227" s="5">
        <v>35536</v>
      </c>
      <c r="F227" s="5">
        <v>35510</v>
      </c>
      <c r="G227">
        <v>3</v>
      </c>
      <c r="H227" s="1">
        <v>708.95</v>
      </c>
      <c r="I227" s="1" t="s">
        <v>132</v>
      </c>
      <c r="J227" s="1" t="s">
        <v>133</v>
      </c>
      <c r="K227" s="1" t="s">
        <v>134</v>
      </c>
      <c r="L227" s="1" t="s">
        <v>135</v>
      </c>
      <c r="M227" s="1" t="s">
        <v>136</v>
      </c>
      <c r="N227" s="1" t="s">
        <v>137</v>
      </c>
      <c r="O2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8" spans="1:15" x14ac:dyDescent="0.25">
      <c r="A228">
        <v>10480</v>
      </c>
      <c r="B228" s="1" t="s">
        <v>411</v>
      </c>
      <c r="C228">
        <v>6</v>
      </c>
      <c r="D228" s="5">
        <v>35509</v>
      </c>
      <c r="E228" s="5">
        <v>35537</v>
      </c>
      <c r="F228" s="5">
        <v>35513</v>
      </c>
      <c r="G228">
        <v>2</v>
      </c>
      <c r="H228" s="1">
        <v>1.35</v>
      </c>
      <c r="I228" s="1" t="s">
        <v>412</v>
      </c>
      <c r="J228" s="1" t="s">
        <v>413</v>
      </c>
      <c r="K228" s="1" t="s">
        <v>414</v>
      </c>
      <c r="L228" s="1" t="s">
        <v>59</v>
      </c>
      <c r="M228" s="1" t="s">
        <v>415</v>
      </c>
      <c r="N228" s="1" t="s">
        <v>61</v>
      </c>
      <c r="O2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29" spans="1:15" x14ac:dyDescent="0.25">
      <c r="A229">
        <v>10481</v>
      </c>
      <c r="B229" s="1" t="s">
        <v>220</v>
      </c>
      <c r="C229">
        <v>8</v>
      </c>
      <c r="D229" s="5">
        <v>35509</v>
      </c>
      <c r="E229" s="5">
        <v>35537</v>
      </c>
      <c r="F229" s="5">
        <v>35514</v>
      </c>
      <c r="G229">
        <v>2</v>
      </c>
      <c r="H229" s="1">
        <v>64.33</v>
      </c>
      <c r="I229" s="1" t="s">
        <v>221</v>
      </c>
      <c r="J229" s="1" t="s">
        <v>222</v>
      </c>
      <c r="K229" s="1" t="s">
        <v>71</v>
      </c>
      <c r="L229" s="1" t="s">
        <v>72</v>
      </c>
      <c r="M229" s="1" t="s">
        <v>223</v>
      </c>
      <c r="N229" s="1" t="s">
        <v>74</v>
      </c>
      <c r="O2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0" spans="1:15" x14ac:dyDescent="0.25">
      <c r="A230">
        <v>10482</v>
      </c>
      <c r="B230" s="1" t="s">
        <v>440</v>
      </c>
      <c r="C230">
        <v>1</v>
      </c>
      <c r="D230" s="5">
        <v>35510</v>
      </c>
      <c r="E230" s="5">
        <v>35538</v>
      </c>
      <c r="F230" s="5">
        <v>35530</v>
      </c>
      <c r="G230">
        <v>3</v>
      </c>
      <c r="H230" s="1">
        <v>7.48</v>
      </c>
      <c r="I230" s="1" t="s">
        <v>441</v>
      </c>
      <c r="J230" s="1" t="s">
        <v>442</v>
      </c>
      <c r="K230" s="1" t="s">
        <v>443</v>
      </c>
      <c r="L230" s="1" t="s">
        <v>170</v>
      </c>
      <c r="M230" s="1" t="s">
        <v>444</v>
      </c>
      <c r="N230" s="1" t="s">
        <v>137</v>
      </c>
      <c r="O2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1" spans="1:15" x14ac:dyDescent="0.25">
      <c r="A231">
        <v>10483</v>
      </c>
      <c r="B231" s="1" t="s">
        <v>166</v>
      </c>
      <c r="C231">
        <v>7</v>
      </c>
      <c r="D231" s="5">
        <v>35513</v>
      </c>
      <c r="E231" s="5">
        <v>35541</v>
      </c>
      <c r="F231" s="5">
        <v>35545</v>
      </c>
      <c r="G231">
        <v>2</v>
      </c>
      <c r="H231" s="1">
        <v>15.28</v>
      </c>
      <c r="I231" s="1" t="s">
        <v>167</v>
      </c>
      <c r="J231" s="1" t="s">
        <v>168</v>
      </c>
      <c r="K231" s="1" t="s">
        <v>169</v>
      </c>
      <c r="L231" s="1" t="s">
        <v>170</v>
      </c>
      <c r="M231" s="1" t="s">
        <v>171</v>
      </c>
      <c r="N231" s="1" t="s">
        <v>137</v>
      </c>
      <c r="O231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232" spans="1:15" x14ac:dyDescent="0.25">
      <c r="A232">
        <v>10484</v>
      </c>
      <c r="B232" s="1" t="s">
        <v>229</v>
      </c>
      <c r="C232">
        <v>3</v>
      </c>
      <c r="D232" s="5">
        <v>35513</v>
      </c>
      <c r="E232" s="5">
        <v>35541</v>
      </c>
      <c r="F232" s="5">
        <v>35521</v>
      </c>
      <c r="G232">
        <v>3</v>
      </c>
      <c r="H232" s="1">
        <v>6.88</v>
      </c>
      <c r="I232" s="1" t="s">
        <v>230</v>
      </c>
      <c r="J232" s="1" t="s">
        <v>231</v>
      </c>
      <c r="K232" s="1" t="s">
        <v>232</v>
      </c>
      <c r="L232" s="1" t="s">
        <v>59</v>
      </c>
      <c r="M232" s="1" t="s">
        <v>233</v>
      </c>
      <c r="N232" s="1" t="s">
        <v>234</v>
      </c>
      <c r="O2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3" spans="1:15" x14ac:dyDescent="0.25">
      <c r="A233">
        <v>10485</v>
      </c>
      <c r="B233" s="1" t="s">
        <v>405</v>
      </c>
      <c r="C233">
        <v>4</v>
      </c>
      <c r="D233" s="5">
        <v>35514</v>
      </c>
      <c r="E233" s="5">
        <v>35528</v>
      </c>
      <c r="F233" s="5">
        <v>35520</v>
      </c>
      <c r="G233">
        <v>2</v>
      </c>
      <c r="H233" s="1">
        <v>64.45</v>
      </c>
      <c r="I233" s="1" t="s">
        <v>406</v>
      </c>
      <c r="J233" s="1" t="s">
        <v>407</v>
      </c>
      <c r="K233" s="1" t="s">
        <v>408</v>
      </c>
      <c r="L233" s="1" t="s">
        <v>409</v>
      </c>
      <c r="M233" s="1" t="s">
        <v>410</v>
      </c>
      <c r="N233" s="1" t="s">
        <v>109</v>
      </c>
      <c r="O2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4" spans="1:15" x14ac:dyDescent="0.25">
      <c r="A234">
        <v>10486</v>
      </c>
      <c r="B234" s="1" t="s">
        <v>103</v>
      </c>
      <c r="C234">
        <v>1</v>
      </c>
      <c r="D234" s="5">
        <v>35515</v>
      </c>
      <c r="E234" s="5">
        <v>35543</v>
      </c>
      <c r="F234" s="5">
        <v>35522</v>
      </c>
      <c r="G234">
        <v>2</v>
      </c>
      <c r="H234" s="1">
        <v>30.53</v>
      </c>
      <c r="I234" s="1" t="s">
        <v>104</v>
      </c>
      <c r="J234" s="1" t="s">
        <v>105</v>
      </c>
      <c r="K234" s="1" t="s">
        <v>106</v>
      </c>
      <c r="L234" s="1" t="s">
        <v>107</v>
      </c>
      <c r="M234" s="1" t="s">
        <v>108</v>
      </c>
      <c r="N234" s="1" t="s">
        <v>109</v>
      </c>
      <c r="O23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5" spans="1:15" x14ac:dyDescent="0.25">
      <c r="A235">
        <v>10487</v>
      </c>
      <c r="B235" s="1" t="s">
        <v>378</v>
      </c>
      <c r="C235">
        <v>2</v>
      </c>
      <c r="D235" s="5">
        <v>35515</v>
      </c>
      <c r="E235" s="5">
        <v>35543</v>
      </c>
      <c r="F235" s="5">
        <v>35517</v>
      </c>
      <c r="G235">
        <v>2</v>
      </c>
      <c r="H235" s="1">
        <v>71.069999999999993</v>
      </c>
      <c r="I235" s="1" t="s">
        <v>379</v>
      </c>
      <c r="J235" s="1" t="s">
        <v>380</v>
      </c>
      <c r="K235" s="1" t="s">
        <v>238</v>
      </c>
      <c r="L235" s="1" t="s">
        <v>101</v>
      </c>
      <c r="M235" s="1" t="s">
        <v>381</v>
      </c>
      <c r="N235" s="1" t="s">
        <v>74</v>
      </c>
      <c r="O2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6" spans="1:15" x14ac:dyDescent="0.25">
      <c r="A236">
        <v>10488</v>
      </c>
      <c r="B236" s="1" t="s">
        <v>155</v>
      </c>
      <c r="C236">
        <v>8</v>
      </c>
      <c r="D236" s="5">
        <v>35516</v>
      </c>
      <c r="E236" s="5">
        <v>35544</v>
      </c>
      <c r="F236" s="5">
        <v>35522</v>
      </c>
      <c r="G236">
        <v>2</v>
      </c>
      <c r="H236" s="1">
        <v>4.93</v>
      </c>
      <c r="I236" s="1" t="s">
        <v>156</v>
      </c>
      <c r="J236" s="1" t="s">
        <v>157</v>
      </c>
      <c r="K236" s="1" t="s">
        <v>158</v>
      </c>
      <c r="L236" s="1" t="s">
        <v>59</v>
      </c>
      <c r="M236" s="1" t="s">
        <v>159</v>
      </c>
      <c r="N236" s="1" t="s">
        <v>67</v>
      </c>
      <c r="O2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7" spans="1:15" x14ac:dyDescent="0.25">
      <c r="A237">
        <v>10489</v>
      </c>
      <c r="B237" s="1" t="s">
        <v>340</v>
      </c>
      <c r="C237">
        <v>6</v>
      </c>
      <c r="D237" s="5">
        <v>35517</v>
      </c>
      <c r="E237" s="5">
        <v>35545</v>
      </c>
      <c r="F237" s="5">
        <v>35529</v>
      </c>
      <c r="G237">
        <v>2</v>
      </c>
      <c r="H237" s="1">
        <v>5.29</v>
      </c>
      <c r="I237" s="1" t="s">
        <v>341</v>
      </c>
      <c r="J237" s="1" t="s">
        <v>342</v>
      </c>
      <c r="K237" s="1" t="s">
        <v>343</v>
      </c>
      <c r="L237" s="1" t="s">
        <v>59</v>
      </c>
      <c r="M237" s="1" t="s">
        <v>344</v>
      </c>
      <c r="N237" s="1" t="s">
        <v>115</v>
      </c>
      <c r="O2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8" spans="1:15" x14ac:dyDescent="0.25">
      <c r="A238">
        <v>10490</v>
      </c>
      <c r="B238" s="1" t="s">
        <v>103</v>
      </c>
      <c r="C238">
        <v>7</v>
      </c>
      <c r="D238" s="5">
        <v>35520</v>
      </c>
      <c r="E238" s="5">
        <v>35548</v>
      </c>
      <c r="F238" s="5">
        <v>35523</v>
      </c>
      <c r="G238">
        <v>2</v>
      </c>
      <c r="H238" s="1">
        <v>210.19</v>
      </c>
      <c r="I238" s="1" t="s">
        <v>104</v>
      </c>
      <c r="J238" s="1" t="s">
        <v>105</v>
      </c>
      <c r="K238" s="1" t="s">
        <v>106</v>
      </c>
      <c r="L238" s="1" t="s">
        <v>107</v>
      </c>
      <c r="M238" s="1" t="s">
        <v>108</v>
      </c>
      <c r="N238" s="1" t="s">
        <v>109</v>
      </c>
      <c r="O2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39" spans="1:15" x14ac:dyDescent="0.25">
      <c r="A239">
        <v>10491</v>
      </c>
      <c r="B239" s="1" t="s">
        <v>303</v>
      </c>
      <c r="C239">
        <v>8</v>
      </c>
      <c r="D239" s="5">
        <v>35520</v>
      </c>
      <c r="E239" s="5">
        <v>35548</v>
      </c>
      <c r="F239" s="5">
        <v>35528</v>
      </c>
      <c r="G239">
        <v>3</v>
      </c>
      <c r="H239" s="1">
        <v>16.96</v>
      </c>
      <c r="I239" s="1" t="s">
        <v>304</v>
      </c>
      <c r="J239" s="1" t="s">
        <v>305</v>
      </c>
      <c r="K239" s="1" t="s">
        <v>306</v>
      </c>
      <c r="L239" s="1" t="s">
        <v>59</v>
      </c>
      <c r="M239" s="1" t="s">
        <v>307</v>
      </c>
      <c r="N239" s="1" t="s">
        <v>308</v>
      </c>
      <c r="O2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0" spans="1:15" x14ac:dyDescent="0.25">
      <c r="A240">
        <v>10492</v>
      </c>
      <c r="B240" s="1" t="s">
        <v>399</v>
      </c>
      <c r="C240">
        <v>3</v>
      </c>
      <c r="D240" s="5">
        <v>35521</v>
      </c>
      <c r="E240" s="5">
        <v>35549</v>
      </c>
      <c r="F240" s="5">
        <v>35531</v>
      </c>
      <c r="G240">
        <v>1</v>
      </c>
      <c r="H240" s="1">
        <v>62.89</v>
      </c>
      <c r="I240" s="1" t="s">
        <v>400</v>
      </c>
      <c r="J240" s="1" t="s">
        <v>401</v>
      </c>
      <c r="K240" s="1" t="s">
        <v>402</v>
      </c>
      <c r="L240" s="1" t="s">
        <v>403</v>
      </c>
      <c r="M240" s="1" t="s">
        <v>404</v>
      </c>
      <c r="N240" s="1" t="s">
        <v>320</v>
      </c>
      <c r="O2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1" spans="1:15" x14ac:dyDescent="0.25">
      <c r="A241">
        <v>10493</v>
      </c>
      <c r="B241" s="1" t="s">
        <v>335</v>
      </c>
      <c r="C241">
        <v>4</v>
      </c>
      <c r="D241" s="5">
        <v>35522</v>
      </c>
      <c r="E241" s="5">
        <v>35550</v>
      </c>
      <c r="F241" s="5">
        <v>35530</v>
      </c>
      <c r="G241">
        <v>3</v>
      </c>
      <c r="H241" s="1">
        <v>10.64</v>
      </c>
      <c r="I241" s="1" t="s">
        <v>336</v>
      </c>
      <c r="J241" s="1" t="s">
        <v>337</v>
      </c>
      <c r="K241" s="1" t="s">
        <v>338</v>
      </c>
      <c r="L241" s="1" t="s">
        <v>59</v>
      </c>
      <c r="M241" s="1" t="s">
        <v>339</v>
      </c>
      <c r="N241" s="1" t="s">
        <v>61</v>
      </c>
      <c r="O2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2" spans="1:15" x14ac:dyDescent="0.25">
      <c r="A242">
        <v>10494</v>
      </c>
      <c r="B242" s="1" t="s">
        <v>235</v>
      </c>
      <c r="C242">
        <v>4</v>
      </c>
      <c r="D242" s="5">
        <v>35522</v>
      </c>
      <c r="E242" s="5">
        <v>35550</v>
      </c>
      <c r="F242" s="5">
        <v>35529</v>
      </c>
      <c r="G242">
        <v>2</v>
      </c>
      <c r="H242" s="1">
        <v>65.989999999999995</v>
      </c>
      <c r="I242" s="1" t="s">
        <v>236</v>
      </c>
      <c r="J242" s="1" t="s">
        <v>237</v>
      </c>
      <c r="K242" s="1" t="s">
        <v>238</v>
      </c>
      <c r="L242" s="1" t="s">
        <v>101</v>
      </c>
      <c r="M242" s="1" t="s">
        <v>239</v>
      </c>
      <c r="N242" s="1" t="s">
        <v>74</v>
      </c>
      <c r="O2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3" spans="1:15" x14ac:dyDescent="0.25">
      <c r="A243">
        <v>10495</v>
      </c>
      <c r="B243" s="1" t="s">
        <v>445</v>
      </c>
      <c r="C243">
        <v>3</v>
      </c>
      <c r="D243" s="5">
        <v>35523</v>
      </c>
      <c r="E243" s="5">
        <v>35551</v>
      </c>
      <c r="F243" s="5">
        <v>35531</v>
      </c>
      <c r="G243">
        <v>3</v>
      </c>
      <c r="H243" s="1">
        <v>4.6500000000000004</v>
      </c>
      <c r="I243" s="1" t="s">
        <v>446</v>
      </c>
      <c r="J243" s="1" t="s">
        <v>447</v>
      </c>
      <c r="K243" s="1" t="s">
        <v>448</v>
      </c>
      <c r="L243" s="1" t="s">
        <v>403</v>
      </c>
      <c r="M243" s="1" t="s">
        <v>449</v>
      </c>
      <c r="N243" s="1" t="s">
        <v>320</v>
      </c>
      <c r="O2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4" spans="1:15" x14ac:dyDescent="0.25">
      <c r="A244">
        <v>10496</v>
      </c>
      <c r="B244" s="1" t="s">
        <v>240</v>
      </c>
      <c r="C244">
        <v>7</v>
      </c>
      <c r="D244" s="5">
        <v>35524</v>
      </c>
      <c r="E244" s="5">
        <v>35552</v>
      </c>
      <c r="F244" s="5">
        <v>35527</v>
      </c>
      <c r="G244">
        <v>2</v>
      </c>
      <c r="H244" s="1">
        <v>46.77</v>
      </c>
      <c r="I244" s="1" t="s">
        <v>241</v>
      </c>
      <c r="J244" s="1" t="s">
        <v>242</v>
      </c>
      <c r="K244" s="1" t="s">
        <v>238</v>
      </c>
      <c r="L244" s="1" t="s">
        <v>101</v>
      </c>
      <c r="M244" s="1" t="s">
        <v>243</v>
      </c>
      <c r="N244" s="1" t="s">
        <v>74</v>
      </c>
      <c r="O2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5" spans="1:15" x14ac:dyDescent="0.25">
      <c r="A245">
        <v>10497</v>
      </c>
      <c r="B245" s="1" t="s">
        <v>203</v>
      </c>
      <c r="C245">
        <v>7</v>
      </c>
      <c r="D245" s="5">
        <v>35524</v>
      </c>
      <c r="E245" s="5">
        <v>35552</v>
      </c>
      <c r="F245" s="5">
        <v>35527</v>
      </c>
      <c r="G245">
        <v>1</v>
      </c>
      <c r="H245" s="1">
        <v>36.21</v>
      </c>
      <c r="I245" s="1" t="s">
        <v>204</v>
      </c>
      <c r="J245" s="1" t="s">
        <v>205</v>
      </c>
      <c r="K245" s="1" t="s">
        <v>206</v>
      </c>
      <c r="L245" s="1" t="s">
        <v>59</v>
      </c>
      <c r="M245" s="1" t="s">
        <v>207</v>
      </c>
      <c r="N245" s="1" t="s">
        <v>67</v>
      </c>
      <c r="O2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6" spans="1:15" x14ac:dyDescent="0.25">
      <c r="A246">
        <v>10498</v>
      </c>
      <c r="B246" s="1" t="s">
        <v>103</v>
      </c>
      <c r="C246">
        <v>8</v>
      </c>
      <c r="D246" s="5">
        <v>35527</v>
      </c>
      <c r="E246" s="5">
        <v>35555</v>
      </c>
      <c r="F246" s="5">
        <v>35531</v>
      </c>
      <c r="G246">
        <v>2</v>
      </c>
      <c r="H246" s="1">
        <v>29.75</v>
      </c>
      <c r="I246" s="1" t="s">
        <v>104</v>
      </c>
      <c r="J246" s="1" t="s">
        <v>105</v>
      </c>
      <c r="K246" s="1" t="s">
        <v>106</v>
      </c>
      <c r="L246" s="1" t="s">
        <v>107</v>
      </c>
      <c r="M246" s="1" t="s">
        <v>108</v>
      </c>
      <c r="N246" s="1" t="s">
        <v>109</v>
      </c>
      <c r="O24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7" spans="1:15" x14ac:dyDescent="0.25">
      <c r="A247">
        <v>10499</v>
      </c>
      <c r="B247" s="1" t="s">
        <v>214</v>
      </c>
      <c r="C247">
        <v>4</v>
      </c>
      <c r="D247" s="5">
        <v>35528</v>
      </c>
      <c r="E247" s="5">
        <v>35556</v>
      </c>
      <c r="F247" s="5">
        <v>35536</v>
      </c>
      <c r="G247">
        <v>2</v>
      </c>
      <c r="H247" s="1">
        <v>102.02</v>
      </c>
      <c r="I247" s="1" t="s">
        <v>215</v>
      </c>
      <c r="J247" s="1" t="s">
        <v>216</v>
      </c>
      <c r="K247" s="1" t="s">
        <v>217</v>
      </c>
      <c r="L247" s="1" t="s">
        <v>218</v>
      </c>
      <c r="M247" s="1" t="s">
        <v>219</v>
      </c>
      <c r="N247" s="1" t="s">
        <v>109</v>
      </c>
      <c r="O2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8" spans="1:15" x14ac:dyDescent="0.25">
      <c r="A248">
        <v>10500</v>
      </c>
      <c r="B248" s="1" t="s">
        <v>335</v>
      </c>
      <c r="C248">
        <v>6</v>
      </c>
      <c r="D248" s="5">
        <v>35529</v>
      </c>
      <c r="E248" s="5">
        <v>35557</v>
      </c>
      <c r="F248" s="5">
        <v>35537</v>
      </c>
      <c r="G248">
        <v>1</v>
      </c>
      <c r="H248" s="1">
        <v>42.68</v>
      </c>
      <c r="I248" s="1" t="s">
        <v>336</v>
      </c>
      <c r="J248" s="1" t="s">
        <v>337</v>
      </c>
      <c r="K248" s="1" t="s">
        <v>338</v>
      </c>
      <c r="L248" s="1" t="s">
        <v>59</v>
      </c>
      <c r="M248" s="1" t="s">
        <v>339</v>
      </c>
      <c r="N248" s="1" t="s">
        <v>61</v>
      </c>
      <c r="O2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49" spans="1:15" x14ac:dyDescent="0.25">
      <c r="A249">
        <v>10501</v>
      </c>
      <c r="B249" s="1" t="s">
        <v>450</v>
      </c>
      <c r="C249">
        <v>9</v>
      </c>
      <c r="D249" s="5">
        <v>35529</v>
      </c>
      <c r="E249" s="5">
        <v>35557</v>
      </c>
      <c r="F249" s="5">
        <v>35536</v>
      </c>
      <c r="G249">
        <v>3</v>
      </c>
      <c r="H249" s="1">
        <v>8.85</v>
      </c>
      <c r="I249" s="1" t="s">
        <v>451</v>
      </c>
      <c r="J249" s="1" t="s">
        <v>452</v>
      </c>
      <c r="K249" s="1" t="s">
        <v>453</v>
      </c>
      <c r="L249" s="1" t="s">
        <v>59</v>
      </c>
      <c r="M249" s="1" t="s">
        <v>454</v>
      </c>
      <c r="N249" s="1" t="s">
        <v>67</v>
      </c>
      <c r="O2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0" spans="1:15" x14ac:dyDescent="0.25">
      <c r="A250">
        <v>10502</v>
      </c>
      <c r="B250" s="1" t="s">
        <v>285</v>
      </c>
      <c r="C250">
        <v>2</v>
      </c>
      <c r="D250" s="5">
        <v>35530</v>
      </c>
      <c r="E250" s="5">
        <v>35558</v>
      </c>
      <c r="F250" s="5">
        <v>35549</v>
      </c>
      <c r="G250">
        <v>1</v>
      </c>
      <c r="H250" s="1">
        <v>69.319999999999993</v>
      </c>
      <c r="I250" s="1" t="s">
        <v>286</v>
      </c>
      <c r="J250" s="1" t="s">
        <v>287</v>
      </c>
      <c r="K250" s="1" t="s">
        <v>119</v>
      </c>
      <c r="L250" s="1" t="s">
        <v>59</v>
      </c>
      <c r="M250" s="1" t="s">
        <v>192</v>
      </c>
      <c r="N250" s="1" t="s">
        <v>121</v>
      </c>
      <c r="O2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1" spans="1:15" x14ac:dyDescent="0.25">
      <c r="A251">
        <v>10504</v>
      </c>
      <c r="B251" s="1" t="s">
        <v>166</v>
      </c>
      <c r="C251">
        <v>4</v>
      </c>
      <c r="D251" s="5">
        <v>35531</v>
      </c>
      <c r="E251" s="5">
        <v>35559</v>
      </c>
      <c r="F251" s="5">
        <v>35538</v>
      </c>
      <c r="G251">
        <v>3</v>
      </c>
      <c r="H251" s="1">
        <v>59.13</v>
      </c>
      <c r="I251" s="1" t="s">
        <v>167</v>
      </c>
      <c r="J251" s="1" t="s">
        <v>168</v>
      </c>
      <c r="K251" s="1" t="s">
        <v>169</v>
      </c>
      <c r="L251" s="1" t="s">
        <v>170</v>
      </c>
      <c r="M251" s="1" t="s">
        <v>171</v>
      </c>
      <c r="N251" s="1" t="s">
        <v>137</v>
      </c>
      <c r="O2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2" spans="1:15" x14ac:dyDescent="0.25">
      <c r="A252">
        <v>10505</v>
      </c>
      <c r="B252" s="1" t="s">
        <v>314</v>
      </c>
      <c r="C252">
        <v>3</v>
      </c>
      <c r="D252" s="5">
        <v>35534</v>
      </c>
      <c r="E252" s="5">
        <v>35562</v>
      </c>
      <c r="F252" s="5">
        <v>35541</v>
      </c>
      <c r="G252">
        <v>3</v>
      </c>
      <c r="H252" s="1">
        <v>7.13</v>
      </c>
      <c r="I252" s="1" t="s">
        <v>315</v>
      </c>
      <c r="J252" s="1" t="s">
        <v>316</v>
      </c>
      <c r="K252" s="1" t="s">
        <v>317</v>
      </c>
      <c r="L252" s="1" t="s">
        <v>318</v>
      </c>
      <c r="M252" s="1" t="s">
        <v>319</v>
      </c>
      <c r="N252" s="1" t="s">
        <v>320</v>
      </c>
      <c r="O2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3" spans="1:15" x14ac:dyDescent="0.25">
      <c r="A253">
        <v>10506</v>
      </c>
      <c r="B253" s="1" t="s">
        <v>288</v>
      </c>
      <c r="C253">
        <v>9</v>
      </c>
      <c r="D253" s="5">
        <v>35535</v>
      </c>
      <c r="E253" s="5">
        <v>35563</v>
      </c>
      <c r="F253" s="5">
        <v>35552</v>
      </c>
      <c r="G253">
        <v>2</v>
      </c>
      <c r="H253" s="1">
        <v>21.19</v>
      </c>
      <c r="I253" s="1" t="s">
        <v>289</v>
      </c>
      <c r="J253" s="1" t="s">
        <v>290</v>
      </c>
      <c r="K253" s="1" t="s">
        <v>291</v>
      </c>
      <c r="L253" s="1" t="s">
        <v>59</v>
      </c>
      <c r="M253" s="1" t="s">
        <v>292</v>
      </c>
      <c r="N253" s="1" t="s">
        <v>67</v>
      </c>
      <c r="O2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4" spans="1:15" x14ac:dyDescent="0.25">
      <c r="A254">
        <v>10507</v>
      </c>
      <c r="B254" s="1" t="s">
        <v>364</v>
      </c>
      <c r="C254">
        <v>7</v>
      </c>
      <c r="D254" s="5">
        <v>35535</v>
      </c>
      <c r="E254" s="5">
        <v>35563</v>
      </c>
      <c r="F254" s="5">
        <v>35542</v>
      </c>
      <c r="G254">
        <v>1</v>
      </c>
      <c r="H254" s="1">
        <v>47.45</v>
      </c>
      <c r="I254" s="1" t="s">
        <v>365</v>
      </c>
      <c r="J254" s="1" t="s">
        <v>366</v>
      </c>
      <c r="K254" s="1" t="s">
        <v>119</v>
      </c>
      <c r="L254" s="1" t="s">
        <v>59</v>
      </c>
      <c r="M254" s="1" t="s">
        <v>367</v>
      </c>
      <c r="N254" s="1" t="s">
        <v>121</v>
      </c>
      <c r="O2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5" spans="1:15" x14ac:dyDescent="0.25">
      <c r="A255">
        <v>10508</v>
      </c>
      <c r="B255" s="1" t="s">
        <v>122</v>
      </c>
      <c r="C255">
        <v>1</v>
      </c>
      <c r="D255" s="5">
        <v>35536</v>
      </c>
      <c r="E255" s="5">
        <v>35564</v>
      </c>
      <c r="F255" s="5">
        <v>35563</v>
      </c>
      <c r="G255">
        <v>2</v>
      </c>
      <c r="H255" s="1">
        <v>4.99</v>
      </c>
      <c r="I255" s="1" t="s">
        <v>123</v>
      </c>
      <c r="J255" s="1" t="s">
        <v>124</v>
      </c>
      <c r="K255" s="1" t="s">
        <v>125</v>
      </c>
      <c r="L255" s="1" t="s">
        <v>59</v>
      </c>
      <c r="M255" s="1" t="s">
        <v>126</v>
      </c>
      <c r="N255" s="1" t="s">
        <v>67</v>
      </c>
      <c r="O25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6" spans="1:15" x14ac:dyDescent="0.25">
      <c r="A256">
        <v>10509</v>
      </c>
      <c r="B256" s="1" t="s">
        <v>450</v>
      </c>
      <c r="C256">
        <v>4</v>
      </c>
      <c r="D256" s="5">
        <v>35537</v>
      </c>
      <c r="E256" s="5">
        <v>35565</v>
      </c>
      <c r="F256" s="5">
        <v>35549</v>
      </c>
      <c r="G256">
        <v>1</v>
      </c>
      <c r="H256" s="1">
        <v>0.15</v>
      </c>
      <c r="I256" s="1" t="s">
        <v>451</v>
      </c>
      <c r="J256" s="1" t="s">
        <v>452</v>
      </c>
      <c r="K256" s="1" t="s">
        <v>453</v>
      </c>
      <c r="L256" s="1" t="s">
        <v>59</v>
      </c>
      <c r="M256" s="1" t="s">
        <v>454</v>
      </c>
      <c r="N256" s="1" t="s">
        <v>67</v>
      </c>
      <c r="O2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7" spans="1:15" x14ac:dyDescent="0.25">
      <c r="A257">
        <v>10510</v>
      </c>
      <c r="B257" s="1" t="s">
        <v>293</v>
      </c>
      <c r="C257">
        <v>6</v>
      </c>
      <c r="D257" s="5">
        <v>35538</v>
      </c>
      <c r="E257" s="5">
        <v>35566</v>
      </c>
      <c r="F257" s="5">
        <v>35548</v>
      </c>
      <c r="G257">
        <v>3</v>
      </c>
      <c r="H257" s="1">
        <v>367.63</v>
      </c>
      <c r="I257" s="1" t="s">
        <v>294</v>
      </c>
      <c r="J257" s="1" t="s">
        <v>295</v>
      </c>
      <c r="K257" s="1" t="s">
        <v>296</v>
      </c>
      <c r="L257" s="1" t="s">
        <v>297</v>
      </c>
      <c r="M257" s="1" t="s">
        <v>298</v>
      </c>
      <c r="N257" s="1" t="s">
        <v>137</v>
      </c>
      <c r="O2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8" spans="1:15" x14ac:dyDescent="0.25">
      <c r="A258">
        <v>10511</v>
      </c>
      <c r="B258" s="1" t="s">
        <v>309</v>
      </c>
      <c r="C258">
        <v>4</v>
      </c>
      <c r="D258" s="5">
        <v>35538</v>
      </c>
      <c r="E258" s="5">
        <v>35566</v>
      </c>
      <c r="F258" s="5">
        <v>35541</v>
      </c>
      <c r="G258">
        <v>3</v>
      </c>
      <c r="H258" s="1">
        <v>350.64</v>
      </c>
      <c r="I258" s="1" t="s">
        <v>310</v>
      </c>
      <c r="J258" s="1" t="s">
        <v>311</v>
      </c>
      <c r="K258" s="1" t="s">
        <v>312</v>
      </c>
      <c r="L258" s="1" t="s">
        <v>59</v>
      </c>
      <c r="M258" s="1" t="s">
        <v>313</v>
      </c>
      <c r="N258" s="1" t="s">
        <v>61</v>
      </c>
      <c r="O2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59" spans="1:15" x14ac:dyDescent="0.25">
      <c r="A259">
        <v>10512</v>
      </c>
      <c r="B259" s="1" t="s">
        <v>331</v>
      </c>
      <c r="C259">
        <v>7</v>
      </c>
      <c r="D259" s="5">
        <v>35541</v>
      </c>
      <c r="E259" s="5">
        <v>35569</v>
      </c>
      <c r="F259" s="5">
        <v>35544</v>
      </c>
      <c r="G259">
        <v>2</v>
      </c>
      <c r="H259" s="1">
        <v>3.53</v>
      </c>
      <c r="I259" s="1" t="s">
        <v>332</v>
      </c>
      <c r="J259" s="1" t="s">
        <v>333</v>
      </c>
      <c r="K259" s="1" t="s">
        <v>238</v>
      </c>
      <c r="L259" s="1" t="s">
        <v>101</v>
      </c>
      <c r="M259" s="1" t="s">
        <v>334</v>
      </c>
      <c r="N259" s="1" t="s">
        <v>74</v>
      </c>
      <c r="O2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0" spans="1:15" x14ac:dyDescent="0.25">
      <c r="A260">
        <v>10513</v>
      </c>
      <c r="B260" s="1" t="s">
        <v>244</v>
      </c>
      <c r="C260">
        <v>7</v>
      </c>
      <c r="D260" s="5">
        <v>35542</v>
      </c>
      <c r="E260" s="5">
        <v>35584</v>
      </c>
      <c r="F260" s="5">
        <v>35548</v>
      </c>
      <c r="G260">
        <v>1</v>
      </c>
      <c r="H260" s="1">
        <v>105.65</v>
      </c>
      <c r="I260" s="1" t="s">
        <v>245</v>
      </c>
      <c r="J260" s="1" t="s">
        <v>246</v>
      </c>
      <c r="K260" s="1" t="s">
        <v>247</v>
      </c>
      <c r="L260" s="1" t="s">
        <v>59</v>
      </c>
      <c r="M260" s="1" t="s">
        <v>248</v>
      </c>
      <c r="N260" s="1" t="s">
        <v>67</v>
      </c>
      <c r="O2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1" spans="1:15" x14ac:dyDescent="0.25">
      <c r="A261">
        <v>10514</v>
      </c>
      <c r="B261" s="1" t="s">
        <v>110</v>
      </c>
      <c r="C261">
        <v>3</v>
      </c>
      <c r="D261" s="5">
        <v>35542</v>
      </c>
      <c r="E261" s="5">
        <v>35570</v>
      </c>
      <c r="F261" s="5">
        <v>35566</v>
      </c>
      <c r="G261">
        <v>2</v>
      </c>
      <c r="H261" s="1">
        <v>789.95</v>
      </c>
      <c r="I261" s="1" t="s">
        <v>111</v>
      </c>
      <c r="J261" s="1" t="s">
        <v>112</v>
      </c>
      <c r="K261" s="1" t="s">
        <v>113</v>
      </c>
      <c r="L261" s="1" t="s">
        <v>59</v>
      </c>
      <c r="M261" s="1" t="s">
        <v>114</v>
      </c>
      <c r="N261" s="1" t="s">
        <v>115</v>
      </c>
      <c r="O2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2" spans="1:15" x14ac:dyDescent="0.25">
      <c r="A262">
        <v>10515</v>
      </c>
      <c r="B262" s="1" t="s">
        <v>178</v>
      </c>
      <c r="C262">
        <v>2</v>
      </c>
      <c r="D262" s="5">
        <v>35543</v>
      </c>
      <c r="E262" s="5">
        <v>35557</v>
      </c>
      <c r="F262" s="5">
        <v>35573</v>
      </c>
      <c r="G262">
        <v>1</v>
      </c>
      <c r="H262" s="1">
        <v>204.47</v>
      </c>
      <c r="I262" s="1" t="s">
        <v>179</v>
      </c>
      <c r="J262" s="1" t="s">
        <v>180</v>
      </c>
      <c r="K262" s="1" t="s">
        <v>181</v>
      </c>
      <c r="L262" s="1" t="s">
        <v>59</v>
      </c>
      <c r="M262" s="1" t="s">
        <v>182</v>
      </c>
      <c r="N262" s="1" t="s">
        <v>67</v>
      </c>
      <c r="O262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263" spans="1:15" x14ac:dyDescent="0.25">
      <c r="A263">
        <v>10517</v>
      </c>
      <c r="B263" s="1" t="s">
        <v>455</v>
      </c>
      <c r="C263">
        <v>3</v>
      </c>
      <c r="D263" s="5">
        <v>35544</v>
      </c>
      <c r="E263" s="5">
        <v>35572</v>
      </c>
      <c r="F263" s="5">
        <v>35549</v>
      </c>
      <c r="G263">
        <v>3</v>
      </c>
      <c r="H263" s="1">
        <v>32.07</v>
      </c>
      <c r="I263" s="1" t="s">
        <v>456</v>
      </c>
      <c r="J263" s="1" t="s">
        <v>457</v>
      </c>
      <c r="K263" s="1" t="s">
        <v>232</v>
      </c>
      <c r="L263" s="1" t="s">
        <v>59</v>
      </c>
      <c r="M263" s="1" t="s">
        <v>458</v>
      </c>
      <c r="N263" s="1" t="s">
        <v>234</v>
      </c>
      <c r="O2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4" spans="1:15" x14ac:dyDescent="0.25">
      <c r="A264">
        <v>10518</v>
      </c>
      <c r="B264" s="1" t="s">
        <v>189</v>
      </c>
      <c r="C264">
        <v>4</v>
      </c>
      <c r="D264" s="5">
        <v>35545</v>
      </c>
      <c r="E264" s="5">
        <v>35559</v>
      </c>
      <c r="F264" s="5">
        <v>35555</v>
      </c>
      <c r="G264">
        <v>2</v>
      </c>
      <c r="H264" s="1">
        <v>218.15</v>
      </c>
      <c r="I264" s="1" t="s">
        <v>190</v>
      </c>
      <c r="J264" s="1" t="s">
        <v>191</v>
      </c>
      <c r="K264" s="1" t="s">
        <v>119</v>
      </c>
      <c r="L264" s="1" t="s">
        <v>59</v>
      </c>
      <c r="M264" s="1" t="s">
        <v>192</v>
      </c>
      <c r="N264" s="1" t="s">
        <v>121</v>
      </c>
      <c r="O2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5" spans="1:15" x14ac:dyDescent="0.25">
      <c r="A265">
        <v>10519</v>
      </c>
      <c r="B265" s="1" t="s">
        <v>86</v>
      </c>
      <c r="C265">
        <v>6</v>
      </c>
      <c r="D265" s="5">
        <v>35548</v>
      </c>
      <c r="E265" s="5">
        <v>35576</v>
      </c>
      <c r="F265" s="5">
        <v>35551</v>
      </c>
      <c r="G265">
        <v>3</v>
      </c>
      <c r="H265" s="1">
        <v>91.76</v>
      </c>
      <c r="I265" s="1" t="s">
        <v>87</v>
      </c>
      <c r="J265" s="1" t="s">
        <v>88</v>
      </c>
      <c r="K265" s="1" t="s">
        <v>89</v>
      </c>
      <c r="L265" s="1" t="s">
        <v>59</v>
      </c>
      <c r="M265" s="1" t="s">
        <v>90</v>
      </c>
      <c r="N265" s="1" t="s">
        <v>91</v>
      </c>
      <c r="O2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6" spans="1:15" x14ac:dyDescent="0.25">
      <c r="A266">
        <v>10520</v>
      </c>
      <c r="B266" s="1" t="s">
        <v>393</v>
      </c>
      <c r="C266">
        <v>7</v>
      </c>
      <c r="D266" s="5">
        <v>35549</v>
      </c>
      <c r="E266" s="5">
        <v>35577</v>
      </c>
      <c r="F266" s="5">
        <v>35551</v>
      </c>
      <c r="G266">
        <v>1</v>
      </c>
      <c r="H266" s="1">
        <v>13.37</v>
      </c>
      <c r="I266" s="1" t="s">
        <v>394</v>
      </c>
      <c r="J266" s="1" t="s">
        <v>395</v>
      </c>
      <c r="K266" s="1" t="s">
        <v>396</v>
      </c>
      <c r="L266" s="1" t="s">
        <v>59</v>
      </c>
      <c r="M266" s="1" t="s">
        <v>397</v>
      </c>
      <c r="N266" s="1" t="s">
        <v>398</v>
      </c>
      <c r="O26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7" spans="1:15" x14ac:dyDescent="0.25">
      <c r="A267">
        <v>10521</v>
      </c>
      <c r="B267" s="1" t="s">
        <v>459</v>
      </c>
      <c r="C267">
        <v>8</v>
      </c>
      <c r="D267" s="5">
        <v>35549</v>
      </c>
      <c r="E267" s="5">
        <v>35577</v>
      </c>
      <c r="F267" s="5">
        <v>35552</v>
      </c>
      <c r="G267">
        <v>2</v>
      </c>
      <c r="H267" s="1">
        <v>17.22</v>
      </c>
      <c r="I267" s="1" t="s">
        <v>460</v>
      </c>
      <c r="J267" s="1" t="s">
        <v>461</v>
      </c>
      <c r="K267" s="1" t="s">
        <v>419</v>
      </c>
      <c r="L267" s="1" t="s">
        <v>59</v>
      </c>
      <c r="M267" s="1" t="s">
        <v>420</v>
      </c>
      <c r="N267" s="1" t="s">
        <v>421</v>
      </c>
      <c r="O26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8" spans="1:15" x14ac:dyDescent="0.25">
      <c r="A268">
        <v>10522</v>
      </c>
      <c r="B268" s="1" t="s">
        <v>203</v>
      </c>
      <c r="C268">
        <v>4</v>
      </c>
      <c r="D268" s="5">
        <v>35550</v>
      </c>
      <c r="E268" s="5">
        <v>35578</v>
      </c>
      <c r="F268" s="5">
        <v>35556</v>
      </c>
      <c r="G268">
        <v>1</v>
      </c>
      <c r="H268" s="1">
        <v>45.33</v>
      </c>
      <c r="I268" s="1" t="s">
        <v>204</v>
      </c>
      <c r="J268" s="1" t="s">
        <v>205</v>
      </c>
      <c r="K268" s="1" t="s">
        <v>206</v>
      </c>
      <c r="L268" s="1" t="s">
        <v>59</v>
      </c>
      <c r="M268" s="1" t="s">
        <v>207</v>
      </c>
      <c r="N268" s="1" t="s">
        <v>67</v>
      </c>
      <c r="O2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69" spans="1:15" x14ac:dyDescent="0.25">
      <c r="A269">
        <v>10523</v>
      </c>
      <c r="B269" s="1" t="s">
        <v>351</v>
      </c>
      <c r="C269">
        <v>7</v>
      </c>
      <c r="D269" s="5">
        <v>35551</v>
      </c>
      <c r="E269" s="5">
        <v>35579</v>
      </c>
      <c r="F269" s="5">
        <v>35580</v>
      </c>
      <c r="G269">
        <v>2</v>
      </c>
      <c r="H269" s="1">
        <v>77.63</v>
      </c>
      <c r="I269" s="1" t="s">
        <v>352</v>
      </c>
      <c r="J269" s="1" t="s">
        <v>353</v>
      </c>
      <c r="K269" s="1" t="s">
        <v>232</v>
      </c>
      <c r="L269" s="1" t="s">
        <v>59</v>
      </c>
      <c r="M269" s="1" t="s">
        <v>354</v>
      </c>
      <c r="N269" s="1" t="s">
        <v>234</v>
      </c>
      <c r="O269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270" spans="1:15" x14ac:dyDescent="0.25">
      <c r="A270">
        <v>10524</v>
      </c>
      <c r="B270" s="1" t="s">
        <v>198</v>
      </c>
      <c r="C270">
        <v>1</v>
      </c>
      <c r="D270" s="5">
        <v>35551</v>
      </c>
      <c r="E270" s="5">
        <v>35579</v>
      </c>
      <c r="F270" s="5">
        <v>35557</v>
      </c>
      <c r="G270">
        <v>2</v>
      </c>
      <c r="H270" s="1">
        <v>244.79</v>
      </c>
      <c r="I270" s="1" t="s">
        <v>199</v>
      </c>
      <c r="J270" s="1" t="s">
        <v>200</v>
      </c>
      <c r="K270" s="1" t="s">
        <v>201</v>
      </c>
      <c r="L270" s="1" t="s">
        <v>59</v>
      </c>
      <c r="M270" s="1" t="s">
        <v>202</v>
      </c>
      <c r="N270" s="1" t="s">
        <v>143</v>
      </c>
      <c r="O2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1" spans="1:15" x14ac:dyDescent="0.25">
      <c r="A271">
        <v>10525</v>
      </c>
      <c r="B271" s="1" t="s">
        <v>309</v>
      </c>
      <c r="C271">
        <v>1</v>
      </c>
      <c r="D271" s="5">
        <v>35552</v>
      </c>
      <c r="E271" s="5">
        <v>35580</v>
      </c>
      <c r="F271" s="5">
        <v>35573</v>
      </c>
      <c r="G271">
        <v>2</v>
      </c>
      <c r="H271" s="1">
        <v>11.06</v>
      </c>
      <c r="I271" s="1" t="s">
        <v>310</v>
      </c>
      <c r="J271" s="1" t="s">
        <v>311</v>
      </c>
      <c r="K271" s="1" t="s">
        <v>312</v>
      </c>
      <c r="L271" s="1" t="s">
        <v>59</v>
      </c>
      <c r="M271" s="1" t="s">
        <v>313</v>
      </c>
      <c r="N271" s="1" t="s">
        <v>61</v>
      </c>
      <c r="O2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2" spans="1:15" x14ac:dyDescent="0.25">
      <c r="A272">
        <v>10526</v>
      </c>
      <c r="B272" s="1" t="s">
        <v>149</v>
      </c>
      <c r="C272">
        <v>4</v>
      </c>
      <c r="D272" s="5">
        <v>35555</v>
      </c>
      <c r="E272" s="5">
        <v>35583</v>
      </c>
      <c r="F272" s="5">
        <v>35565</v>
      </c>
      <c r="G272">
        <v>2</v>
      </c>
      <c r="H272" s="1">
        <v>58.59</v>
      </c>
      <c r="I272" s="1" t="s">
        <v>150</v>
      </c>
      <c r="J272" s="1" t="s">
        <v>151</v>
      </c>
      <c r="K272" s="1" t="s">
        <v>152</v>
      </c>
      <c r="L272" s="1" t="s">
        <v>59</v>
      </c>
      <c r="M272" s="1" t="s">
        <v>153</v>
      </c>
      <c r="N272" s="1" t="s">
        <v>154</v>
      </c>
      <c r="O27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3" spans="1:15" x14ac:dyDescent="0.25">
      <c r="A273">
        <v>10527</v>
      </c>
      <c r="B273" s="1" t="s">
        <v>178</v>
      </c>
      <c r="C273">
        <v>7</v>
      </c>
      <c r="D273" s="5">
        <v>35555</v>
      </c>
      <c r="E273" s="5">
        <v>35583</v>
      </c>
      <c r="F273" s="5">
        <v>35557</v>
      </c>
      <c r="G273">
        <v>1</v>
      </c>
      <c r="H273" s="1">
        <v>41.9</v>
      </c>
      <c r="I273" s="1" t="s">
        <v>179</v>
      </c>
      <c r="J273" s="1" t="s">
        <v>180</v>
      </c>
      <c r="K273" s="1" t="s">
        <v>181</v>
      </c>
      <c r="L273" s="1" t="s">
        <v>59</v>
      </c>
      <c r="M273" s="1" t="s">
        <v>182</v>
      </c>
      <c r="N273" s="1" t="s">
        <v>67</v>
      </c>
      <c r="O2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4" spans="1:15" x14ac:dyDescent="0.25">
      <c r="A274">
        <v>10528</v>
      </c>
      <c r="B274" s="1" t="s">
        <v>462</v>
      </c>
      <c r="C274">
        <v>6</v>
      </c>
      <c r="D274" s="5">
        <v>35556</v>
      </c>
      <c r="E274" s="5">
        <v>35570</v>
      </c>
      <c r="F274" s="5">
        <v>35559</v>
      </c>
      <c r="G274">
        <v>2</v>
      </c>
      <c r="H274" s="1">
        <v>3.35</v>
      </c>
      <c r="I274" s="1" t="s">
        <v>463</v>
      </c>
      <c r="J274" s="1" t="s">
        <v>464</v>
      </c>
      <c r="K274" s="1" t="s">
        <v>465</v>
      </c>
      <c r="L274" s="1" t="s">
        <v>264</v>
      </c>
      <c r="M274" s="1" t="s">
        <v>466</v>
      </c>
      <c r="N274" s="1" t="s">
        <v>137</v>
      </c>
      <c r="O2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5" spans="1:15" x14ac:dyDescent="0.25">
      <c r="A275">
        <v>10529</v>
      </c>
      <c r="B275" s="1" t="s">
        <v>467</v>
      </c>
      <c r="C275">
        <v>5</v>
      </c>
      <c r="D275" s="5">
        <v>35557</v>
      </c>
      <c r="E275" s="5">
        <v>35585</v>
      </c>
      <c r="F275" s="5">
        <v>35559</v>
      </c>
      <c r="G275">
        <v>2</v>
      </c>
      <c r="H275" s="1">
        <v>66.69</v>
      </c>
      <c r="I275" s="1" t="s">
        <v>468</v>
      </c>
      <c r="J275" s="1" t="s">
        <v>469</v>
      </c>
      <c r="K275" s="1" t="s">
        <v>470</v>
      </c>
      <c r="L275" s="1" t="s">
        <v>59</v>
      </c>
      <c r="M275" s="1" t="s">
        <v>471</v>
      </c>
      <c r="N275" s="1" t="s">
        <v>85</v>
      </c>
      <c r="O2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6" spans="1:15" x14ac:dyDescent="0.25">
      <c r="A276">
        <v>10530</v>
      </c>
      <c r="B276" s="1" t="s">
        <v>340</v>
      </c>
      <c r="C276">
        <v>3</v>
      </c>
      <c r="D276" s="5">
        <v>35558</v>
      </c>
      <c r="E276" s="5">
        <v>35586</v>
      </c>
      <c r="F276" s="5">
        <v>35562</v>
      </c>
      <c r="G276">
        <v>2</v>
      </c>
      <c r="H276" s="1">
        <v>339.22</v>
      </c>
      <c r="I276" s="1" t="s">
        <v>341</v>
      </c>
      <c r="J276" s="1" t="s">
        <v>342</v>
      </c>
      <c r="K276" s="1" t="s">
        <v>343</v>
      </c>
      <c r="L276" s="1" t="s">
        <v>59</v>
      </c>
      <c r="M276" s="1" t="s">
        <v>344</v>
      </c>
      <c r="N276" s="1" t="s">
        <v>115</v>
      </c>
      <c r="O2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7" spans="1:15" x14ac:dyDescent="0.25">
      <c r="A277">
        <v>10531</v>
      </c>
      <c r="B277" s="1" t="s">
        <v>416</v>
      </c>
      <c r="C277">
        <v>7</v>
      </c>
      <c r="D277" s="5">
        <v>35558</v>
      </c>
      <c r="E277" s="5">
        <v>35586</v>
      </c>
      <c r="F277" s="5">
        <v>35569</v>
      </c>
      <c r="G277">
        <v>1</v>
      </c>
      <c r="H277" s="1">
        <v>8.1199999999999992</v>
      </c>
      <c r="I277" s="1" t="s">
        <v>417</v>
      </c>
      <c r="J277" s="1" t="s">
        <v>418</v>
      </c>
      <c r="K277" s="1" t="s">
        <v>419</v>
      </c>
      <c r="L277" s="1" t="s">
        <v>59</v>
      </c>
      <c r="M277" s="1" t="s">
        <v>420</v>
      </c>
      <c r="N277" s="1" t="s">
        <v>421</v>
      </c>
      <c r="O2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8" spans="1:15" x14ac:dyDescent="0.25">
      <c r="A278">
        <v>10532</v>
      </c>
      <c r="B278" s="1" t="s">
        <v>360</v>
      </c>
      <c r="C278">
        <v>7</v>
      </c>
      <c r="D278" s="5">
        <v>35559</v>
      </c>
      <c r="E278" s="5">
        <v>35587</v>
      </c>
      <c r="F278" s="5">
        <v>35562</v>
      </c>
      <c r="G278">
        <v>3</v>
      </c>
      <c r="H278" s="1">
        <v>74.459999999999994</v>
      </c>
      <c r="I278" s="1" t="s">
        <v>361</v>
      </c>
      <c r="J278" s="1" t="s">
        <v>362</v>
      </c>
      <c r="K278" s="1" t="s">
        <v>232</v>
      </c>
      <c r="L278" s="1" t="s">
        <v>59</v>
      </c>
      <c r="M278" s="1" t="s">
        <v>363</v>
      </c>
      <c r="N278" s="1" t="s">
        <v>234</v>
      </c>
      <c r="O2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79" spans="1:15" x14ac:dyDescent="0.25">
      <c r="A279">
        <v>10533</v>
      </c>
      <c r="B279" s="1" t="s">
        <v>138</v>
      </c>
      <c r="C279">
        <v>8</v>
      </c>
      <c r="D279" s="5">
        <v>35562</v>
      </c>
      <c r="E279" s="5">
        <v>35590</v>
      </c>
      <c r="F279" s="5">
        <v>35572</v>
      </c>
      <c r="G279">
        <v>1</v>
      </c>
      <c r="H279" s="1">
        <v>188.04</v>
      </c>
      <c r="I279" s="1" t="s">
        <v>139</v>
      </c>
      <c r="J279" s="1" t="s">
        <v>140</v>
      </c>
      <c r="K279" s="1" t="s">
        <v>141</v>
      </c>
      <c r="L279" s="1" t="s">
        <v>59</v>
      </c>
      <c r="M279" s="1" t="s">
        <v>142</v>
      </c>
      <c r="N279" s="1" t="s">
        <v>143</v>
      </c>
      <c r="O2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0" spans="1:15" x14ac:dyDescent="0.25">
      <c r="A280">
        <v>10534</v>
      </c>
      <c r="B280" s="1" t="s">
        <v>203</v>
      </c>
      <c r="C280">
        <v>8</v>
      </c>
      <c r="D280" s="5">
        <v>35562</v>
      </c>
      <c r="E280" s="5">
        <v>35590</v>
      </c>
      <c r="F280" s="5">
        <v>35564</v>
      </c>
      <c r="G280">
        <v>2</v>
      </c>
      <c r="H280" s="1">
        <v>27.94</v>
      </c>
      <c r="I280" s="1" t="s">
        <v>204</v>
      </c>
      <c r="J280" s="1" t="s">
        <v>205</v>
      </c>
      <c r="K280" s="1" t="s">
        <v>206</v>
      </c>
      <c r="L280" s="1" t="s">
        <v>59</v>
      </c>
      <c r="M280" s="1" t="s">
        <v>207</v>
      </c>
      <c r="N280" s="1" t="s">
        <v>67</v>
      </c>
      <c r="O2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1" spans="1:15" x14ac:dyDescent="0.25">
      <c r="A281">
        <v>10535</v>
      </c>
      <c r="B281" s="1" t="s">
        <v>364</v>
      </c>
      <c r="C281">
        <v>4</v>
      </c>
      <c r="D281" s="5">
        <v>35563</v>
      </c>
      <c r="E281" s="5">
        <v>35591</v>
      </c>
      <c r="F281" s="5">
        <v>35571</v>
      </c>
      <c r="G281">
        <v>1</v>
      </c>
      <c r="H281" s="1">
        <v>15.64</v>
      </c>
      <c r="I281" s="1" t="s">
        <v>365</v>
      </c>
      <c r="J281" s="1" t="s">
        <v>366</v>
      </c>
      <c r="K281" s="1" t="s">
        <v>119</v>
      </c>
      <c r="L281" s="1" t="s">
        <v>59</v>
      </c>
      <c r="M281" s="1" t="s">
        <v>367</v>
      </c>
      <c r="N281" s="1" t="s">
        <v>121</v>
      </c>
      <c r="O2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2" spans="1:15" x14ac:dyDescent="0.25">
      <c r="A282">
        <v>10536</v>
      </c>
      <c r="B282" s="1" t="s">
        <v>203</v>
      </c>
      <c r="C282">
        <v>3</v>
      </c>
      <c r="D282" s="5">
        <v>35564</v>
      </c>
      <c r="E282" s="5">
        <v>35592</v>
      </c>
      <c r="F282" s="5">
        <v>35587</v>
      </c>
      <c r="G282">
        <v>2</v>
      </c>
      <c r="H282" s="1">
        <v>58.88</v>
      </c>
      <c r="I282" s="1" t="s">
        <v>204</v>
      </c>
      <c r="J282" s="1" t="s">
        <v>205</v>
      </c>
      <c r="K282" s="1" t="s">
        <v>206</v>
      </c>
      <c r="L282" s="1" t="s">
        <v>59</v>
      </c>
      <c r="M282" s="1" t="s">
        <v>207</v>
      </c>
      <c r="N282" s="1" t="s">
        <v>67</v>
      </c>
      <c r="O2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3" spans="1:15" x14ac:dyDescent="0.25">
      <c r="A283">
        <v>10537</v>
      </c>
      <c r="B283" s="1" t="s">
        <v>92</v>
      </c>
      <c r="C283">
        <v>1</v>
      </c>
      <c r="D283" s="5">
        <v>35564</v>
      </c>
      <c r="E283" s="5">
        <v>35578</v>
      </c>
      <c r="F283" s="5">
        <v>35569</v>
      </c>
      <c r="G283">
        <v>1</v>
      </c>
      <c r="H283" s="1">
        <v>78.849999999999994</v>
      </c>
      <c r="I283" s="1" t="s">
        <v>93</v>
      </c>
      <c r="J283" s="1" t="s">
        <v>94</v>
      </c>
      <c r="K283" s="1" t="s">
        <v>95</v>
      </c>
      <c r="L283" s="1" t="s">
        <v>59</v>
      </c>
      <c r="M283" s="1" t="s">
        <v>96</v>
      </c>
      <c r="N283" s="1" t="s">
        <v>91</v>
      </c>
      <c r="O2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4" spans="1:15" x14ac:dyDescent="0.25">
      <c r="A284">
        <v>10538</v>
      </c>
      <c r="B284" s="1" t="s">
        <v>229</v>
      </c>
      <c r="C284">
        <v>9</v>
      </c>
      <c r="D284" s="5">
        <v>35565</v>
      </c>
      <c r="E284" s="5">
        <v>35593</v>
      </c>
      <c r="F284" s="5">
        <v>35566</v>
      </c>
      <c r="G284">
        <v>3</v>
      </c>
      <c r="H284" s="1">
        <v>4.87</v>
      </c>
      <c r="I284" s="1" t="s">
        <v>230</v>
      </c>
      <c r="J284" s="1" t="s">
        <v>231</v>
      </c>
      <c r="K284" s="1" t="s">
        <v>232</v>
      </c>
      <c r="L284" s="1" t="s">
        <v>59</v>
      </c>
      <c r="M284" s="1" t="s">
        <v>233</v>
      </c>
      <c r="N284" s="1" t="s">
        <v>234</v>
      </c>
      <c r="O2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5" spans="1:15" x14ac:dyDescent="0.25">
      <c r="A285">
        <v>10539</v>
      </c>
      <c r="B285" s="1" t="s">
        <v>229</v>
      </c>
      <c r="C285">
        <v>6</v>
      </c>
      <c r="D285" s="5">
        <v>35566</v>
      </c>
      <c r="E285" s="5">
        <v>35594</v>
      </c>
      <c r="F285" s="5">
        <v>35573</v>
      </c>
      <c r="G285">
        <v>3</v>
      </c>
      <c r="H285" s="1">
        <v>12.36</v>
      </c>
      <c r="I285" s="1" t="s">
        <v>230</v>
      </c>
      <c r="J285" s="1" t="s">
        <v>231</v>
      </c>
      <c r="K285" s="1" t="s">
        <v>232</v>
      </c>
      <c r="L285" s="1" t="s">
        <v>59</v>
      </c>
      <c r="M285" s="1" t="s">
        <v>233</v>
      </c>
      <c r="N285" s="1" t="s">
        <v>234</v>
      </c>
      <c r="O2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6" spans="1:15" x14ac:dyDescent="0.25">
      <c r="A286">
        <v>10540</v>
      </c>
      <c r="B286" s="1" t="s">
        <v>178</v>
      </c>
      <c r="C286">
        <v>3</v>
      </c>
      <c r="D286" s="5">
        <v>35569</v>
      </c>
      <c r="E286" s="5">
        <v>35597</v>
      </c>
      <c r="F286" s="5">
        <v>35594</v>
      </c>
      <c r="G286">
        <v>3</v>
      </c>
      <c r="H286" s="1">
        <v>1007.64</v>
      </c>
      <c r="I286" s="1" t="s">
        <v>179</v>
      </c>
      <c r="J286" s="1" t="s">
        <v>180</v>
      </c>
      <c r="K286" s="1" t="s">
        <v>181</v>
      </c>
      <c r="L286" s="1" t="s">
        <v>59</v>
      </c>
      <c r="M286" s="1" t="s">
        <v>182</v>
      </c>
      <c r="N286" s="1" t="s">
        <v>67</v>
      </c>
      <c r="O2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7" spans="1:15" x14ac:dyDescent="0.25">
      <c r="A287">
        <v>10541</v>
      </c>
      <c r="B287" s="1" t="s">
        <v>68</v>
      </c>
      <c r="C287">
        <v>2</v>
      </c>
      <c r="D287" s="5">
        <v>35569</v>
      </c>
      <c r="E287" s="5">
        <v>35597</v>
      </c>
      <c r="F287" s="5">
        <v>35579</v>
      </c>
      <c r="G287">
        <v>1</v>
      </c>
      <c r="H287" s="1">
        <v>68.650000000000006</v>
      </c>
      <c r="I287" s="1" t="s">
        <v>69</v>
      </c>
      <c r="J287" s="1" t="s">
        <v>70</v>
      </c>
      <c r="K287" s="1" t="s">
        <v>71</v>
      </c>
      <c r="L287" s="1" t="s">
        <v>72</v>
      </c>
      <c r="M287" s="1" t="s">
        <v>73</v>
      </c>
      <c r="N287" s="1" t="s">
        <v>74</v>
      </c>
      <c r="O2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8" spans="1:15" x14ac:dyDescent="0.25">
      <c r="A288">
        <v>10542</v>
      </c>
      <c r="B288" s="1" t="s">
        <v>288</v>
      </c>
      <c r="C288">
        <v>1</v>
      </c>
      <c r="D288" s="5">
        <v>35570</v>
      </c>
      <c r="E288" s="5">
        <v>35598</v>
      </c>
      <c r="F288" s="5">
        <v>35576</v>
      </c>
      <c r="G288">
        <v>3</v>
      </c>
      <c r="H288" s="1">
        <v>10.95</v>
      </c>
      <c r="I288" s="1" t="s">
        <v>289</v>
      </c>
      <c r="J288" s="1" t="s">
        <v>290</v>
      </c>
      <c r="K288" s="1" t="s">
        <v>291</v>
      </c>
      <c r="L288" s="1" t="s">
        <v>59</v>
      </c>
      <c r="M288" s="1" t="s">
        <v>292</v>
      </c>
      <c r="N288" s="1" t="s">
        <v>67</v>
      </c>
      <c r="O2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89" spans="1:15" x14ac:dyDescent="0.25">
      <c r="A289">
        <v>10543</v>
      </c>
      <c r="B289" s="1" t="s">
        <v>214</v>
      </c>
      <c r="C289">
        <v>8</v>
      </c>
      <c r="D289" s="5">
        <v>35571</v>
      </c>
      <c r="E289" s="5">
        <v>35599</v>
      </c>
      <c r="F289" s="5">
        <v>35573</v>
      </c>
      <c r="G289">
        <v>2</v>
      </c>
      <c r="H289" s="1">
        <v>48.17</v>
      </c>
      <c r="I289" s="1" t="s">
        <v>215</v>
      </c>
      <c r="J289" s="1" t="s">
        <v>216</v>
      </c>
      <c r="K289" s="1" t="s">
        <v>217</v>
      </c>
      <c r="L289" s="1" t="s">
        <v>218</v>
      </c>
      <c r="M289" s="1" t="s">
        <v>219</v>
      </c>
      <c r="N289" s="1" t="s">
        <v>109</v>
      </c>
      <c r="O2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0" spans="1:15" x14ac:dyDescent="0.25">
      <c r="A290">
        <v>10544</v>
      </c>
      <c r="B290" s="1" t="s">
        <v>260</v>
      </c>
      <c r="C290">
        <v>4</v>
      </c>
      <c r="D290" s="5">
        <v>35571</v>
      </c>
      <c r="E290" s="5">
        <v>35599</v>
      </c>
      <c r="F290" s="5">
        <v>35580</v>
      </c>
      <c r="G290">
        <v>1</v>
      </c>
      <c r="H290" s="1">
        <v>24.91</v>
      </c>
      <c r="I290" s="1" t="s">
        <v>261</v>
      </c>
      <c r="J290" s="1" t="s">
        <v>262</v>
      </c>
      <c r="K290" s="1" t="s">
        <v>263</v>
      </c>
      <c r="L290" s="1" t="s">
        <v>264</v>
      </c>
      <c r="M290" s="1" t="s">
        <v>265</v>
      </c>
      <c r="N290" s="1" t="s">
        <v>137</v>
      </c>
      <c r="O2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1" spans="1:15" x14ac:dyDescent="0.25">
      <c r="A291">
        <v>10545</v>
      </c>
      <c r="B291" s="1" t="s">
        <v>440</v>
      </c>
      <c r="C291">
        <v>8</v>
      </c>
      <c r="D291" s="5">
        <v>35572</v>
      </c>
      <c r="E291" s="5">
        <v>35600</v>
      </c>
      <c r="F291" s="5">
        <v>35607</v>
      </c>
      <c r="G291">
        <v>2</v>
      </c>
      <c r="H291" s="1">
        <v>11.92</v>
      </c>
      <c r="I291" s="1" t="s">
        <v>441</v>
      </c>
      <c r="J291" s="1" t="s">
        <v>442</v>
      </c>
      <c r="K291" s="1" t="s">
        <v>443</v>
      </c>
      <c r="L291" s="1" t="s">
        <v>170</v>
      </c>
      <c r="M291" s="1" t="s">
        <v>444</v>
      </c>
      <c r="N291" s="1" t="s">
        <v>137</v>
      </c>
      <c r="O291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292" spans="1:15" x14ac:dyDescent="0.25">
      <c r="A292">
        <v>10546</v>
      </c>
      <c r="B292" s="1" t="s">
        <v>75</v>
      </c>
      <c r="C292">
        <v>1</v>
      </c>
      <c r="D292" s="5">
        <v>35573</v>
      </c>
      <c r="E292" s="5">
        <v>35601</v>
      </c>
      <c r="F292" s="5">
        <v>35577</v>
      </c>
      <c r="G292">
        <v>3</v>
      </c>
      <c r="H292" s="1">
        <v>194.72</v>
      </c>
      <c r="I292" s="1" t="s">
        <v>76</v>
      </c>
      <c r="J292" s="1" t="s">
        <v>77</v>
      </c>
      <c r="K292" s="1" t="s">
        <v>78</v>
      </c>
      <c r="L292" s="1" t="s">
        <v>59</v>
      </c>
      <c r="M292" s="1" t="s">
        <v>79</v>
      </c>
      <c r="N292" s="1" t="s">
        <v>61</v>
      </c>
      <c r="O2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3" spans="1:15" x14ac:dyDescent="0.25">
      <c r="A293">
        <v>10547</v>
      </c>
      <c r="B293" s="1" t="s">
        <v>351</v>
      </c>
      <c r="C293">
        <v>3</v>
      </c>
      <c r="D293" s="5">
        <v>35573</v>
      </c>
      <c r="E293" s="5">
        <v>35601</v>
      </c>
      <c r="F293" s="5">
        <v>35583</v>
      </c>
      <c r="G293">
        <v>2</v>
      </c>
      <c r="H293" s="1">
        <v>178.43</v>
      </c>
      <c r="I293" s="1" t="s">
        <v>352</v>
      </c>
      <c r="J293" s="1" t="s">
        <v>353</v>
      </c>
      <c r="K293" s="1" t="s">
        <v>232</v>
      </c>
      <c r="L293" s="1" t="s">
        <v>59</v>
      </c>
      <c r="M293" s="1" t="s">
        <v>354</v>
      </c>
      <c r="N293" s="1" t="s">
        <v>234</v>
      </c>
      <c r="O2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4" spans="1:15" x14ac:dyDescent="0.25">
      <c r="A294">
        <v>10548</v>
      </c>
      <c r="B294" s="1" t="s">
        <v>62</v>
      </c>
      <c r="C294">
        <v>3</v>
      </c>
      <c r="D294" s="5">
        <v>35576</v>
      </c>
      <c r="E294" s="5">
        <v>35604</v>
      </c>
      <c r="F294" s="5">
        <v>35583</v>
      </c>
      <c r="G294">
        <v>2</v>
      </c>
      <c r="H294" s="1">
        <v>1.43</v>
      </c>
      <c r="I294" s="1" t="s">
        <v>63</v>
      </c>
      <c r="J294" s="1" t="s">
        <v>64</v>
      </c>
      <c r="K294" s="1" t="s">
        <v>65</v>
      </c>
      <c r="L294" s="1" t="s">
        <v>59</v>
      </c>
      <c r="M294" s="1" t="s">
        <v>66</v>
      </c>
      <c r="N294" s="1" t="s">
        <v>67</v>
      </c>
      <c r="O2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5" spans="1:15" x14ac:dyDescent="0.25">
      <c r="A295">
        <v>10549</v>
      </c>
      <c r="B295" s="1" t="s">
        <v>178</v>
      </c>
      <c r="C295">
        <v>5</v>
      </c>
      <c r="D295" s="5">
        <v>35577</v>
      </c>
      <c r="E295" s="5">
        <v>35591</v>
      </c>
      <c r="F295" s="5">
        <v>35580</v>
      </c>
      <c r="G295">
        <v>1</v>
      </c>
      <c r="H295" s="1">
        <v>171.24</v>
      </c>
      <c r="I295" s="1" t="s">
        <v>179</v>
      </c>
      <c r="J295" s="1" t="s">
        <v>180</v>
      </c>
      <c r="K295" s="1" t="s">
        <v>181</v>
      </c>
      <c r="L295" s="1" t="s">
        <v>59</v>
      </c>
      <c r="M295" s="1" t="s">
        <v>182</v>
      </c>
      <c r="N295" s="1" t="s">
        <v>67</v>
      </c>
      <c r="O2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6" spans="1:15" x14ac:dyDescent="0.25">
      <c r="A296">
        <v>10550</v>
      </c>
      <c r="B296" s="1" t="s">
        <v>249</v>
      </c>
      <c r="C296">
        <v>7</v>
      </c>
      <c r="D296" s="5">
        <v>35578</v>
      </c>
      <c r="E296" s="5">
        <v>35606</v>
      </c>
      <c r="F296" s="5">
        <v>35587</v>
      </c>
      <c r="G296">
        <v>3</v>
      </c>
      <c r="H296" s="1">
        <v>4.32</v>
      </c>
      <c r="I296" s="1" t="s">
        <v>250</v>
      </c>
      <c r="J296" s="1" t="s">
        <v>251</v>
      </c>
      <c r="K296" s="1" t="s">
        <v>252</v>
      </c>
      <c r="L296" s="1" t="s">
        <v>59</v>
      </c>
      <c r="M296" s="1" t="s">
        <v>253</v>
      </c>
      <c r="N296" s="1" t="s">
        <v>213</v>
      </c>
      <c r="O2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7" spans="1:15" x14ac:dyDescent="0.25">
      <c r="A297">
        <v>10551</v>
      </c>
      <c r="B297" s="1" t="s">
        <v>303</v>
      </c>
      <c r="C297">
        <v>4</v>
      </c>
      <c r="D297" s="5">
        <v>35578</v>
      </c>
      <c r="E297" s="5">
        <v>35620</v>
      </c>
      <c r="F297" s="5">
        <v>35587</v>
      </c>
      <c r="G297">
        <v>3</v>
      </c>
      <c r="H297" s="1">
        <v>72.95</v>
      </c>
      <c r="I297" s="1" t="s">
        <v>304</v>
      </c>
      <c r="J297" s="1" t="s">
        <v>305</v>
      </c>
      <c r="K297" s="1" t="s">
        <v>306</v>
      </c>
      <c r="L297" s="1" t="s">
        <v>59</v>
      </c>
      <c r="M297" s="1" t="s">
        <v>307</v>
      </c>
      <c r="N297" s="1" t="s">
        <v>308</v>
      </c>
      <c r="O29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8" spans="1:15" x14ac:dyDescent="0.25">
      <c r="A298">
        <v>10552</v>
      </c>
      <c r="B298" s="1" t="s">
        <v>103</v>
      </c>
      <c r="C298">
        <v>2</v>
      </c>
      <c r="D298" s="5">
        <v>35579</v>
      </c>
      <c r="E298" s="5">
        <v>35607</v>
      </c>
      <c r="F298" s="5">
        <v>35586</v>
      </c>
      <c r="G298">
        <v>1</v>
      </c>
      <c r="H298" s="1">
        <v>83.22</v>
      </c>
      <c r="I298" s="1" t="s">
        <v>104</v>
      </c>
      <c r="J298" s="1" t="s">
        <v>105</v>
      </c>
      <c r="K298" s="1" t="s">
        <v>106</v>
      </c>
      <c r="L298" s="1" t="s">
        <v>107</v>
      </c>
      <c r="M298" s="1" t="s">
        <v>108</v>
      </c>
      <c r="N298" s="1" t="s">
        <v>109</v>
      </c>
      <c r="O2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299" spans="1:15" x14ac:dyDescent="0.25">
      <c r="A299">
        <v>10553</v>
      </c>
      <c r="B299" s="1" t="s">
        <v>149</v>
      </c>
      <c r="C299">
        <v>2</v>
      </c>
      <c r="D299" s="5">
        <v>35580</v>
      </c>
      <c r="E299" s="5">
        <v>35608</v>
      </c>
      <c r="F299" s="5">
        <v>35584</v>
      </c>
      <c r="G299">
        <v>2</v>
      </c>
      <c r="H299" s="1">
        <v>149.49</v>
      </c>
      <c r="I299" s="1" t="s">
        <v>150</v>
      </c>
      <c r="J299" s="1" t="s">
        <v>151</v>
      </c>
      <c r="K299" s="1" t="s">
        <v>152</v>
      </c>
      <c r="L299" s="1" t="s">
        <v>59</v>
      </c>
      <c r="M299" s="1" t="s">
        <v>153</v>
      </c>
      <c r="N299" s="1" t="s">
        <v>154</v>
      </c>
      <c r="O29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0" spans="1:15" x14ac:dyDescent="0.25">
      <c r="A300">
        <v>10554</v>
      </c>
      <c r="B300" s="1" t="s">
        <v>122</v>
      </c>
      <c r="C300">
        <v>4</v>
      </c>
      <c r="D300" s="5">
        <v>35580</v>
      </c>
      <c r="E300" s="5">
        <v>35608</v>
      </c>
      <c r="F300" s="5">
        <v>35586</v>
      </c>
      <c r="G300">
        <v>3</v>
      </c>
      <c r="H300" s="1">
        <v>120.97</v>
      </c>
      <c r="I300" s="1" t="s">
        <v>123</v>
      </c>
      <c r="J300" s="1" t="s">
        <v>124</v>
      </c>
      <c r="K300" s="1" t="s">
        <v>125</v>
      </c>
      <c r="L300" s="1" t="s">
        <v>59</v>
      </c>
      <c r="M300" s="1" t="s">
        <v>126</v>
      </c>
      <c r="N300" s="1" t="s">
        <v>67</v>
      </c>
      <c r="O3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1" spans="1:15" x14ac:dyDescent="0.25">
      <c r="A301">
        <v>10555</v>
      </c>
      <c r="B301" s="1" t="s">
        <v>293</v>
      </c>
      <c r="C301">
        <v>6</v>
      </c>
      <c r="D301" s="5">
        <v>35583</v>
      </c>
      <c r="E301" s="5">
        <v>35611</v>
      </c>
      <c r="F301" s="5">
        <v>35585</v>
      </c>
      <c r="G301">
        <v>3</v>
      </c>
      <c r="H301" s="1">
        <v>252.49</v>
      </c>
      <c r="I301" s="1" t="s">
        <v>294</v>
      </c>
      <c r="J301" s="1" t="s">
        <v>295</v>
      </c>
      <c r="K301" s="1" t="s">
        <v>296</v>
      </c>
      <c r="L301" s="1" t="s">
        <v>297</v>
      </c>
      <c r="M301" s="1" t="s">
        <v>298</v>
      </c>
      <c r="N301" s="1" t="s">
        <v>137</v>
      </c>
      <c r="O3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2" spans="1:15" x14ac:dyDescent="0.25">
      <c r="A302">
        <v>10556</v>
      </c>
      <c r="B302" s="1" t="s">
        <v>325</v>
      </c>
      <c r="C302">
        <v>2</v>
      </c>
      <c r="D302" s="5">
        <v>35584</v>
      </c>
      <c r="E302" s="5">
        <v>35626</v>
      </c>
      <c r="F302" s="5">
        <v>35594</v>
      </c>
      <c r="G302">
        <v>1</v>
      </c>
      <c r="H302" s="1">
        <v>9.8000000000000007</v>
      </c>
      <c r="I302" s="1" t="s">
        <v>326</v>
      </c>
      <c r="J302" s="1" t="s">
        <v>327</v>
      </c>
      <c r="K302" s="1" t="s">
        <v>328</v>
      </c>
      <c r="L302" s="1" t="s">
        <v>59</v>
      </c>
      <c r="M302" s="1" t="s">
        <v>329</v>
      </c>
      <c r="N302" s="1" t="s">
        <v>330</v>
      </c>
      <c r="O3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3" spans="1:15" x14ac:dyDescent="0.25">
      <c r="A303">
        <v>10557</v>
      </c>
      <c r="B303" s="1" t="s">
        <v>203</v>
      </c>
      <c r="C303">
        <v>9</v>
      </c>
      <c r="D303" s="5">
        <v>35584</v>
      </c>
      <c r="E303" s="5">
        <v>35598</v>
      </c>
      <c r="F303" s="5">
        <v>35587</v>
      </c>
      <c r="G303">
        <v>2</v>
      </c>
      <c r="H303" s="1">
        <v>96.72</v>
      </c>
      <c r="I303" s="1" t="s">
        <v>204</v>
      </c>
      <c r="J303" s="1" t="s">
        <v>205</v>
      </c>
      <c r="K303" s="1" t="s">
        <v>206</v>
      </c>
      <c r="L303" s="1" t="s">
        <v>59</v>
      </c>
      <c r="M303" s="1" t="s">
        <v>207</v>
      </c>
      <c r="N303" s="1" t="s">
        <v>67</v>
      </c>
      <c r="O3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4" spans="1:15" x14ac:dyDescent="0.25">
      <c r="A304">
        <v>10558</v>
      </c>
      <c r="B304" s="1" t="s">
        <v>345</v>
      </c>
      <c r="C304">
        <v>1</v>
      </c>
      <c r="D304" s="5">
        <v>35585</v>
      </c>
      <c r="E304" s="5">
        <v>35613</v>
      </c>
      <c r="F304" s="5">
        <v>35591</v>
      </c>
      <c r="G304">
        <v>2</v>
      </c>
      <c r="H304" s="1">
        <v>72.97</v>
      </c>
      <c r="I304" s="1" t="s">
        <v>346</v>
      </c>
      <c r="J304" s="1" t="s">
        <v>347</v>
      </c>
      <c r="K304" s="1" t="s">
        <v>348</v>
      </c>
      <c r="L304" s="1" t="s">
        <v>349</v>
      </c>
      <c r="M304" s="1" t="s">
        <v>350</v>
      </c>
      <c r="N304" s="1" t="s">
        <v>234</v>
      </c>
      <c r="O30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5" spans="1:15" x14ac:dyDescent="0.25">
      <c r="A305">
        <v>10559</v>
      </c>
      <c r="B305" s="1" t="s">
        <v>144</v>
      </c>
      <c r="C305">
        <v>6</v>
      </c>
      <c r="D305" s="5">
        <v>35586</v>
      </c>
      <c r="E305" s="5">
        <v>35614</v>
      </c>
      <c r="F305" s="5">
        <v>35594</v>
      </c>
      <c r="G305">
        <v>1</v>
      </c>
      <c r="H305" s="1">
        <v>8.0500000000000007</v>
      </c>
      <c r="I305" s="1" t="s">
        <v>145</v>
      </c>
      <c r="J305" s="1" t="s">
        <v>146</v>
      </c>
      <c r="K305" s="1" t="s">
        <v>147</v>
      </c>
      <c r="L305" s="1" t="s">
        <v>59</v>
      </c>
      <c r="M305" s="1" t="s">
        <v>148</v>
      </c>
      <c r="N305" s="1" t="s">
        <v>61</v>
      </c>
      <c r="O3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6" spans="1:15" x14ac:dyDescent="0.25">
      <c r="A306">
        <v>10560</v>
      </c>
      <c r="B306" s="1" t="s">
        <v>155</v>
      </c>
      <c r="C306">
        <v>8</v>
      </c>
      <c r="D306" s="5">
        <v>35587</v>
      </c>
      <c r="E306" s="5">
        <v>35615</v>
      </c>
      <c r="F306" s="5">
        <v>35590</v>
      </c>
      <c r="G306">
        <v>1</v>
      </c>
      <c r="H306" s="1">
        <v>36.65</v>
      </c>
      <c r="I306" s="1" t="s">
        <v>156</v>
      </c>
      <c r="J306" s="1" t="s">
        <v>157</v>
      </c>
      <c r="K306" s="1" t="s">
        <v>158</v>
      </c>
      <c r="L306" s="1" t="s">
        <v>59</v>
      </c>
      <c r="M306" s="1" t="s">
        <v>159</v>
      </c>
      <c r="N306" s="1" t="s">
        <v>67</v>
      </c>
      <c r="O30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7" spans="1:15" x14ac:dyDescent="0.25">
      <c r="A307">
        <v>10561</v>
      </c>
      <c r="B307" s="1" t="s">
        <v>138</v>
      </c>
      <c r="C307">
        <v>2</v>
      </c>
      <c r="D307" s="5">
        <v>35587</v>
      </c>
      <c r="E307" s="5">
        <v>35615</v>
      </c>
      <c r="F307" s="5">
        <v>35590</v>
      </c>
      <c r="G307">
        <v>2</v>
      </c>
      <c r="H307" s="1">
        <v>242.21</v>
      </c>
      <c r="I307" s="1" t="s">
        <v>139</v>
      </c>
      <c r="J307" s="1" t="s">
        <v>140</v>
      </c>
      <c r="K307" s="1" t="s">
        <v>141</v>
      </c>
      <c r="L307" s="1" t="s">
        <v>59</v>
      </c>
      <c r="M307" s="1" t="s">
        <v>142</v>
      </c>
      <c r="N307" s="1" t="s">
        <v>143</v>
      </c>
      <c r="O30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8" spans="1:15" x14ac:dyDescent="0.25">
      <c r="A308">
        <v>10562</v>
      </c>
      <c r="B308" s="1" t="s">
        <v>224</v>
      </c>
      <c r="C308">
        <v>1</v>
      </c>
      <c r="D308" s="5">
        <v>35590</v>
      </c>
      <c r="E308" s="5">
        <v>35618</v>
      </c>
      <c r="F308" s="5">
        <v>35593</v>
      </c>
      <c r="G308">
        <v>1</v>
      </c>
      <c r="H308" s="1">
        <v>22.95</v>
      </c>
      <c r="I308" s="1" t="s">
        <v>225</v>
      </c>
      <c r="J308" s="1" t="s">
        <v>226</v>
      </c>
      <c r="K308" s="1" t="s">
        <v>227</v>
      </c>
      <c r="L308" s="1" t="s">
        <v>59</v>
      </c>
      <c r="M308" s="1" t="s">
        <v>228</v>
      </c>
      <c r="N308" s="1" t="s">
        <v>188</v>
      </c>
      <c r="O3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09" spans="1:15" x14ac:dyDescent="0.25">
      <c r="A309">
        <v>10563</v>
      </c>
      <c r="B309" s="1" t="s">
        <v>220</v>
      </c>
      <c r="C309">
        <v>2</v>
      </c>
      <c r="D309" s="5">
        <v>35591</v>
      </c>
      <c r="E309" s="5">
        <v>35633</v>
      </c>
      <c r="F309" s="5">
        <v>35605</v>
      </c>
      <c r="G309">
        <v>2</v>
      </c>
      <c r="H309" s="1">
        <v>60.43</v>
      </c>
      <c r="I309" s="1" t="s">
        <v>221</v>
      </c>
      <c r="J309" s="1" t="s">
        <v>222</v>
      </c>
      <c r="K309" s="1" t="s">
        <v>71</v>
      </c>
      <c r="L309" s="1" t="s">
        <v>72</v>
      </c>
      <c r="M309" s="1" t="s">
        <v>223</v>
      </c>
      <c r="N309" s="1" t="s">
        <v>74</v>
      </c>
      <c r="O3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0" spans="1:15" x14ac:dyDescent="0.25">
      <c r="A310">
        <v>10564</v>
      </c>
      <c r="B310" s="1" t="s">
        <v>131</v>
      </c>
      <c r="C310">
        <v>4</v>
      </c>
      <c r="D310" s="5">
        <v>35591</v>
      </c>
      <c r="E310" s="5">
        <v>35619</v>
      </c>
      <c r="F310" s="5">
        <v>35597</v>
      </c>
      <c r="G310">
        <v>3</v>
      </c>
      <c r="H310" s="1">
        <v>13.75</v>
      </c>
      <c r="I310" s="1" t="s">
        <v>132</v>
      </c>
      <c r="J310" s="1" t="s">
        <v>133</v>
      </c>
      <c r="K310" s="1" t="s">
        <v>134</v>
      </c>
      <c r="L310" s="1" t="s">
        <v>135</v>
      </c>
      <c r="M310" s="1" t="s">
        <v>136</v>
      </c>
      <c r="N310" s="1" t="s">
        <v>137</v>
      </c>
      <c r="O3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1" spans="1:15" x14ac:dyDescent="0.25">
      <c r="A311">
        <v>10565</v>
      </c>
      <c r="B311" s="1" t="s">
        <v>314</v>
      </c>
      <c r="C311">
        <v>8</v>
      </c>
      <c r="D311" s="5">
        <v>35592</v>
      </c>
      <c r="E311" s="5">
        <v>35620</v>
      </c>
      <c r="F311" s="5">
        <v>35599</v>
      </c>
      <c r="G311">
        <v>2</v>
      </c>
      <c r="H311" s="1">
        <v>7.15</v>
      </c>
      <c r="I311" s="1" t="s">
        <v>315</v>
      </c>
      <c r="J311" s="1" t="s">
        <v>316</v>
      </c>
      <c r="K311" s="1" t="s">
        <v>317</v>
      </c>
      <c r="L311" s="1" t="s">
        <v>318</v>
      </c>
      <c r="M311" s="1" t="s">
        <v>319</v>
      </c>
      <c r="N311" s="1" t="s">
        <v>320</v>
      </c>
      <c r="O3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2" spans="1:15" x14ac:dyDescent="0.25">
      <c r="A312">
        <v>10566</v>
      </c>
      <c r="B312" s="1" t="s">
        <v>144</v>
      </c>
      <c r="C312">
        <v>9</v>
      </c>
      <c r="D312" s="5">
        <v>35593</v>
      </c>
      <c r="E312" s="5">
        <v>35621</v>
      </c>
      <c r="F312" s="5">
        <v>35599</v>
      </c>
      <c r="G312">
        <v>1</v>
      </c>
      <c r="H312" s="1">
        <v>88.4</v>
      </c>
      <c r="I312" s="1" t="s">
        <v>145</v>
      </c>
      <c r="J312" s="1" t="s">
        <v>146</v>
      </c>
      <c r="K312" s="1" t="s">
        <v>147</v>
      </c>
      <c r="L312" s="1" t="s">
        <v>59</v>
      </c>
      <c r="M312" s="1" t="s">
        <v>148</v>
      </c>
      <c r="N312" s="1" t="s">
        <v>61</v>
      </c>
      <c r="O3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3" spans="1:15" x14ac:dyDescent="0.25">
      <c r="A313">
        <v>10568</v>
      </c>
      <c r="B313" s="1" t="s">
        <v>368</v>
      </c>
      <c r="C313">
        <v>3</v>
      </c>
      <c r="D313" s="5">
        <v>35594</v>
      </c>
      <c r="E313" s="5">
        <v>35622</v>
      </c>
      <c r="F313" s="5">
        <v>35620</v>
      </c>
      <c r="G313">
        <v>3</v>
      </c>
      <c r="H313" s="1">
        <v>6.54</v>
      </c>
      <c r="I313" s="1" t="s">
        <v>369</v>
      </c>
      <c r="J313" s="1" t="s">
        <v>370</v>
      </c>
      <c r="K313" s="1" t="s">
        <v>371</v>
      </c>
      <c r="L313" s="1" t="s">
        <v>59</v>
      </c>
      <c r="M313" s="1" t="s">
        <v>372</v>
      </c>
      <c r="N313" s="1" t="s">
        <v>213</v>
      </c>
      <c r="O3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4" spans="1:15" x14ac:dyDescent="0.25">
      <c r="A314">
        <v>10569</v>
      </c>
      <c r="B314" s="1" t="s">
        <v>131</v>
      </c>
      <c r="C314">
        <v>5</v>
      </c>
      <c r="D314" s="5">
        <v>35597</v>
      </c>
      <c r="E314" s="5">
        <v>35625</v>
      </c>
      <c r="F314" s="5">
        <v>35622</v>
      </c>
      <c r="G314">
        <v>1</v>
      </c>
      <c r="H314" s="1">
        <v>58.98</v>
      </c>
      <c r="I314" s="1" t="s">
        <v>132</v>
      </c>
      <c r="J314" s="1" t="s">
        <v>133</v>
      </c>
      <c r="K314" s="1" t="s">
        <v>134</v>
      </c>
      <c r="L314" s="1" t="s">
        <v>135</v>
      </c>
      <c r="M314" s="1" t="s">
        <v>136</v>
      </c>
      <c r="N314" s="1" t="s">
        <v>137</v>
      </c>
      <c r="O3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5" spans="1:15" x14ac:dyDescent="0.25">
      <c r="A315">
        <v>10570</v>
      </c>
      <c r="B315" s="1" t="s">
        <v>314</v>
      </c>
      <c r="C315">
        <v>3</v>
      </c>
      <c r="D315" s="5">
        <v>35598</v>
      </c>
      <c r="E315" s="5">
        <v>35626</v>
      </c>
      <c r="F315" s="5">
        <v>35600</v>
      </c>
      <c r="G315">
        <v>3</v>
      </c>
      <c r="H315" s="1">
        <v>188.99</v>
      </c>
      <c r="I315" s="1" t="s">
        <v>315</v>
      </c>
      <c r="J315" s="1" t="s">
        <v>316</v>
      </c>
      <c r="K315" s="1" t="s">
        <v>317</v>
      </c>
      <c r="L315" s="1" t="s">
        <v>318</v>
      </c>
      <c r="M315" s="1" t="s">
        <v>319</v>
      </c>
      <c r="N315" s="1" t="s">
        <v>320</v>
      </c>
      <c r="O3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6" spans="1:15" x14ac:dyDescent="0.25">
      <c r="A316">
        <v>10571</v>
      </c>
      <c r="B316" s="1" t="s">
        <v>110</v>
      </c>
      <c r="C316">
        <v>8</v>
      </c>
      <c r="D316" s="5">
        <v>35598</v>
      </c>
      <c r="E316" s="5">
        <v>35640</v>
      </c>
      <c r="F316" s="5">
        <v>35615</v>
      </c>
      <c r="G316">
        <v>3</v>
      </c>
      <c r="H316" s="1">
        <v>26.06</v>
      </c>
      <c r="I316" s="1" t="s">
        <v>111</v>
      </c>
      <c r="J316" s="1" t="s">
        <v>112</v>
      </c>
      <c r="K316" s="1" t="s">
        <v>113</v>
      </c>
      <c r="L316" s="1" t="s">
        <v>59</v>
      </c>
      <c r="M316" s="1" t="s">
        <v>114</v>
      </c>
      <c r="N316" s="1" t="s">
        <v>115</v>
      </c>
      <c r="O3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7" spans="1:15" x14ac:dyDescent="0.25">
      <c r="A317">
        <v>10572</v>
      </c>
      <c r="B317" s="1" t="s">
        <v>198</v>
      </c>
      <c r="C317">
        <v>3</v>
      </c>
      <c r="D317" s="5">
        <v>35599</v>
      </c>
      <c r="E317" s="5">
        <v>35627</v>
      </c>
      <c r="F317" s="5">
        <v>35606</v>
      </c>
      <c r="G317">
        <v>2</v>
      </c>
      <c r="H317" s="1">
        <v>116.43</v>
      </c>
      <c r="I317" s="1" t="s">
        <v>199</v>
      </c>
      <c r="J317" s="1" t="s">
        <v>200</v>
      </c>
      <c r="K317" s="1" t="s">
        <v>201</v>
      </c>
      <c r="L317" s="1" t="s">
        <v>59</v>
      </c>
      <c r="M317" s="1" t="s">
        <v>202</v>
      </c>
      <c r="N317" s="1" t="s">
        <v>143</v>
      </c>
      <c r="O3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8" spans="1:15" x14ac:dyDescent="0.25">
      <c r="A318">
        <v>10573</v>
      </c>
      <c r="B318" s="1" t="s">
        <v>364</v>
      </c>
      <c r="C318">
        <v>7</v>
      </c>
      <c r="D318" s="5">
        <v>35600</v>
      </c>
      <c r="E318" s="5">
        <v>35628</v>
      </c>
      <c r="F318" s="5">
        <v>35601</v>
      </c>
      <c r="G318">
        <v>3</v>
      </c>
      <c r="H318" s="1">
        <v>84.84</v>
      </c>
      <c r="I318" s="1" t="s">
        <v>365</v>
      </c>
      <c r="J318" s="1" t="s">
        <v>366</v>
      </c>
      <c r="K318" s="1" t="s">
        <v>119</v>
      </c>
      <c r="L318" s="1" t="s">
        <v>59</v>
      </c>
      <c r="M318" s="1" t="s">
        <v>367</v>
      </c>
      <c r="N318" s="1" t="s">
        <v>121</v>
      </c>
      <c r="O31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19" spans="1:15" x14ac:dyDescent="0.25">
      <c r="A319">
        <v>10574</v>
      </c>
      <c r="B319" s="1" t="s">
        <v>472</v>
      </c>
      <c r="C319">
        <v>4</v>
      </c>
      <c r="D319" s="5">
        <v>35600</v>
      </c>
      <c r="E319" s="5">
        <v>35628</v>
      </c>
      <c r="F319" s="5">
        <v>35611</v>
      </c>
      <c r="G319">
        <v>2</v>
      </c>
      <c r="H319" s="1">
        <v>37.6</v>
      </c>
      <c r="I319" s="1" t="s">
        <v>473</v>
      </c>
      <c r="J319" s="1" t="s">
        <v>474</v>
      </c>
      <c r="K319" s="1" t="s">
        <v>475</v>
      </c>
      <c r="L319" s="1" t="s">
        <v>170</v>
      </c>
      <c r="M319" s="1" t="s">
        <v>476</v>
      </c>
      <c r="N319" s="1" t="s">
        <v>137</v>
      </c>
      <c r="O3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0" spans="1:15" x14ac:dyDescent="0.25">
      <c r="A320">
        <v>10575</v>
      </c>
      <c r="B320" s="1" t="s">
        <v>193</v>
      </c>
      <c r="C320">
        <v>5</v>
      </c>
      <c r="D320" s="5">
        <v>35601</v>
      </c>
      <c r="E320" s="5">
        <v>35615</v>
      </c>
      <c r="F320" s="5">
        <v>35611</v>
      </c>
      <c r="G320">
        <v>1</v>
      </c>
      <c r="H320" s="1">
        <v>127.34</v>
      </c>
      <c r="I320" s="1" t="s">
        <v>194</v>
      </c>
      <c r="J320" s="1" t="s">
        <v>195</v>
      </c>
      <c r="K320" s="1" t="s">
        <v>196</v>
      </c>
      <c r="L320" s="1" t="s">
        <v>59</v>
      </c>
      <c r="M320" s="1" t="s">
        <v>197</v>
      </c>
      <c r="N320" s="1" t="s">
        <v>67</v>
      </c>
      <c r="O3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1" spans="1:15" x14ac:dyDescent="0.25">
      <c r="A321">
        <v>10576</v>
      </c>
      <c r="B321" s="1" t="s">
        <v>189</v>
      </c>
      <c r="C321">
        <v>3</v>
      </c>
      <c r="D321" s="5">
        <v>35604</v>
      </c>
      <c r="E321" s="5">
        <v>35618</v>
      </c>
      <c r="F321" s="5">
        <v>35611</v>
      </c>
      <c r="G321">
        <v>3</v>
      </c>
      <c r="H321" s="1">
        <v>18.559999999999999</v>
      </c>
      <c r="I321" s="1" t="s">
        <v>190</v>
      </c>
      <c r="J321" s="1" t="s">
        <v>191</v>
      </c>
      <c r="K321" s="1" t="s">
        <v>119</v>
      </c>
      <c r="L321" s="1" t="s">
        <v>59</v>
      </c>
      <c r="M321" s="1" t="s">
        <v>192</v>
      </c>
      <c r="N321" s="1" t="s">
        <v>121</v>
      </c>
      <c r="O3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2" spans="1:15" x14ac:dyDescent="0.25">
      <c r="A322">
        <v>10577</v>
      </c>
      <c r="B322" s="1" t="s">
        <v>472</v>
      </c>
      <c r="C322">
        <v>9</v>
      </c>
      <c r="D322" s="5">
        <v>35604</v>
      </c>
      <c r="E322" s="5">
        <v>35646</v>
      </c>
      <c r="F322" s="5">
        <v>35611</v>
      </c>
      <c r="G322">
        <v>2</v>
      </c>
      <c r="H322" s="1">
        <v>25.41</v>
      </c>
      <c r="I322" s="1" t="s">
        <v>473</v>
      </c>
      <c r="J322" s="1" t="s">
        <v>474</v>
      </c>
      <c r="K322" s="1" t="s">
        <v>475</v>
      </c>
      <c r="L322" s="1" t="s">
        <v>170</v>
      </c>
      <c r="M322" s="1" t="s">
        <v>476</v>
      </c>
      <c r="N322" s="1" t="s">
        <v>137</v>
      </c>
      <c r="O3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3" spans="1:15" x14ac:dyDescent="0.25">
      <c r="A323">
        <v>10578</v>
      </c>
      <c r="B323" s="1" t="s">
        <v>229</v>
      </c>
      <c r="C323">
        <v>4</v>
      </c>
      <c r="D323" s="5">
        <v>35605</v>
      </c>
      <c r="E323" s="5">
        <v>35633</v>
      </c>
      <c r="F323" s="5">
        <v>35636</v>
      </c>
      <c r="G323">
        <v>3</v>
      </c>
      <c r="H323" s="1">
        <v>29.6</v>
      </c>
      <c r="I323" s="1" t="s">
        <v>230</v>
      </c>
      <c r="J323" s="1" t="s">
        <v>231</v>
      </c>
      <c r="K323" s="1" t="s">
        <v>232</v>
      </c>
      <c r="L323" s="1" t="s">
        <v>59</v>
      </c>
      <c r="M323" s="1" t="s">
        <v>233</v>
      </c>
      <c r="N323" s="1" t="s">
        <v>234</v>
      </c>
      <c r="O323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324" spans="1:15" x14ac:dyDescent="0.25">
      <c r="A324">
        <v>10579</v>
      </c>
      <c r="B324" s="1" t="s">
        <v>477</v>
      </c>
      <c r="C324">
        <v>1</v>
      </c>
      <c r="D324" s="5">
        <v>35606</v>
      </c>
      <c r="E324" s="5">
        <v>35634</v>
      </c>
      <c r="F324" s="5">
        <v>35615</v>
      </c>
      <c r="G324">
        <v>2</v>
      </c>
      <c r="H324" s="1">
        <v>13.73</v>
      </c>
      <c r="I324" s="1" t="s">
        <v>478</v>
      </c>
      <c r="J324" s="1" t="s">
        <v>479</v>
      </c>
      <c r="K324" s="1" t="s">
        <v>480</v>
      </c>
      <c r="L324" s="1" t="s">
        <v>481</v>
      </c>
      <c r="M324" s="1" t="s">
        <v>482</v>
      </c>
      <c r="N324" s="1" t="s">
        <v>137</v>
      </c>
      <c r="O3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5" spans="1:15" x14ac:dyDescent="0.25">
      <c r="A325">
        <v>10580</v>
      </c>
      <c r="B325" s="1" t="s">
        <v>122</v>
      </c>
      <c r="C325">
        <v>4</v>
      </c>
      <c r="D325" s="5">
        <v>35607</v>
      </c>
      <c r="E325" s="5">
        <v>35635</v>
      </c>
      <c r="F325" s="5">
        <v>35612</v>
      </c>
      <c r="G325">
        <v>3</v>
      </c>
      <c r="H325" s="1">
        <v>75.89</v>
      </c>
      <c r="I325" s="1" t="s">
        <v>123</v>
      </c>
      <c r="J325" s="1" t="s">
        <v>124</v>
      </c>
      <c r="K325" s="1" t="s">
        <v>125</v>
      </c>
      <c r="L325" s="1" t="s">
        <v>59</v>
      </c>
      <c r="M325" s="1" t="s">
        <v>126</v>
      </c>
      <c r="N325" s="1" t="s">
        <v>67</v>
      </c>
      <c r="O3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6" spans="1:15" x14ac:dyDescent="0.25">
      <c r="A326">
        <v>10581</v>
      </c>
      <c r="B326" s="1" t="s">
        <v>331</v>
      </c>
      <c r="C326">
        <v>3</v>
      </c>
      <c r="D326" s="5">
        <v>35607</v>
      </c>
      <c r="E326" s="5">
        <v>35635</v>
      </c>
      <c r="F326" s="5">
        <v>35613</v>
      </c>
      <c r="G326">
        <v>1</v>
      </c>
      <c r="H326" s="1">
        <v>3.01</v>
      </c>
      <c r="I326" s="1" t="s">
        <v>332</v>
      </c>
      <c r="J326" s="1" t="s">
        <v>333</v>
      </c>
      <c r="K326" s="1" t="s">
        <v>238</v>
      </c>
      <c r="L326" s="1" t="s">
        <v>101</v>
      </c>
      <c r="M326" s="1" t="s">
        <v>334</v>
      </c>
      <c r="N326" s="1" t="s">
        <v>74</v>
      </c>
      <c r="O3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7" spans="1:15" x14ac:dyDescent="0.25">
      <c r="A327">
        <v>10582</v>
      </c>
      <c r="B327" s="1" t="s">
        <v>450</v>
      </c>
      <c r="C327">
        <v>3</v>
      </c>
      <c r="D327" s="5">
        <v>35608</v>
      </c>
      <c r="E327" s="5">
        <v>35636</v>
      </c>
      <c r="F327" s="5">
        <v>35625</v>
      </c>
      <c r="G327">
        <v>2</v>
      </c>
      <c r="H327" s="1">
        <v>27.71</v>
      </c>
      <c r="I327" s="1" t="s">
        <v>451</v>
      </c>
      <c r="J327" s="1" t="s">
        <v>452</v>
      </c>
      <c r="K327" s="1" t="s">
        <v>453</v>
      </c>
      <c r="L327" s="1" t="s">
        <v>59</v>
      </c>
      <c r="M327" s="1" t="s">
        <v>454</v>
      </c>
      <c r="N327" s="1" t="s">
        <v>67</v>
      </c>
      <c r="O3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8" spans="1:15" x14ac:dyDescent="0.25">
      <c r="A328">
        <v>10583</v>
      </c>
      <c r="B328" s="1" t="s">
        <v>149</v>
      </c>
      <c r="C328">
        <v>2</v>
      </c>
      <c r="D328" s="5">
        <v>35611</v>
      </c>
      <c r="E328" s="5">
        <v>35639</v>
      </c>
      <c r="F328" s="5">
        <v>35615</v>
      </c>
      <c r="G328">
        <v>2</v>
      </c>
      <c r="H328" s="1">
        <v>7.28</v>
      </c>
      <c r="I328" s="1" t="s">
        <v>150</v>
      </c>
      <c r="J328" s="1" t="s">
        <v>151</v>
      </c>
      <c r="K328" s="1" t="s">
        <v>152</v>
      </c>
      <c r="L328" s="1" t="s">
        <v>59</v>
      </c>
      <c r="M328" s="1" t="s">
        <v>153</v>
      </c>
      <c r="N328" s="1" t="s">
        <v>154</v>
      </c>
      <c r="O3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29" spans="1:15" x14ac:dyDescent="0.25">
      <c r="A329">
        <v>10584</v>
      </c>
      <c r="B329" s="1" t="s">
        <v>144</v>
      </c>
      <c r="C329">
        <v>4</v>
      </c>
      <c r="D329" s="5">
        <v>35611</v>
      </c>
      <c r="E329" s="5">
        <v>35639</v>
      </c>
      <c r="F329" s="5">
        <v>35615</v>
      </c>
      <c r="G329">
        <v>1</v>
      </c>
      <c r="H329" s="1">
        <v>59.14</v>
      </c>
      <c r="I329" s="1" t="s">
        <v>145</v>
      </c>
      <c r="J329" s="1" t="s">
        <v>146</v>
      </c>
      <c r="K329" s="1" t="s">
        <v>147</v>
      </c>
      <c r="L329" s="1" t="s">
        <v>59</v>
      </c>
      <c r="M329" s="1" t="s">
        <v>148</v>
      </c>
      <c r="N329" s="1" t="s">
        <v>61</v>
      </c>
      <c r="O3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0" spans="1:15" x14ac:dyDescent="0.25">
      <c r="A330">
        <v>10585</v>
      </c>
      <c r="B330" s="1" t="s">
        <v>97</v>
      </c>
      <c r="C330">
        <v>7</v>
      </c>
      <c r="D330" s="5">
        <v>35612</v>
      </c>
      <c r="E330" s="5">
        <v>35640</v>
      </c>
      <c r="F330" s="5">
        <v>35621</v>
      </c>
      <c r="G330">
        <v>1</v>
      </c>
      <c r="H330" s="1">
        <v>13.41</v>
      </c>
      <c r="I330" s="1" t="s">
        <v>98</v>
      </c>
      <c r="J330" s="1" t="s">
        <v>99</v>
      </c>
      <c r="K330" s="1" t="s">
        <v>100</v>
      </c>
      <c r="L330" s="1" t="s">
        <v>101</v>
      </c>
      <c r="M330" s="1" t="s">
        <v>102</v>
      </c>
      <c r="N330" s="1" t="s">
        <v>74</v>
      </c>
      <c r="O3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1" spans="1:15" x14ac:dyDescent="0.25">
      <c r="A331">
        <v>10586</v>
      </c>
      <c r="B331" s="1" t="s">
        <v>224</v>
      </c>
      <c r="C331">
        <v>9</v>
      </c>
      <c r="D331" s="5">
        <v>35613</v>
      </c>
      <c r="E331" s="5">
        <v>35641</v>
      </c>
      <c r="F331" s="5">
        <v>35620</v>
      </c>
      <c r="G331">
        <v>1</v>
      </c>
      <c r="H331" s="1">
        <v>0.48</v>
      </c>
      <c r="I331" s="1" t="s">
        <v>225</v>
      </c>
      <c r="J331" s="1" t="s">
        <v>226</v>
      </c>
      <c r="K331" s="1" t="s">
        <v>227</v>
      </c>
      <c r="L331" s="1" t="s">
        <v>59</v>
      </c>
      <c r="M331" s="1" t="s">
        <v>228</v>
      </c>
      <c r="N331" s="1" t="s">
        <v>188</v>
      </c>
      <c r="O3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2" spans="1:15" x14ac:dyDescent="0.25">
      <c r="A332">
        <v>10587</v>
      </c>
      <c r="B332" s="1" t="s">
        <v>127</v>
      </c>
      <c r="C332">
        <v>1</v>
      </c>
      <c r="D332" s="5">
        <v>35613</v>
      </c>
      <c r="E332" s="5">
        <v>35641</v>
      </c>
      <c r="F332" s="5">
        <v>35620</v>
      </c>
      <c r="G332">
        <v>1</v>
      </c>
      <c r="H332" s="1">
        <v>62.52</v>
      </c>
      <c r="I332" s="1" t="s">
        <v>128</v>
      </c>
      <c r="J332" s="1" t="s">
        <v>129</v>
      </c>
      <c r="K332" s="1" t="s">
        <v>71</v>
      </c>
      <c r="L332" s="1" t="s">
        <v>72</v>
      </c>
      <c r="M332" s="1" t="s">
        <v>130</v>
      </c>
      <c r="N332" s="1" t="s">
        <v>74</v>
      </c>
      <c r="O3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3" spans="1:15" x14ac:dyDescent="0.25">
      <c r="A333">
        <v>10588</v>
      </c>
      <c r="B333" s="1" t="s">
        <v>178</v>
      </c>
      <c r="C333">
        <v>2</v>
      </c>
      <c r="D333" s="5">
        <v>35614</v>
      </c>
      <c r="E333" s="5">
        <v>35642</v>
      </c>
      <c r="F333" s="5">
        <v>35621</v>
      </c>
      <c r="G333">
        <v>3</v>
      </c>
      <c r="H333" s="1">
        <v>194.67</v>
      </c>
      <c r="I333" s="1" t="s">
        <v>179</v>
      </c>
      <c r="J333" s="1" t="s">
        <v>180</v>
      </c>
      <c r="K333" s="1" t="s">
        <v>181</v>
      </c>
      <c r="L333" s="1" t="s">
        <v>59</v>
      </c>
      <c r="M333" s="1" t="s">
        <v>182</v>
      </c>
      <c r="N333" s="1" t="s">
        <v>67</v>
      </c>
      <c r="O3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4" spans="1:15" x14ac:dyDescent="0.25">
      <c r="A334">
        <v>10589</v>
      </c>
      <c r="B334" s="1" t="s">
        <v>462</v>
      </c>
      <c r="C334">
        <v>8</v>
      </c>
      <c r="D334" s="5">
        <v>35615</v>
      </c>
      <c r="E334" s="5">
        <v>35643</v>
      </c>
      <c r="F334" s="5">
        <v>35625</v>
      </c>
      <c r="G334">
        <v>2</v>
      </c>
      <c r="H334" s="1">
        <v>4.42</v>
      </c>
      <c r="I334" s="1" t="s">
        <v>463</v>
      </c>
      <c r="J334" s="1" t="s">
        <v>464</v>
      </c>
      <c r="K334" s="1" t="s">
        <v>465</v>
      </c>
      <c r="L334" s="1" t="s">
        <v>264</v>
      </c>
      <c r="M334" s="1" t="s">
        <v>466</v>
      </c>
      <c r="N334" s="1" t="s">
        <v>137</v>
      </c>
      <c r="O33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5" spans="1:15" x14ac:dyDescent="0.25">
      <c r="A335">
        <v>10590</v>
      </c>
      <c r="B335" s="1" t="s">
        <v>314</v>
      </c>
      <c r="C335">
        <v>4</v>
      </c>
      <c r="D335" s="5">
        <v>35618</v>
      </c>
      <c r="E335" s="5">
        <v>35646</v>
      </c>
      <c r="F335" s="5">
        <v>35625</v>
      </c>
      <c r="G335">
        <v>3</v>
      </c>
      <c r="H335" s="1">
        <v>44.77</v>
      </c>
      <c r="I335" s="1" t="s">
        <v>315</v>
      </c>
      <c r="J335" s="1" t="s">
        <v>316</v>
      </c>
      <c r="K335" s="1" t="s">
        <v>317</v>
      </c>
      <c r="L335" s="1" t="s">
        <v>318</v>
      </c>
      <c r="M335" s="1" t="s">
        <v>319</v>
      </c>
      <c r="N335" s="1" t="s">
        <v>320</v>
      </c>
      <c r="O3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6" spans="1:15" x14ac:dyDescent="0.25">
      <c r="A336">
        <v>10591</v>
      </c>
      <c r="B336" s="1" t="s">
        <v>373</v>
      </c>
      <c r="C336">
        <v>1</v>
      </c>
      <c r="D336" s="5">
        <v>35618</v>
      </c>
      <c r="E336" s="5">
        <v>35632</v>
      </c>
      <c r="F336" s="5">
        <v>35627</v>
      </c>
      <c r="G336">
        <v>1</v>
      </c>
      <c r="H336" s="1">
        <v>55.92</v>
      </c>
      <c r="I336" s="1" t="s">
        <v>374</v>
      </c>
      <c r="J336" s="1" t="s">
        <v>375</v>
      </c>
      <c r="K336" s="1" t="s">
        <v>376</v>
      </c>
      <c r="L336" s="1" t="s">
        <v>59</v>
      </c>
      <c r="M336" s="1" t="s">
        <v>377</v>
      </c>
      <c r="N336" s="1" t="s">
        <v>330</v>
      </c>
      <c r="O3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7" spans="1:15" x14ac:dyDescent="0.25">
      <c r="A337">
        <v>10592</v>
      </c>
      <c r="B337" s="1" t="s">
        <v>203</v>
      </c>
      <c r="C337">
        <v>3</v>
      </c>
      <c r="D337" s="5">
        <v>35619</v>
      </c>
      <c r="E337" s="5">
        <v>35647</v>
      </c>
      <c r="F337" s="5">
        <v>35627</v>
      </c>
      <c r="G337">
        <v>1</v>
      </c>
      <c r="H337" s="1">
        <v>32.1</v>
      </c>
      <c r="I337" s="1" t="s">
        <v>204</v>
      </c>
      <c r="J337" s="1" t="s">
        <v>205</v>
      </c>
      <c r="K337" s="1" t="s">
        <v>206</v>
      </c>
      <c r="L337" s="1" t="s">
        <v>59</v>
      </c>
      <c r="M337" s="1" t="s">
        <v>207</v>
      </c>
      <c r="N337" s="1" t="s">
        <v>67</v>
      </c>
      <c r="O3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38" spans="1:15" x14ac:dyDescent="0.25">
      <c r="A338">
        <v>10593</v>
      </c>
      <c r="B338" s="1" t="s">
        <v>203</v>
      </c>
      <c r="C338">
        <v>7</v>
      </c>
      <c r="D338" s="5">
        <v>35620</v>
      </c>
      <c r="E338" s="5">
        <v>35648</v>
      </c>
      <c r="F338" s="5">
        <v>35655</v>
      </c>
      <c r="G338">
        <v>2</v>
      </c>
      <c r="H338" s="1">
        <v>174.2</v>
      </c>
      <c r="I338" s="1" t="s">
        <v>204</v>
      </c>
      <c r="J338" s="1" t="s">
        <v>205</v>
      </c>
      <c r="K338" s="1" t="s">
        <v>206</v>
      </c>
      <c r="L338" s="1" t="s">
        <v>59</v>
      </c>
      <c r="M338" s="1" t="s">
        <v>207</v>
      </c>
      <c r="N338" s="1" t="s">
        <v>67</v>
      </c>
      <c r="O338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339" spans="1:15" x14ac:dyDescent="0.25">
      <c r="A339">
        <v>10594</v>
      </c>
      <c r="B339" s="1" t="s">
        <v>254</v>
      </c>
      <c r="C339">
        <v>3</v>
      </c>
      <c r="D339" s="5">
        <v>35620</v>
      </c>
      <c r="E339" s="5">
        <v>35648</v>
      </c>
      <c r="F339" s="5">
        <v>35627</v>
      </c>
      <c r="G339">
        <v>2</v>
      </c>
      <c r="H339" s="1">
        <v>5.24</v>
      </c>
      <c r="I339" s="1" t="s">
        <v>255</v>
      </c>
      <c r="J339" s="1" t="s">
        <v>256</v>
      </c>
      <c r="K339" s="1" t="s">
        <v>257</v>
      </c>
      <c r="L339" s="1" t="s">
        <v>258</v>
      </c>
      <c r="M339" s="1" t="s">
        <v>259</v>
      </c>
      <c r="N339" s="1" t="s">
        <v>137</v>
      </c>
      <c r="O3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0" spans="1:15" x14ac:dyDescent="0.25">
      <c r="A340">
        <v>10595</v>
      </c>
      <c r="B340" s="1" t="s">
        <v>110</v>
      </c>
      <c r="C340">
        <v>2</v>
      </c>
      <c r="D340" s="5">
        <v>35621</v>
      </c>
      <c r="E340" s="5">
        <v>35649</v>
      </c>
      <c r="F340" s="5">
        <v>35625</v>
      </c>
      <c r="G340">
        <v>1</v>
      </c>
      <c r="H340" s="1">
        <v>96.78</v>
      </c>
      <c r="I340" s="1" t="s">
        <v>111</v>
      </c>
      <c r="J340" s="1" t="s">
        <v>112</v>
      </c>
      <c r="K340" s="1" t="s">
        <v>113</v>
      </c>
      <c r="L340" s="1" t="s">
        <v>59</v>
      </c>
      <c r="M340" s="1" t="s">
        <v>114</v>
      </c>
      <c r="N340" s="1" t="s">
        <v>115</v>
      </c>
      <c r="O3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1" spans="1:15" x14ac:dyDescent="0.25">
      <c r="A341">
        <v>10596</v>
      </c>
      <c r="B341" s="1" t="s">
        <v>166</v>
      </c>
      <c r="C341">
        <v>8</v>
      </c>
      <c r="D341" s="5">
        <v>35622</v>
      </c>
      <c r="E341" s="5">
        <v>35650</v>
      </c>
      <c r="F341" s="5">
        <v>35654</v>
      </c>
      <c r="G341">
        <v>1</v>
      </c>
      <c r="H341" s="1">
        <v>16.34</v>
      </c>
      <c r="I341" s="1" t="s">
        <v>167</v>
      </c>
      <c r="J341" s="1" t="s">
        <v>168</v>
      </c>
      <c r="K341" s="1" t="s">
        <v>169</v>
      </c>
      <c r="L341" s="1" t="s">
        <v>170</v>
      </c>
      <c r="M341" s="1" t="s">
        <v>171</v>
      </c>
      <c r="N341" s="1" t="s">
        <v>137</v>
      </c>
      <c r="O341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342" spans="1:15" x14ac:dyDescent="0.25">
      <c r="A342">
        <v>10597</v>
      </c>
      <c r="B342" s="1" t="s">
        <v>340</v>
      </c>
      <c r="C342">
        <v>7</v>
      </c>
      <c r="D342" s="5">
        <v>35622</v>
      </c>
      <c r="E342" s="5">
        <v>35650</v>
      </c>
      <c r="F342" s="5">
        <v>35629</v>
      </c>
      <c r="G342">
        <v>3</v>
      </c>
      <c r="H342" s="1">
        <v>35.119999999999997</v>
      </c>
      <c r="I342" s="1" t="s">
        <v>341</v>
      </c>
      <c r="J342" s="1" t="s">
        <v>342</v>
      </c>
      <c r="K342" s="1" t="s">
        <v>343</v>
      </c>
      <c r="L342" s="1" t="s">
        <v>59</v>
      </c>
      <c r="M342" s="1" t="s">
        <v>344</v>
      </c>
      <c r="N342" s="1" t="s">
        <v>115</v>
      </c>
      <c r="O3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3" spans="1:15" x14ac:dyDescent="0.25">
      <c r="A343">
        <v>10598</v>
      </c>
      <c r="B343" s="1" t="s">
        <v>131</v>
      </c>
      <c r="C343">
        <v>1</v>
      </c>
      <c r="D343" s="5">
        <v>35625</v>
      </c>
      <c r="E343" s="5">
        <v>35653</v>
      </c>
      <c r="F343" s="5">
        <v>35629</v>
      </c>
      <c r="G343">
        <v>3</v>
      </c>
      <c r="H343" s="1">
        <v>44.42</v>
      </c>
      <c r="I343" s="1" t="s">
        <v>132</v>
      </c>
      <c r="J343" s="1" t="s">
        <v>133</v>
      </c>
      <c r="K343" s="1" t="s">
        <v>134</v>
      </c>
      <c r="L343" s="1" t="s">
        <v>135</v>
      </c>
      <c r="M343" s="1" t="s">
        <v>136</v>
      </c>
      <c r="N343" s="1" t="s">
        <v>137</v>
      </c>
      <c r="O3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4" spans="1:15" x14ac:dyDescent="0.25">
      <c r="A344">
        <v>10599</v>
      </c>
      <c r="B344" s="1" t="s">
        <v>229</v>
      </c>
      <c r="C344">
        <v>6</v>
      </c>
      <c r="D344" s="5">
        <v>35626</v>
      </c>
      <c r="E344" s="5">
        <v>35668</v>
      </c>
      <c r="F344" s="5">
        <v>35632</v>
      </c>
      <c r="G344">
        <v>3</v>
      </c>
      <c r="H344" s="1">
        <v>29.98</v>
      </c>
      <c r="I344" s="1" t="s">
        <v>230</v>
      </c>
      <c r="J344" s="1" t="s">
        <v>231</v>
      </c>
      <c r="K344" s="1" t="s">
        <v>232</v>
      </c>
      <c r="L344" s="1" t="s">
        <v>59</v>
      </c>
      <c r="M344" s="1" t="s">
        <v>233</v>
      </c>
      <c r="N344" s="1" t="s">
        <v>234</v>
      </c>
      <c r="O3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5" spans="1:15" x14ac:dyDescent="0.25">
      <c r="A345">
        <v>10600</v>
      </c>
      <c r="B345" s="1" t="s">
        <v>388</v>
      </c>
      <c r="C345">
        <v>4</v>
      </c>
      <c r="D345" s="5">
        <v>35627</v>
      </c>
      <c r="E345" s="5">
        <v>35655</v>
      </c>
      <c r="F345" s="5">
        <v>35632</v>
      </c>
      <c r="G345">
        <v>1</v>
      </c>
      <c r="H345" s="1">
        <v>45.13</v>
      </c>
      <c r="I345" s="1" t="s">
        <v>389</v>
      </c>
      <c r="J345" s="1" t="s">
        <v>390</v>
      </c>
      <c r="K345" s="1" t="s">
        <v>391</v>
      </c>
      <c r="L345" s="1" t="s">
        <v>264</v>
      </c>
      <c r="M345" s="1" t="s">
        <v>392</v>
      </c>
      <c r="N345" s="1" t="s">
        <v>137</v>
      </c>
      <c r="O3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6" spans="1:15" x14ac:dyDescent="0.25">
      <c r="A346">
        <v>10601</v>
      </c>
      <c r="B346" s="1" t="s">
        <v>103</v>
      </c>
      <c r="C346">
        <v>7</v>
      </c>
      <c r="D346" s="5">
        <v>35627</v>
      </c>
      <c r="E346" s="5">
        <v>35669</v>
      </c>
      <c r="F346" s="5">
        <v>35633</v>
      </c>
      <c r="G346">
        <v>1</v>
      </c>
      <c r="H346" s="1">
        <v>58.3</v>
      </c>
      <c r="I346" s="1" t="s">
        <v>104</v>
      </c>
      <c r="J346" s="1" t="s">
        <v>105</v>
      </c>
      <c r="K346" s="1" t="s">
        <v>106</v>
      </c>
      <c r="L346" s="1" t="s">
        <v>107</v>
      </c>
      <c r="M346" s="1" t="s">
        <v>108</v>
      </c>
      <c r="N346" s="1" t="s">
        <v>109</v>
      </c>
      <c r="O34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7" spans="1:15" x14ac:dyDescent="0.25">
      <c r="A347">
        <v>10602</v>
      </c>
      <c r="B347" s="1" t="s">
        <v>373</v>
      </c>
      <c r="C347">
        <v>8</v>
      </c>
      <c r="D347" s="5">
        <v>35628</v>
      </c>
      <c r="E347" s="5">
        <v>35656</v>
      </c>
      <c r="F347" s="5">
        <v>35633</v>
      </c>
      <c r="G347">
        <v>2</v>
      </c>
      <c r="H347" s="1">
        <v>2.92</v>
      </c>
      <c r="I347" s="1" t="s">
        <v>374</v>
      </c>
      <c r="J347" s="1" t="s">
        <v>375</v>
      </c>
      <c r="K347" s="1" t="s">
        <v>376</v>
      </c>
      <c r="L347" s="1" t="s">
        <v>59</v>
      </c>
      <c r="M347" s="1" t="s">
        <v>377</v>
      </c>
      <c r="N347" s="1" t="s">
        <v>330</v>
      </c>
      <c r="O3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8" spans="1:15" x14ac:dyDescent="0.25">
      <c r="A348">
        <v>10603</v>
      </c>
      <c r="B348" s="1" t="s">
        <v>293</v>
      </c>
      <c r="C348">
        <v>8</v>
      </c>
      <c r="D348" s="5">
        <v>35629</v>
      </c>
      <c r="E348" s="5">
        <v>35657</v>
      </c>
      <c r="F348" s="5">
        <v>35650</v>
      </c>
      <c r="G348">
        <v>2</v>
      </c>
      <c r="H348" s="1">
        <v>48.77</v>
      </c>
      <c r="I348" s="1" t="s">
        <v>294</v>
      </c>
      <c r="J348" s="1" t="s">
        <v>295</v>
      </c>
      <c r="K348" s="1" t="s">
        <v>296</v>
      </c>
      <c r="L348" s="1" t="s">
        <v>297</v>
      </c>
      <c r="M348" s="1" t="s">
        <v>298</v>
      </c>
      <c r="N348" s="1" t="s">
        <v>137</v>
      </c>
      <c r="O3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49" spans="1:15" x14ac:dyDescent="0.25">
      <c r="A349">
        <v>10604</v>
      </c>
      <c r="B349" s="1" t="s">
        <v>303</v>
      </c>
      <c r="C349">
        <v>1</v>
      </c>
      <c r="D349" s="5">
        <v>35629</v>
      </c>
      <c r="E349" s="5">
        <v>35657</v>
      </c>
      <c r="F349" s="5">
        <v>35640</v>
      </c>
      <c r="G349">
        <v>1</v>
      </c>
      <c r="H349" s="1">
        <v>7.46</v>
      </c>
      <c r="I349" s="1" t="s">
        <v>304</v>
      </c>
      <c r="J349" s="1" t="s">
        <v>305</v>
      </c>
      <c r="K349" s="1" t="s">
        <v>306</v>
      </c>
      <c r="L349" s="1" t="s">
        <v>59</v>
      </c>
      <c r="M349" s="1" t="s">
        <v>307</v>
      </c>
      <c r="N349" s="1" t="s">
        <v>308</v>
      </c>
      <c r="O3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0" spans="1:15" x14ac:dyDescent="0.25">
      <c r="A350">
        <v>10605</v>
      </c>
      <c r="B350" s="1" t="s">
        <v>314</v>
      </c>
      <c r="C350">
        <v>1</v>
      </c>
      <c r="D350" s="5">
        <v>35632</v>
      </c>
      <c r="E350" s="5">
        <v>35660</v>
      </c>
      <c r="F350" s="5">
        <v>35640</v>
      </c>
      <c r="G350">
        <v>2</v>
      </c>
      <c r="H350" s="1">
        <v>379.13</v>
      </c>
      <c r="I350" s="1" t="s">
        <v>315</v>
      </c>
      <c r="J350" s="1" t="s">
        <v>316</v>
      </c>
      <c r="K350" s="1" t="s">
        <v>317</v>
      </c>
      <c r="L350" s="1" t="s">
        <v>318</v>
      </c>
      <c r="M350" s="1" t="s">
        <v>319</v>
      </c>
      <c r="N350" s="1" t="s">
        <v>320</v>
      </c>
      <c r="O3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1" spans="1:15" x14ac:dyDescent="0.25">
      <c r="A351">
        <v>10606</v>
      </c>
      <c r="B351" s="1" t="s">
        <v>240</v>
      </c>
      <c r="C351">
        <v>4</v>
      </c>
      <c r="D351" s="5">
        <v>35633</v>
      </c>
      <c r="E351" s="5">
        <v>35661</v>
      </c>
      <c r="F351" s="5">
        <v>35642</v>
      </c>
      <c r="G351">
        <v>3</v>
      </c>
      <c r="H351" s="1">
        <v>79.400000000000006</v>
      </c>
      <c r="I351" s="1" t="s">
        <v>241</v>
      </c>
      <c r="J351" s="1" t="s">
        <v>242</v>
      </c>
      <c r="K351" s="1" t="s">
        <v>238</v>
      </c>
      <c r="L351" s="1" t="s">
        <v>101</v>
      </c>
      <c r="M351" s="1" t="s">
        <v>243</v>
      </c>
      <c r="N351" s="1" t="s">
        <v>74</v>
      </c>
      <c r="O3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2" spans="1:15" x14ac:dyDescent="0.25">
      <c r="A352">
        <v>10607</v>
      </c>
      <c r="B352" s="1" t="s">
        <v>293</v>
      </c>
      <c r="C352">
        <v>5</v>
      </c>
      <c r="D352" s="5">
        <v>35633</v>
      </c>
      <c r="E352" s="5">
        <v>35661</v>
      </c>
      <c r="F352" s="5">
        <v>35636</v>
      </c>
      <c r="G352">
        <v>1</v>
      </c>
      <c r="H352" s="1">
        <v>200.24</v>
      </c>
      <c r="I352" s="1" t="s">
        <v>294</v>
      </c>
      <c r="J352" s="1" t="s">
        <v>295</v>
      </c>
      <c r="K352" s="1" t="s">
        <v>296</v>
      </c>
      <c r="L352" s="1" t="s">
        <v>297</v>
      </c>
      <c r="M352" s="1" t="s">
        <v>298</v>
      </c>
      <c r="N352" s="1" t="s">
        <v>137</v>
      </c>
      <c r="O3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3" spans="1:15" x14ac:dyDescent="0.25">
      <c r="A353">
        <v>10608</v>
      </c>
      <c r="B353" s="1" t="s">
        <v>62</v>
      </c>
      <c r="C353">
        <v>4</v>
      </c>
      <c r="D353" s="5">
        <v>35634</v>
      </c>
      <c r="E353" s="5">
        <v>35662</v>
      </c>
      <c r="F353" s="5">
        <v>35643</v>
      </c>
      <c r="G353">
        <v>2</v>
      </c>
      <c r="H353" s="1">
        <v>27.79</v>
      </c>
      <c r="I353" s="1" t="s">
        <v>63</v>
      </c>
      <c r="J353" s="1" t="s">
        <v>64</v>
      </c>
      <c r="K353" s="1" t="s">
        <v>65</v>
      </c>
      <c r="L353" s="1" t="s">
        <v>59</v>
      </c>
      <c r="M353" s="1" t="s">
        <v>66</v>
      </c>
      <c r="N353" s="1" t="s">
        <v>67</v>
      </c>
      <c r="O3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4" spans="1:15" x14ac:dyDescent="0.25">
      <c r="A354">
        <v>10609</v>
      </c>
      <c r="B354" s="1" t="s">
        <v>274</v>
      </c>
      <c r="C354">
        <v>7</v>
      </c>
      <c r="D354" s="5">
        <v>35635</v>
      </c>
      <c r="E354" s="5">
        <v>35663</v>
      </c>
      <c r="F354" s="5">
        <v>35641</v>
      </c>
      <c r="G354">
        <v>2</v>
      </c>
      <c r="H354" s="1">
        <v>1.85</v>
      </c>
      <c r="I354" s="1" t="s">
        <v>275</v>
      </c>
      <c r="J354" s="1" t="s">
        <v>276</v>
      </c>
      <c r="K354" s="1" t="s">
        <v>277</v>
      </c>
      <c r="L354" s="1" t="s">
        <v>59</v>
      </c>
      <c r="M354" s="1" t="s">
        <v>278</v>
      </c>
      <c r="N354" s="1" t="s">
        <v>61</v>
      </c>
      <c r="O3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5" spans="1:15" x14ac:dyDescent="0.25">
      <c r="A355">
        <v>10610</v>
      </c>
      <c r="B355" s="1" t="s">
        <v>335</v>
      </c>
      <c r="C355">
        <v>8</v>
      </c>
      <c r="D355" s="5">
        <v>35636</v>
      </c>
      <c r="E355" s="5">
        <v>35664</v>
      </c>
      <c r="F355" s="5">
        <v>35648</v>
      </c>
      <c r="G355">
        <v>1</v>
      </c>
      <c r="H355" s="1">
        <v>26.78</v>
      </c>
      <c r="I355" s="1" t="s">
        <v>336</v>
      </c>
      <c r="J355" s="1" t="s">
        <v>337</v>
      </c>
      <c r="K355" s="1" t="s">
        <v>338</v>
      </c>
      <c r="L355" s="1" t="s">
        <v>59</v>
      </c>
      <c r="M355" s="1" t="s">
        <v>339</v>
      </c>
      <c r="N355" s="1" t="s">
        <v>61</v>
      </c>
      <c r="O35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6" spans="1:15" x14ac:dyDescent="0.25">
      <c r="A356">
        <v>10611</v>
      </c>
      <c r="B356" s="1" t="s">
        <v>382</v>
      </c>
      <c r="C356">
        <v>6</v>
      </c>
      <c r="D356" s="5">
        <v>35636</v>
      </c>
      <c r="E356" s="5">
        <v>35664</v>
      </c>
      <c r="F356" s="5">
        <v>35643</v>
      </c>
      <c r="G356">
        <v>2</v>
      </c>
      <c r="H356" s="1">
        <v>80.650000000000006</v>
      </c>
      <c r="I356" s="1" t="s">
        <v>383</v>
      </c>
      <c r="J356" s="1" t="s">
        <v>384</v>
      </c>
      <c r="K356" s="1" t="s">
        <v>385</v>
      </c>
      <c r="L356" s="1" t="s">
        <v>59</v>
      </c>
      <c r="M356" s="1" t="s">
        <v>386</v>
      </c>
      <c r="N356" s="1" t="s">
        <v>387</v>
      </c>
      <c r="O3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7" spans="1:15" x14ac:dyDescent="0.25">
      <c r="A357">
        <v>10612</v>
      </c>
      <c r="B357" s="1" t="s">
        <v>293</v>
      </c>
      <c r="C357">
        <v>1</v>
      </c>
      <c r="D357" s="5">
        <v>35639</v>
      </c>
      <c r="E357" s="5">
        <v>35667</v>
      </c>
      <c r="F357" s="5">
        <v>35643</v>
      </c>
      <c r="G357">
        <v>2</v>
      </c>
      <c r="H357" s="1">
        <v>544.08000000000004</v>
      </c>
      <c r="I357" s="1" t="s">
        <v>294</v>
      </c>
      <c r="J357" s="1" t="s">
        <v>295</v>
      </c>
      <c r="K357" s="1" t="s">
        <v>296</v>
      </c>
      <c r="L357" s="1" t="s">
        <v>297</v>
      </c>
      <c r="M357" s="1" t="s">
        <v>298</v>
      </c>
      <c r="N357" s="1" t="s">
        <v>137</v>
      </c>
      <c r="O3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8" spans="1:15" x14ac:dyDescent="0.25">
      <c r="A358">
        <v>10613</v>
      </c>
      <c r="B358" s="1" t="s">
        <v>103</v>
      </c>
      <c r="C358">
        <v>4</v>
      </c>
      <c r="D358" s="5">
        <v>35640</v>
      </c>
      <c r="E358" s="5">
        <v>35668</v>
      </c>
      <c r="F358" s="5">
        <v>35643</v>
      </c>
      <c r="G358">
        <v>2</v>
      </c>
      <c r="H358" s="1">
        <v>8.11</v>
      </c>
      <c r="I358" s="1" t="s">
        <v>104</v>
      </c>
      <c r="J358" s="1" t="s">
        <v>105</v>
      </c>
      <c r="K358" s="1" t="s">
        <v>106</v>
      </c>
      <c r="L358" s="1" t="s">
        <v>107</v>
      </c>
      <c r="M358" s="1" t="s">
        <v>108</v>
      </c>
      <c r="N358" s="1" t="s">
        <v>109</v>
      </c>
      <c r="O3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59" spans="1:15" x14ac:dyDescent="0.25">
      <c r="A359">
        <v>10614</v>
      </c>
      <c r="B359" s="1" t="s">
        <v>450</v>
      </c>
      <c r="C359">
        <v>8</v>
      </c>
      <c r="D359" s="5">
        <v>35640</v>
      </c>
      <c r="E359" s="5">
        <v>35668</v>
      </c>
      <c r="F359" s="5">
        <v>35643</v>
      </c>
      <c r="G359">
        <v>3</v>
      </c>
      <c r="H359" s="1">
        <v>1.93</v>
      </c>
      <c r="I359" s="1" t="s">
        <v>451</v>
      </c>
      <c r="J359" s="1" t="s">
        <v>452</v>
      </c>
      <c r="K359" s="1" t="s">
        <v>453</v>
      </c>
      <c r="L359" s="1" t="s">
        <v>59</v>
      </c>
      <c r="M359" s="1" t="s">
        <v>454</v>
      </c>
      <c r="N359" s="1" t="s">
        <v>67</v>
      </c>
      <c r="O3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0" spans="1:15" x14ac:dyDescent="0.25">
      <c r="A360">
        <v>10615</v>
      </c>
      <c r="B360" s="1" t="s">
        <v>483</v>
      </c>
      <c r="C360">
        <v>2</v>
      </c>
      <c r="D360" s="5">
        <v>35641</v>
      </c>
      <c r="E360" s="5">
        <v>35669</v>
      </c>
      <c r="F360" s="5">
        <v>35648</v>
      </c>
      <c r="G360">
        <v>3</v>
      </c>
      <c r="H360" s="1">
        <v>0.75</v>
      </c>
      <c r="I360" s="1" t="s">
        <v>484</v>
      </c>
      <c r="J360" s="1" t="s">
        <v>485</v>
      </c>
      <c r="K360" s="1" t="s">
        <v>486</v>
      </c>
      <c r="L360" s="1" t="s">
        <v>59</v>
      </c>
      <c r="M360" s="1" t="s">
        <v>487</v>
      </c>
      <c r="N360" s="1" t="s">
        <v>154</v>
      </c>
      <c r="O3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1" spans="1:15" x14ac:dyDescent="0.25">
      <c r="A361">
        <v>10616</v>
      </c>
      <c r="B361" s="1" t="s">
        <v>462</v>
      </c>
      <c r="C361">
        <v>1</v>
      </c>
      <c r="D361" s="5">
        <v>35642</v>
      </c>
      <c r="E361" s="5">
        <v>35670</v>
      </c>
      <c r="F361" s="5">
        <v>35647</v>
      </c>
      <c r="G361">
        <v>2</v>
      </c>
      <c r="H361" s="1">
        <v>116.53</v>
      </c>
      <c r="I361" s="1" t="s">
        <v>463</v>
      </c>
      <c r="J361" s="1" t="s">
        <v>464</v>
      </c>
      <c r="K361" s="1" t="s">
        <v>465</v>
      </c>
      <c r="L361" s="1" t="s">
        <v>264</v>
      </c>
      <c r="M361" s="1" t="s">
        <v>466</v>
      </c>
      <c r="N361" s="1" t="s">
        <v>137</v>
      </c>
      <c r="O3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2" spans="1:15" x14ac:dyDescent="0.25">
      <c r="A362">
        <v>10617</v>
      </c>
      <c r="B362" s="1" t="s">
        <v>462</v>
      </c>
      <c r="C362">
        <v>4</v>
      </c>
      <c r="D362" s="5">
        <v>35642</v>
      </c>
      <c r="E362" s="5">
        <v>35670</v>
      </c>
      <c r="F362" s="5">
        <v>35646</v>
      </c>
      <c r="G362">
        <v>2</v>
      </c>
      <c r="H362" s="1">
        <v>18.53</v>
      </c>
      <c r="I362" s="1" t="s">
        <v>463</v>
      </c>
      <c r="J362" s="1" t="s">
        <v>464</v>
      </c>
      <c r="K362" s="1" t="s">
        <v>465</v>
      </c>
      <c r="L362" s="1" t="s">
        <v>264</v>
      </c>
      <c r="M362" s="1" t="s">
        <v>466</v>
      </c>
      <c r="N362" s="1" t="s">
        <v>137</v>
      </c>
      <c r="O3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3" spans="1:15" x14ac:dyDescent="0.25">
      <c r="A363">
        <v>10618</v>
      </c>
      <c r="B363" s="1" t="s">
        <v>314</v>
      </c>
      <c r="C363">
        <v>1</v>
      </c>
      <c r="D363" s="5">
        <v>35643</v>
      </c>
      <c r="E363" s="5">
        <v>35685</v>
      </c>
      <c r="F363" s="5">
        <v>35650</v>
      </c>
      <c r="G363">
        <v>1</v>
      </c>
      <c r="H363" s="1">
        <v>154.68</v>
      </c>
      <c r="I363" s="1" t="s">
        <v>315</v>
      </c>
      <c r="J363" s="1" t="s">
        <v>316</v>
      </c>
      <c r="K363" s="1" t="s">
        <v>317</v>
      </c>
      <c r="L363" s="1" t="s">
        <v>318</v>
      </c>
      <c r="M363" s="1" t="s">
        <v>319</v>
      </c>
      <c r="N363" s="1" t="s">
        <v>320</v>
      </c>
      <c r="O3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4" spans="1:15" x14ac:dyDescent="0.25">
      <c r="A364">
        <v>10619</v>
      </c>
      <c r="B364" s="1" t="s">
        <v>314</v>
      </c>
      <c r="C364">
        <v>3</v>
      </c>
      <c r="D364" s="5">
        <v>35646</v>
      </c>
      <c r="E364" s="5">
        <v>35674</v>
      </c>
      <c r="F364" s="5">
        <v>35649</v>
      </c>
      <c r="G364">
        <v>3</v>
      </c>
      <c r="H364" s="1">
        <v>91.05</v>
      </c>
      <c r="I364" s="1" t="s">
        <v>315</v>
      </c>
      <c r="J364" s="1" t="s">
        <v>316</v>
      </c>
      <c r="K364" s="1" t="s">
        <v>317</v>
      </c>
      <c r="L364" s="1" t="s">
        <v>318</v>
      </c>
      <c r="M364" s="1" t="s">
        <v>319</v>
      </c>
      <c r="N364" s="1" t="s">
        <v>320</v>
      </c>
      <c r="O3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5" spans="1:15" x14ac:dyDescent="0.25">
      <c r="A365">
        <v>10620</v>
      </c>
      <c r="B365" s="1" t="s">
        <v>445</v>
      </c>
      <c r="C365">
        <v>2</v>
      </c>
      <c r="D365" s="5">
        <v>35647</v>
      </c>
      <c r="E365" s="5">
        <v>35675</v>
      </c>
      <c r="F365" s="5">
        <v>35656</v>
      </c>
      <c r="G365">
        <v>3</v>
      </c>
      <c r="H365" s="1">
        <v>0.94</v>
      </c>
      <c r="I365" s="1" t="s">
        <v>446</v>
      </c>
      <c r="J365" s="1" t="s">
        <v>447</v>
      </c>
      <c r="K365" s="1" t="s">
        <v>448</v>
      </c>
      <c r="L365" s="1" t="s">
        <v>403</v>
      </c>
      <c r="M365" s="1" t="s">
        <v>449</v>
      </c>
      <c r="N365" s="1" t="s">
        <v>320</v>
      </c>
      <c r="O3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6" spans="1:15" x14ac:dyDescent="0.25">
      <c r="A366">
        <v>10621</v>
      </c>
      <c r="B366" s="1" t="s">
        <v>279</v>
      </c>
      <c r="C366">
        <v>4</v>
      </c>
      <c r="D366" s="5">
        <v>35647</v>
      </c>
      <c r="E366" s="5">
        <v>35675</v>
      </c>
      <c r="F366" s="5">
        <v>35653</v>
      </c>
      <c r="G366">
        <v>2</v>
      </c>
      <c r="H366" s="1">
        <v>23.73</v>
      </c>
      <c r="I366" s="1" t="s">
        <v>280</v>
      </c>
      <c r="J366" s="1" t="s">
        <v>281</v>
      </c>
      <c r="K366" s="1" t="s">
        <v>282</v>
      </c>
      <c r="L366" s="1" t="s">
        <v>283</v>
      </c>
      <c r="M366" s="1" t="s">
        <v>284</v>
      </c>
      <c r="N366" s="1" t="s">
        <v>234</v>
      </c>
      <c r="O36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7" spans="1:15" x14ac:dyDescent="0.25">
      <c r="A367">
        <v>10622</v>
      </c>
      <c r="B367" s="1" t="s">
        <v>220</v>
      </c>
      <c r="C367">
        <v>4</v>
      </c>
      <c r="D367" s="5">
        <v>35648</v>
      </c>
      <c r="E367" s="5">
        <v>35676</v>
      </c>
      <c r="F367" s="5">
        <v>35653</v>
      </c>
      <c r="G367">
        <v>3</v>
      </c>
      <c r="H367" s="1">
        <v>50.97</v>
      </c>
      <c r="I367" s="1" t="s">
        <v>221</v>
      </c>
      <c r="J367" s="1" t="s">
        <v>222</v>
      </c>
      <c r="K367" s="1" t="s">
        <v>71</v>
      </c>
      <c r="L367" s="1" t="s">
        <v>72</v>
      </c>
      <c r="M367" s="1" t="s">
        <v>223</v>
      </c>
      <c r="N367" s="1" t="s">
        <v>74</v>
      </c>
      <c r="O36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8" spans="1:15" x14ac:dyDescent="0.25">
      <c r="A368">
        <v>10623</v>
      </c>
      <c r="B368" s="1" t="s">
        <v>155</v>
      </c>
      <c r="C368">
        <v>8</v>
      </c>
      <c r="D368" s="5">
        <v>35649</v>
      </c>
      <c r="E368" s="5">
        <v>35677</v>
      </c>
      <c r="F368" s="5">
        <v>35654</v>
      </c>
      <c r="G368">
        <v>2</v>
      </c>
      <c r="H368" s="1">
        <v>97.18</v>
      </c>
      <c r="I368" s="1" t="s">
        <v>156</v>
      </c>
      <c r="J368" s="1" t="s">
        <v>157</v>
      </c>
      <c r="K368" s="1" t="s">
        <v>158</v>
      </c>
      <c r="L368" s="1" t="s">
        <v>59</v>
      </c>
      <c r="M368" s="1" t="s">
        <v>159</v>
      </c>
      <c r="N368" s="1" t="s">
        <v>67</v>
      </c>
      <c r="O3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69" spans="1:15" x14ac:dyDescent="0.25">
      <c r="A369">
        <v>10624</v>
      </c>
      <c r="B369" s="1" t="s">
        <v>488</v>
      </c>
      <c r="C369">
        <v>4</v>
      </c>
      <c r="D369" s="5">
        <v>35649</v>
      </c>
      <c r="E369" s="5">
        <v>35677</v>
      </c>
      <c r="F369" s="5">
        <v>35661</v>
      </c>
      <c r="G369">
        <v>2</v>
      </c>
      <c r="H369" s="1">
        <v>94.8</v>
      </c>
      <c r="I369" s="1" t="s">
        <v>489</v>
      </c>
      <c r="J369" s="1" t="s">
        <v>490</v>
      </c>
      <c r="K369" s="1" t="s">
        <v>491</v>
      </c>
      <c r="L369" s="1" t="s">
        <v>492</v>
      </c>
      <c r="M369" s="1" t="s">
        <v>493</v>
      </c>
      <c r="N369" s="1" t="s">
        <v>137</v>
      </c>
      <c r="O3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0" spans="1:15" x14ac:dyDescent="0.25">
      <c r="A370">
        <v>10625</v>
      </c>
      <c r="B370" s="1" t="s">
        <v>266</v>
      </c>
      <c r="C370">
        <v>3</v>
      </c>
      <c r="D370" s="5">
        <v>35650</v>
      </c>
      <c r="E370" s="5">
        <v>35678</v>
      </c>
      <c r="F370" s="5">
        <v>35656</v>
      </c>
      <c r="G370">
        <v>1</v>
      </c>
      <c r="H370" s="1">
        <v>43.9</v>
      </c>
      <c r="I370" s="1" t="s">
        <v>267</v>
      </c>
      <c r="J370" s="1" t="s">
        <v>268</v>
      </c>
      <c r="K370" s="1" t="s">
        <v>119</v>
      </c>
      <c r="L370" s="1" t="s">
        <v>59</v>
      </c>
      <c r="M370" s="1" t="s">
        <v>269</v>
      </c>
      <c r="N370" s="1" t="s">
        <v>121</v>
      </c>
      <c r="O3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1" spans="1:15" x14ac:dyDescent="0.25">
      <c r="A371">
        <v>10626</v>
      </c>
      <c r="B371" s="1" t="s">
        <v>198</v>
      </c>
      <c r="C371">
        <v>1</v>
      </c>
      <c r="D371" s="5">
        <v>35653</v>
      </c>
      <c r="E371" s="5">
        <v>35681</v>
      </c>
      <c r="F371" s="5">
        <v>35662</v>
      </c>
      <c r="G371">
        <v>2</v>
      </c>
      <c r="H371" s="1">
        <v>138.69</v>
      </c>
      <c r="I371" s="1" t="s">
        <v>199</v>
      </c>
      <c r="J371" s="1" t="s">
        <v>200</v>
      </c>
      <c r="K371" s="1" t="s">
        <v>201</v>
      </c>
      <c r="L371" s="1" t="s">
        <v>59</v>
      </c>
      <c r="M371" s="1" t="s">
        <v>202</v>
      </c>
      <c r="N371" s="1" t="s">
        <v>143</v>
      </c>
      <c r="O3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2" spans="1:15" x14ac:dyDescent="0.25">
      <c r="A372">
        <v>10627</v>
      </c>
      <c r="B372" s="1" t="s">
        <v>293</v>
      </c>
      <c r="C372">
        <v>8</v>
      </c>
      <c r="D372" s="5">
        <v>35653</v>
      </c>
      <c r="E372" s="5">
        <v>35695</v>
      </c>
      <c r="F372" s="5">
        <v>35663</v>
      </c>
      <c r="G372">
        <v>3</v>
      </c>
      <c r="H372" s="1">
        <v>107.46</v>
      </c>
      <c r="I372" s="1" t="s">
        <v>294</v>
      </c>
      <c r="J372" s="1" t="s">
        <v>295</v>
      </c>
      <c r="K372" s="1" t="s">
        <v>296</v>
      </c>
      <c r="L372" s="1" t="s">
        <v>297</v>
      </c>
      <c r="M372" s="1" t="s">
        <v>298</v>
      </c>
      <c r="N372" s="1" t="s">
        <v>137</v>
      </c>
      <c r="O37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3" spans="1:15" x14ac:dyDescent="0.25">
      <c r="A373">
        <v>10628</v>
      </c>
      <c r="B373" s="1" t="s">
        <v>144</v>
      </c>
      <c r="C373">
        <v>4</v>
      </c>
      <c r="D373" s="5">
        <v>35654</v>
      </c>
      <c r="E373" s="5">
        <v>35682</v>
      </c>
      <c r="F373" s="5">
        <v>35662</v>
      </c>
      <c r="G373">
        <v>3</v>
      </c>
      <c r="H373" s="1">
        <v>30.36</v>
      </c>
      <c r="I373" s="1" t="s">
        <v>145</v>
      </c>
      <c r="J373" s="1" t="s">
        <v>146</v>
      </c>
      <c r="K373" s="1" t="s">
        <v>147</v>
      </c>
      <c r="L373" s="1" t="s">
        <v>59</v>
      </c>
      <c r="M373" s="1" t="s">
        <v>148</v>
      </c>
      <c r="N373" s="1" t="s">
        <v>61</v>
      </c>
      <c r="O3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4" spans="1:15" x14ac:dyDescent="0.25">
      <c r="A374">
        <v>10629</v>
      </c>
      <c r="B374" s="1" t="s">
        <v>249</v>
      </c>
      <c r="C374">
        <v>4</v>
      </c>
      <c r="D374" s="5">
        <v>35654</v>
      </c>
      <c r="E374" s="5">
        <v>35682</v>
      </c>
      <c r="F374" s="5">
        <v>35662</v>
      </c>
      <c r="G374">
        <v>3</v>
      </c>
      <c r="H374" s="1">
        <v>85.46</v>
      </c>
      <c r="I374" s="1" t="s">
        <v>250</v>
      </c>
      <c r="J374" s="1" t="s">
        <v>251</v>
      </c>
      <c r="K374" s="1" t="s">
        <v>252</v>
      </c>
      <c r="L374" s="1" t="s">
        <v>59</v>
      </c>
      <c r="M374" s="1" t="s">
        <v>253</v>
      </c>
      <c r="N374" s="1" t="s">
        <v>213</v>
      </c>
      <c r="O3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5" spans="1:15" x14ac:dyDescent="0.25">
      <c r="A375">
        <v>10630</v>
      </c>
      <c r="B375" s="1" t="s">
        <v>288</v>
      </c>
      <c r="C375">
        <v>1</v>
      </c>
      <c r="D375" s="5">
        <v>35655</v>
      </c>
      <c r="E375" s="5">
        <v>35683</v>
      </c>
      <c r="F375" s="5">
        <v>35661</v>
      </c>
      <c r="G375">
        <v>2</v>
      </c>
      <c r="H375" s="1">
        <v>32.35</v>
      </c>
      <c r="I375" s="1" t="s">
        <v>289</v>
      </c>
      <c r="J375" s="1" t="s">
        <v>290</v>
      </c>
      <c r="K375" s="1" t="s">
        <v>291</v>
      </c>
      <c r="L375" s="1" t="s">
        <v>59</v>
      </c>
      <c r="M375" s="1" t="s">
        <v>292</v>
      </c>
      <c r="N375" s="1" t="s">
        <v>67</v>
      </c>
      <c r="O3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6" spans="1:15" x14ac:dyDescent="0.25">
      <c r="A376">
        <v>10631</v>
      </c>
      <c r="B376" s="1" t="s">
        <v>335</v>
      </c>
      <c r="C376">
        <v>8</v>
      </c>
      <c r="D376" s="5">
        <v>35656</v>
      </c>
      <c r="E376" s="5">
        <v>35684</v>
      </c>
      <c r="F376" s="5">
        <v>35657</v>
      </c>
      <c r="G376">
        <v>1</v>
      </c>
      <c r="H376" s="1">
        <v>0.87</v>
      </c>
      <c r="I376" s="1" t="s">
        <v>336</v>
      </c>
      <c r="J376" s="1" t="s">
        <v>337</v>
      </c>
      <c r="K376" s="1" t="s">
        <v>338</v>
      </c>
      <c r="L376" s="1" t="s">
        <v>59</v>
      </c>
      <c r="M376" s="1" t="s">
        <v>339</v>
      </c>
      <c r="N376" s="1" t="s">
        <v>61</v>
      </c>
      <c r="O3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7" spans="1:15" x14ac:dyDescent="0.25">
      <c r="A377">
        <v>10632</v>
      </c>
      <c r="B377" s="1" t="s">
        <v>244</v>
      </c>
      <c r="C377">
        <v>8</v>
      </c>
      <c r="D377" s="5">
        <v>35656</v>
      </c>
      <c r="E377" s="5">
        <v>35684</v>
      </c>
      <c r="F377" s="5">
        <v>35661</v>
      </c>
      <c r="G377">
        <v>1</v>
      </c>
      <c r="H377" s="1">
        <v>41.38</v>
      </c>
      <c r="I377" s="1" t="s">
        <v>245</v>
      </c>
      <c r="J377" s="1" t="s">
        <v>246</v>
      </c>
      <c r="K377" s="1" t="s">
        <v>247</v>
      </c>
      <c r="L377" s="1" t="s">
        <v>59</v>
      </c>
      <c r="M377" s="1" t="s">
        <v>248</v>
      </c>
      <c r="N377" s="1" t="s">
        <v>67</v>
      </c>
      <c r="O3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8" spans="1:15" x14ac:dyDescent="0.25">
      <c r="A378">
        <v>10633</v>
      </c>
      <c r="B378" s="1" t="s">
        <v>110</v>
      </c>
      <c r="C378">
        <v>7</v>
      </c>
      <c r="D378" s="5">
        <v>35657</v>
      </c>
      <c r="E378" s="5">
        <v>35685</v>
      </c>
      <c r="F378" s="5">
        <v>35660</v>
      </c>
      <c r="G378">
        <v>3</v>
      </c>
      <c r="H378" s="1">
        <v>477.9</v>
      </c>
      <c r="I378" s="1" t="s">
        <v>111</v>
      </c>
      <c r="J378" s="1" t="s">
        <v>112</v>
      </c>
      <c r="K378" s="1" t="s">
        <v>113</v>
      </c>
      <c r="L378" s="1" t="s">
        <v>59</v>
      </c>
      <c r="M378" s="1" t="s">
        <v>114</v>
      </c>
      <c r="N378" s="1" t="s">
        <v>115</v>
      </c>
      <c r="O3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79" spans="1:15" x14ac:dyDescent="0.25">
      <c r="A379">
        <v>10634</v>
      </c>
      <c r="B379" s="1" t="s">
        <v>411</v>
      </c>
      <c r="C379">
        <v>4</v>
      </c>
      <c r="D379" s="5">
        <v>35657</v>
      </c>
      <c r="E379" s="5">
        <v>35685</v>
      </c>
      <c r="F379" s="5">
        <v>35663</v>
      </c>
      <c r="G379">
        <v>3</v>
      </c>
      <c r="H379" s="1">
        <v>487.38</v>
      </c>
      <c r="I379" s="1" t="s">
        <v>412</v>
      </c>
      <c r="J379" s="1" t="s">
        <v>413</v>
      </c>
      <c r="K379" s="1" t="s">
        <v>414</v>
      </c>
      <c r="L379" s="1" t="s">
        <v>59</v>
      </c>
      <c r="M379" s="1" t="s">
        <v>415</v>
      </c>
      <c r="N379" s="1" t="s">
        <v>61</v>
      </c>
      <c r="O3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0" spans="1:15" x14ac:dyDescent="0.25">
      <c r="A380">
        <v>10635</v>
      </c>
      <c r="B380" s="1" t="s">
        <v>183</v>
      </c>
      <c r="C380">
        <v>8</v>
      </c>
      <c r="D380" s="5">
        <v>35660</v>
      </c>
      <c r="E380" s="5">
        <v>35688</v>
      </c>
      <c r="F380" s="5">
        <v>35663</v>
      </c>
      <c r="G380">
        <v>3</v>
      </c>
      <c r="H380" s="1">
        <v>47.46</v>
      </c>
      <c r="I380" s="1" t="s">
        <v>184</v>
      </c>
      <c r="J380" s="1" t="s">
        <v>185</v>
      </c>
      <c r="K380" s="1" t="s">
        <v>186</v>
      </c>
      <c r="L380" s="1" t="s">
        <v>59</v>
      </c>
      <c r="M380" s="1" t="s">
        <v>187</v>
      </c>
      <c r="N380" s="1" t="s">
        <v>188</v>
      </c>
      <c r="O3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1" spans="1:15" x14ac:dyDescent="0.25">
      <c r="A381">
        <v>10636</v>
      </c>
      <c r="B381" s="1" t="s">
        <v>149</v>
      </c>
      <c r="C381">
        <v>4</v>
      </c>
      <c r="D381" s="5">
        <v>35661</v>
      </c>
      <c r="E381" s="5">
        <v>35689</v>
      </c>
      <c r="F381" s="5">
        <v>35668</v>
      </c>
      <c r="G381">
        <v>1</v>
      </c>
      <c r="H381" s="1">
        <v>1.1499999999999999</v>
      </c>
      <c r="I381" s="1" t="s">
        <v>150</v>
      </c>
      <c r="J381" s="1" t="s">
        <v>151</v>
      </c>
      <c r="K381" s="1" t="s">
        <v>152</v>
      </c>
      <c r="L381" s="1" t="s">
        <v>59</v>
      </c>
      <c r="M381" s="1" t="s">
        <v>153</v>
      </c>
      <c r="N381" s="1" t="s">
        <v>154</v>
      </c>
      <c r="O3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2" spans="1:15" x14ac:dyDescent="0.25">
      <c r="A382">
        <v>10637</v>
      </c>
      <c r="B382" s="1" t="s">
        <v>378</v>
      </c>
      <c r="C382">
        <v>6</v>
      </c>
      <c r="D382" s="5">
        <v>35661</v>
      </c>
      <c r="E382" s="5">
        <v>35689</v>
      </c>
      <c r="F382" s="5">
        <v>35668</v>
      </c>
      <c r="G382">
        <v>1</v>
      </c>
      <c r="H382" s="1">
        <v>201.29</v>
      </c>
      <c r="I382" s="1" t="s">
        <v>379</v>
      </c>
      <c r="J382" s="1" t="s">
        <v>380</v>
      </c>
      <c r="K382" s="1" t="s">
        <v>238</v>
      </c>
      <c r="L382" s="1" t="s">
        <v>101</v>
      </c>
      <c r="M382" s="1" t="s">
        <v>381</v>
      </c>
      <c r="N382" s="1" t="s">
        <v>74</v>
      </c>
      <c r="O3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3" spans="1:15" x14ac:dyDescent="0.25">
      <c r="A383">
        <v>10638</v>
      </c>
      <c r="B383" s="1" t="s">
        <v>405</v>
      </c>
      <c r="C383">
        <v>3</v>
      </c>
      <c r="D383" s="5">
        <v>35662</v>
      </c>
      <c r="E383" s="5">
        <v>35690</v>
      </c>
      <c r="F383" s="5">
        <v>35674</v>
      </c>
      <c r="G383">
        <v>1</v>
      </c>
      <c r="H383" s="1">
        <v>158.44</v>
      </c>
      <c r="I383" s="1" t="s">
        <v>406</v>
      </c>
      <c r="J383" s="1" t="s">
        <v>407</v>
      </c>
      <c r="K383" s="1" t="s">
        <v>408</v>
      </c>
      <c r="L383" s="1" t="s">
        <v>409</v>
      </c>
      <c r="M383" s="1" t="s">
        <v>410</v>
      </c>
      <c r="N383" s="1" t="s">
        <v>109</v>
      </c>
      <c r="O3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4" spans="1:15" x14ac:dyDescent="0.25">
      <c r="A384">
        <v>10639</v>
      </c>
      <c r="B384" s="1" t="s">
        <v>393</v>
      </c>
      <c r="C384">
        <v>7</v>
      </c>
      <c r="D384" s="5">
        <v>35662</v>
      </c>
      <c r="E384" s="5">
        <v>35690</v>
      </c>
      <c r="F384" s="5">
        <v>35669</v>
      </c>
      <c r="G384">
        <v>3</v>
      </c>
      <c r="H384" s="1">
        <v>38.64</v>
      </c>
      <c r="I384" s="1" t="s">
        <v>394</v>
      </c>
      <c r="J384" s="1" t="s">
        <v>395</v>
      </c>
      <c r="K384" s="1" t="s">
        <v>396</v>
      </c>
      <c r="L384" s="1" t="s">
        <v>59</v>
      </c>
      <c r="M384" s="1" t="s">
        <v>397</v>
      </c>
      <c r="N384" s="1" t="s">
        <v>398</v>
      </c>
      <c r="O3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5" spans="1:15" x14ac:dyDescent="0.25">
      <c r="A385">
        <v>10640</v>
      </c>
      <c r="B385" s="1" t="s">
        <v>244</v>
      </c>
      <c r="C385">
        <v>4</v>
      </c>
      <c r="D385" s="5">
        <v>35663</v>
      </c>
      <c r="E385" s="5">
        <v>35691</v>
      </c>
      <c r="F385" s="5">
        <v>35670</v>
      </c>
      <c r="G385">
        <v>1</v>
      </c>
      <c r="H385" s="1">
        <v>23.55</v>
      </c>
      <c r="I385" s="1" t="s">
        <v>245</v>
      </c>
      <c r="J385" s="1" t="s">
        <v>246</v>
      </c>
      <c r="K385" s="1" t="s">
        <v>247</v>
      </c>
      <c r="L385" s="1" t="s">
        <v>59</v>
      </c>
      <c r="M385" s="1" t="s">
        <v>248</v>
      </c>
      <c r="N385" s="1" t="s">
        <v>67</v>
      </c>
      <c r="O3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6" spans="1:15" x14ac:dyDescent="0.25">
      <c r="A386">
        <v>10641</v>
      </c>
      <c r="B386" s="1" t="s">
        <v>103</v>
      </c>
      <c r="C386">
        <v>4</v>
      </c>
      <c r="D386" s="5">
        <v>35664</v>
      </c>
      <c r="E386" s="5">
        <v>35692</v>
      </c>
      <c r="F386" s="5">
        <v>35668</v>
      </c>
      <c r="G386">
        <v>2</v>
      </c>
      <c r="H386" s="1">
        <v>179.61</v>
      </c>
      <c r="I386" s="1" t="s">
        <v>104</v>
      </c>
      <c r="J386" s="1" t="s">
        <v>105</v>
      </c>
      <c r="K386" s="1" t="s">
        <v>106</v>
      </c>
      <c r="L386" s="1" t="s">
        <v>107</v>
      </c>
      <c r="M386" s="1" t="s">
        <v>108</v>
      </c>
      <c r="N386" s="1" t="s">
        <v>109</v>
      </c>
      <c r="O3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7" spans="1:15" x14ac:dyDescent="0.25">
      <c r="A387">
        <v>10642</v>
      </c>
      <c r="B387" s="1" t="s">
        <v>325</v>
      </c>
      <c r="C387">
        <v>7</v>
      </c>
      <c r="D387" s="5">
        <v>35664</v>
      </c>
      <c r="E387" s="5">
        <v>35692</v>
      </c>
      <c r="F387" s="5">
        <v>35678</v>
      </c>
      <c r="G387">
        <v>3</v>
      </c>
      <c r="H387" s="1">
        <v>41.89</v>
      </c>
      <c r="I387" s="1" t="s">
        <v>326</v>
      </c>
      <c r="J387" s="1" t="s">
        <v>327</v>
      </c>
      <c r="K387" s="1" t="s">
        <v>328</v>
      </c>
      <c r="L387" s="1" t="s">
        <v>59</v>
      </c>
      <c r="M387" s="1" t="s">
        <v>329</v>
      </c>
      <c r="N387" s="1" t="s">
        <v>330</v>
      </c>
      <c r="O3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8" spans="1:15" x14ac:dyDescent="0.25">
      <c r="A388">
        <v>10643</v>
      </c>
      <c r="B388" s="1" t="s">
        <v>494</v>
      </c>
      <c r="C388">
        <v>6</v>
      </c>
      <c r="D388" s="5">
        <v>35667</v>
      </c>
      <c r="E388" s="5">
        <v>35695</v>
      </c>
      <c r="F388" s="5">
        <v>35675</v>
      </c>
      <c r="G388">
        <v>1</v>
      </c>
      <c r="H388" s="1">
        <v>29.46</v>
      </c>
      <c r="I388" s="1" t="s">
        <v>495</v>
      </c>
      <c r="J388" s="1" t="s">
        <v>496</v>
      </c>
      <c r="K388" s="1" t="s">
        <v>497</v>
      </c>
      <c r="L388" s="1" t="s">
        <v>59</v>
      </c>
      <c r="M388" s="1" t="s">
        <v>498</v>
      </c>
      <c r="N388" s="1" t="s">
        <v>67</v>
      </c>
      <c r="O3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89" spans="1:15" x14ac:dyDescent="0.25">
      <c r="A389">
        <v>10644</v>
      </c>
      <c r="B389" s="1" t="s">
        <v>97</v>
      </c>
      <c r="C389">
        <v>3</v>
      </c>
      <c r="D389" s="5">
        <v>35667</v>
      </c>
      <c r="E389" s="5">
        <v>35695</v>
      </c>
      <c r="F389" s="5">
        <v>35674</v>
      </c>
      <c r="G389">
        <v>2</v>
      </c>
      <c r="H389" s="1">
        <v>0.14000000000000001</v>
      </c>
      <c r="I389" s="1" t="s">
        <v>98</v>
      </c>
      <c r="J389" s="1" t="s">
        <v>99</v>
      </c>
      <c r="K389" s="1" t="s">
        <v>100</v>
      </c>
      <c r="L389" s="1" t="s">
        <v>101</v>
      </c>
      <c r="M389" s="1" t="s">
        <v>102</v>
      </c>
      <c r="N389" s="1" t="s">
        <v>74</v>
      </c>
      <c r="O3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0" spans="1:15" x14ac:dyDescent="0.25">
      <c r="A390">
        <v>10645</v>
      </c>
      <c r="B390" s="1" t="s">
        <v>68</v>
      </c>
      <c r="C390">
        <v>4</v>
      </c>
      <c r="D390" s="5">
        <v>35668</v>
      </c>
      <c r="E390" s="5">
        <v>35696</v>
      </c>
      <c r="F390" s="5">
        <v>35675</v>
      </c>
      <c r="G390">
        <v>1</v>
      </c>
      <c r="H390" s="1">
        <v>12.41</v>
      </c>
      <c r="I390" s="1" t="s">
        <v>69</v>
      </c>
      <c r="J390" s="1" t="s">
        <v>70</v>
      </c>
      <c r="K390" s="1" t="s">
        <v>71</v>
      </c>
      <c r="L390" s="1" t="s">
        <v>72</v>
      </c>
      <c r="M390" s="1" t="s">
        <v>73</v>
      </c>
      <c r="N390" s="1" t="s">
        <v>74</v>
      </c>
      <c r="O3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1" spans="1:15" x14ac:dyDescent="0.25">
      <c r="A391">
        <v>10647</v>
      </c>
      <c r="B391" s="1" t="s">
        <v>127</v>
      </c>
      <c r="C391">
        <v>4</v>
      </c>
      <c r="D391" s="5">
        <v>35669</v>
      </c>
      <c r="E391" s="5">
        <v>35683</v>
      </c>
      <c r="F391" s="5">
        <v>35676</v>
      </c>
      <c r="G391">
        <v>2</v>
      </c>
      <c r="H391" s="1">
        <v>45.54</v>
      </c>
      <c r="I391" s="1" t="s">
        <v>128</v>
      </c>
      <c r="J391" s="1" t="s">
        <v>129</v>
      </c>
      <c r="K391" s="1" t="s">
        <v>71</v>
      </c>
      <c r="L391" s="1" t="s">
        <v>72</v>
      </c>
      <c r="M391" s="1" t="s">
        <v>130</v>
      </c>
      <c r="N391" s="1" t="s">
        <v>74</v>
      </c>
      <c r="O3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2" spans="1:15" x14ac:dyDescent="0.25">
      <c r="A392">
        <v>10648</v>
      </c>
      <c r="B392" s="1" t="s">
        <v>220</v>
      </c>
      <c r="C392">
        <v>5</v>
      </c>
      <c r="D392" s="5">
        <v>35670</v>
      </c>
      <c r="E392" s="5">
        <v>35712</v>
      </c>
      <c r="F392" s="5">
        <v>35682</v>
      </c>
      <c r="G392">
        <v>2</v>
      </c>
      <c r="H392" s="1">
        <v>14.25</v>
      </c>
      <c r="I392" s="1" t="s">
        <v>221</v>
      </c>
      <c r="J392" s="1" t="s">
        <v>222</v>
      </c>
      <c r="K392" s="1" t="s">
        <v>71</v>
      </c>
      <c r="L392" s="1" t="s">
        <v>72</v>
      </c>
      <c r="M392" s="1" t="s">
        <v>223</v>
      </c>
      <c r="N392" s="1" t="s">
        <v>74</v>
      </c>
      <c r="O3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3" spans="1:15" x14ac:dyDescent="0.25">
      <c r="A393">
        <v>10649</v>
      </c>
      <c r="B393" s="1" t="s">
        <v>467</v>
      </c>
      <c r="C393">
        <v>5</v>
      </c>
      <c r="D393" s="5">
        <v>35670</v>
      </c>
      <c r="E393" s="5">
        <v>35698</v>
      </c>
      <c r="F393" s="5">
        <v>35671</v>
      </c>
      <c r="G393">
        <v>3</v>
      </c>
      <c r="H393" s="1">
        <v>6.2</v>
      </c>
      <c r="I393" s="1" t="s">
        <v>468</v>
      </c>
      <c r="J393" s="1" t="s">
        <v>469</v>
      </c>
      <c r="K393" s="1" t="s">
        <v>470</v>
      </c>
      <c r="L393" s="1" t="s">
        <v>59</v>
      </c>
      <c r="M393" s="1" t="s">
        <v>471</v>
      </c>
      <c r="N393" s="1" t="s">
        <v>85</v>
      </c>
      <c r="O3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4" spans="1:15" x14ac:dyDescent="0.25">
      <c r="A394">
        <v>10650</v>
      </c>
      <c r="B394" s="1" t="s">
        <v>331</v>
      </c>
      <c r="C394">
        <v>5</v>
      </c>
      <c r="D394" s="5">
        <v>35671</v>
      </c>
      <c r="E394" s="5">
        <v>35699</v>
      </c>
      <c r="F394" s="5">
        <v>35676</v>
      </c>
      <c r="G394">
        <v>3</v>
      </c>
      <c r="H394" s="1">
        <v>176.81</v>
      </c>
      <c r="I394" s="1" t="s">
        <v>332</v>
      </c>
      <c r="J394" s="1" t="s">
        <v>333</v>
      </c>
      <c r="K394" s="1" t="s">
        <v>238</v>
      </c>
      <c r="L394" s="1" t="s">
        <v>101</v>
      </c>
      <c r="M394" s="1" t="s">
        <v>334</v>
      </c>
      <c r="N394" s="1" t="s">
        <v>74</v>
      </c>
      <c r="O3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5" spans="1:15" x14ac:dyDescent="0.25">
      <c r="A395">
        <v>10651</v>
      </c>
      <c r="B395" s="1" t="s">
        <v>244</v>
      </c>
      <c r="C395">
        <v>8</v>
      </c>
      <c r="D395" s="5">
        <v>35674</v>
      </c>
      <c r="E395" s="5">
        <v>35702</v>
      </c>
      <c r="F395" s="5">
        <v>35684</v>
      </c>
      <c r="G395">
        <v>2</v>
      </c>
      <c r="H395" s="1">
        <v>20.6</v>
      </c>
      <c r="I395" s="1" t="s">
        <v>245</v>
      </c>
      <c r="J395" s="1" t="s">
        <v>246</v>
      </c>
      <c r="K395" s="1" t="s">
        <v>247</v>
      </c>
      <c r="L395" s="1" t="s">
        <v>59</v>
      </c>
      <c r="M395" s="1" t="s">
        <v>248</v>
      </c>
      <c r="N395" s="1" t="s">
        <v>67</v>
      </c>
      <c r="O3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6" spans="1:15" x14ac:dyDescent="0.25">
      <c r="A396">
        <v>10652</v>
      </c>
      <c r="B396" s="1" t="s">
        <v>427</v>
      </c>
      <c r="C396">
        <v>4</v>
      </c>
      <c r="D396" s="5">
        <v>35674</v>
      </c>
      <c r="E396" s="5">
        <v>35702</v>
      </c>
      <c r="F396" s="5">
        <v>35681</v>
      </c>
      <c r="G396">
        <v>2</v>
      </c>
      <c r="H396" s="1">
        <v>7.14</v>
      </c>
      <c r="I396" s="1" t="s">
        <v>428</v>
      </c>
      <c r="J396" s="1" t="s">
        <v>429</v>
      </c>
      <c r="K396" s="1" t="s">
        <v>430</v>
      </c>
      <c r="L396" s="1" t="s">
        <v>101</v>
      </c>
      <c r="M396" s="1" t="s">
        <v>431</v>
      </c>
      <c r="N396" s="1" t="s">
        <v>74</v>
      </c>
      <c r="O3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7" spans="1:15" x14ac:dyDescent="0.25">
      <c r="A397">
        <v>10653</v>
      </c>
      <c r="B397" s="1" t="s">
        <v>155</v>
      </c>
      <c r="C397">
        <v>1</v>
      </c>
      <c r="D397" s="5">
        <v>35675</v>
      </c>
      <c r="E397" s="5">
        <v>35703</v>
      </c>
      <c r="F397" s="5">
        <v>35692</v>
      </c>
      <c r="G397">
        <v>1</v>
      </c>
      <c r="H397" s="1">
        <v>93.25</v>
      </c>
      <c r="I397" s="1" t="s">
        <v>156</v>
      </c>
      <c r="J397" s="1" t="s">
        <v>157</v>
      </c>
      <c r="K397" s="1" t="s">
        <v>158</v>
      </c>
      <c r="L397" s="1" t="s">
        <v>59</v>
      </c>
      <c r="M397" s="1" t="s">
        <v>159</v>
      </c>
      <c r="N397" s="1" t="s">
        <v>67</v>
      </c>
      <c r="O39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8" spans="1:15" x14ac:dyDescent="0.25">
      <c r="A398">
        <v>10654</v>
      </c>
      <c r="B398" s="1" t="s">
        <v>198</v>
      </c>
      <c r="C398">
        <v>5</v>
      </c>
      <c r="D398" s="5">
        <v>35675</v>
      </c>
      <c r="E398" s="5">
        <v>35703</v>
      </c>
      <c r="F398" s="5">
        <v>35684</v>
      </c>
      <c r="G398">
        <v>1</v>
      </c>
      <c r="H398" s="1">
        <v>55.26</v>
      </c>
      <c r="I398" s="1" t="s">
        <v>199</v>
      </c>
      <c r="J398" s="1" t="s">
        <v>200</v>
      </c>
      <c r="K398" s="1" t="s">
        <v>201</v>
      </c>
      <c r="L398" s="1" t="s">
        <v>59</v>
      </c>
      <c r="M398" s="1" t="s">
        <v>202</v>
      </c>
      <c r="N398" s="1" t="s">
        <v>143</v>
      </c>
      <c r="O3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399" spans="1:15" x14ac:dyDescent="0.25">
      <c r="A399">
        <v>10655</v>
      </c>
      <c r="B399" s="1" t="s">
        <v>224</v>
      </c>
      <c r="C399">
        <v>1</v>
      </c>
      <c r="D399" s="5">
        <v>35676</v>
      </c>
      <c r="E399" s="5">
        <v>35704</v>
      </c>
      <c r="F399" s="5">
        <v>35684</v>
      </c>
      <c r="G399">
        <v>2</v>
      </c>
      <c r="H399" s="1">
        <v>4.41</v>
      </c>
      <c r="I399" s="1" t="s">
        <v>225</v>
      </c>
      <c r="J399" s="1" t="s">
        <v>226</v>
      </c>
      <c r="K399" s="1" t="s">
        <v>227</v>
      </c>
      <c r="L399" s="1" t="s">
        <v>59</v>
      </c>
      <c r="M399" s="1" t="s">
        <v>228</v>
      </c>
      <c r="N399" s="1" t="s">
        <v>188</v>
      </c>
      <c r="O39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0" spans="1:15" x14ac:dyDescent="0.25">
      <c r="A400">
        <v>10656</v>
      </c>
      <c r="B400" s="1" t="s">
        <v>462</v>
      </c>
      <c r="C400">
        <v>6</v>
      </c>
      <c r="D400" s="5">
        <v>35677</v>
      </c>
      <c r="E400" s="5">
        <v>35705</v>
      </c>
      <c r="F400" s="5">
        <v>35683</v>
      </c>
      <c r="G400">
        <v>1</v>
      </c>
      <c r="H400" s="1">
        <v>57.15</v>
      </c>
      <c r="I400" s="1" t="s">
        <v>463</v>
      </c>
      <c r="J400" s="1" t="s">
        <v>464</v>
      </c>
      <c r="K400" s="1" t="s">
        <v>465</v>
      </c>
      <c r="L400" s="1" t="s">
        <v>264</v>
      </c>
      <c r="M400" s="1" t="s">
        <v>466</v>
      </c>
      <c r="N400" s="1" t="s">
        <v>137</v>
      </c>
      <c r="O4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1" spans="1:15" x14ac:dyDescent="0.25">
      <c r="A401">
        <v>10657</v>
      </c>
      <c r="B401" s="1" t="s">
        <v>293</v>
      </c>
      <c r="C401">
        <v>2</v>
      </c>
      <c r="D401" s="5">
        <v>35677</v>
      </c>
      <c r="E401" s="5">
        <v>35705</v>
      </c>
      <c r="F401" s="5">
        <v>35688</v>
      </c>
      <c r="G401">
        <v>2</v>
      </c>
      <c r="H401" s="1">
        <v>352.69</v>
      </c>
      <c r="I401" s="1" t="s">
        <v>294</v>
      </c>
      <c r="J401" s="1" t="s">
        <v>295</v>
      </c>
      <c r="K401" s="1" t="s">
        <v>296</v>
      </c>
      <c r="L401" s="1" t="s">
        <v>297</v>
      </c>
      <c r="M401" s="1" t="s">
        <v>298</v>
      </c>
      <c r="N401" s="1" t="s">
        <v>137</v>
      </c>
      <c r="O4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2" spans="1:15" x14ac:dyDescent="0.25">
      <c r="A402">
        <v>10658</v>
      </c>
      <c r="B402" s="1" t="s">
        <v>178</v>
      </c>
      <c r="C402">
        <v>4</v>
      </c>
      <c r="D402" s="5">
        <v>35678</v>
      </c>
      <c r="E402" s="5">
        <v>35706</v>
      </c>
      <c r="F402" s="5">
        <v>35681</v>
      </c>
      <c r="G402">
        <v>1</v>
      </c>
      <c r="H402" s="1">
        <v>364.15</v>
      </c>
      <c r="I402" s="1" t="s">
        <v>179</v>
      </c>
      <c r="J402" s="1" t="s">
        <v>180</v>
      </c>
      <c r="K402" s="1" t="s">
        <v>181</v>
      </c>
      <c r="L402" s="1" t="s">
        <v>59</v>
      </c>
      <c r="M402" s="1" t="s">
        <v>182</v>
      </c>
      <c r="N402" s="1" t="s">
        <v>67</v>
      </c>
      <c r="O4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3" spans="1:15" x14ac:dyDescent="0.25">
      <c r="A403">
        <v>10659</v>
      </c>
      <c r="B403" s="1" t="s">
        <v>378</v>
      </c>
      <c r="C403">
        <v>7</v>
      </c>
      <c r="D403" s="5">
        <v>35678</v>
      </c>
      <c r="E403" s="5">
        <v>35706</v>
      </c>
      <c r="F403" s="5">
        <v>35683</v>
      </c>
      <c r="G403">
        <v>2</v>
      </c>
      <c r="H403" s="1">
        <v>105.81</v>
      </c>
      <c r="I403" s="1" t="s">
        <v>379</v>
      </c>
      <c r="J403" s="1" t="s">
        <v>380</v>
      </c>
      <c r="K403" s="1" t="s">
        <v>238</v>
      </c>
      <c r="L403" s="1" t="s">
        <v>101</v>
      </c>
      <c r="M403" s="1" t="s">
        <v>381</v>
      </c>
      <c r="N403" s="1" t="s">
        <v>74</v>
      </c>
      <c r="O4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4" spans="1:15" x14ac:dyDescent="0.25">
      <c r="A404">
        <v>10660</v>
      </c>
      <c r="B404" s="1" t="s">
        <v>388</v>
      </c>
      <c r="C404">
        <v>8</v>
      </c>
      <c r="D404" s="5">
        <v>35681</v>
      </c>
      <c r="E404" s="5">
        <v>35709</v>
      </c>
      <c r="F404" s="5">
        <v>35718</v>
      </c>
      <c r="G404">
        <v>1</v>
      </c>
      <c r="H404" s="1">
        <v>111.29</v>
      </c>
      <c r="I404" s="1" t="s">
        <v>389</v>
      </c>
      <c r="J404" s="1" t="s">
        <v>390</v>
      </c>
      <c r="K404" s="1" t="s">
        <v>391</v>
      </c>
      <c r="L404" s="1" t="s">
        <v>264</v>
      </c>
      <c r="M404" s="1" t="s">
        <v>392</v>
      </c>
      <c r="N404" s="1" t="s">
        <v>137</v>
      </c>
      <c r="O404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05" spans="1:15" x14ac:dyDescent="0.25">
      <c r="A405">
        <v>10662</v>
      </c>
      <c r="B405" s="1" t="s">
        <v>260</v>
      </c>
      <c r="C405">
        <v>3</v>
      </c>
      <c r="D405" s="5">
        <v>35682</v>
      </c>
      <c r="E405" s="5">
        <v>35710</v>
      </c>
      <c r="F405" s="5">
        <v>35691</v>
      </c>
      <c r="G405">
        <v>2</v>
      </c>
      <c r="H405" s="1">
        <v>1.28</v>
      </c>
      <c r="I405" s="1" t="s">
        <v>261</v>
      </c>
      <c r="J405" s="1" t="s">
        <v>262</v>
      </c>
      <c r="K405" s="1" t="s">
        <v>263</v>
      </c>
      <c r="L405" s="1" t="s">
        <v>264</v>
      </c>
      <c r="M405" s="1" t="s">
        <v>265</v>
      </c>
      <c r="N405" s="1" t="s">
        <v>137</v>
      </c>
      <c r="O4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6" spans="1:15" x14ac:dyDescent="0.25">
      <c r="A406">
        <v>10663</v>
      </c>
      <c r="B406" s="1" t="s">
        <v>309</v>
      </c>
      <c r="C406">
        <v>2</v>
      </c>
      <c r="D406" s="5">
        <v>35683</v>
      </c>
      <c r="E406" s="5">
        <v>35697</v>
      </c>
      <c r="F406" s="5">
        <v>35706</v>
      </c>
      <c r="G406">
        <v>2</v>
      </c>
      <c r="H406" s="1">
        <v>113.15</v>
      </c>
      <c r="I406" s="1" t="s">
        <v>310</v>
      </c>
      <c r="J406" s="1" t="s">
        <v>311</v>
      </c>
      <c r="K406" s="1" t="s">
        <v>312</v>
      </c>
      <c r="L406" s="1" t="s">
        <v>59</v>
      </c>
      <c r="M406" s="1" t="s">
        <v>313</v>
      </c>
      <c r="N406" s="1" t="s">
        <v>61</v>
      </c>
      <c r="O40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07" spans="1:15" x14ac:dyDescent="0.25">
      <c r="A407">
        <v>10664</v>
      </c>
      <c r="B407" s="1" t="s">
        <v>303</v>
      </c>
      <c r="C407">
        <v>1</v>
      </c>
      <c r="D407" s="5">
        <v>35683</v>
      </c>
      <c r="E407" s="5">
        <v>35711</v>
      </c>
      <c r="F407" s="5">
        <v>35692</v>
      </c>
      <c r="G407">
        <v>3</v>
      </c>
      <c r="H407" s="1">
        <v>1.27</v>
      </c>
      <c r="I407" s="1" t="s">
        <v>304</v>
      </c>
      <c r="J407" s="1" t="s">
        <v>305</v>
      </c>
      <c r="K407" s="1" t="s">
        <v>306</v>
      </c>
      <c r="L407" s="1" t="s">
        <v>59</v>
      </c>
      <c r="M407" s="1" t="s">
        <v>307</v>
      </c>
      <c r="N407" s="1" t="s">
        <v>308</v>
      </c>
      <c r="O40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8" spans="1:15" x14ac:dyDescent="0.25">
      <c r="A408">
        <v>10665</v>
      </c>
      <c r="B408" s="1" t="s">
        <v>260</v>
      </c>
      <c r="C408">
        <v>1</v>
      </c>
      <c r="D408" s="5">
        <v>35684</v>
      </c>
      <c r="E408" s="5">
        <v>35712</v>
      </c>
      <c r="F408" s="5">
        <v>35690</v>
      </c>
      <c r="G408">
        <v>2</v>
      </c>
      <c r="H408" s="1">
        <v>26.31</v>
      </c>
      <c r="I408" s="1" t="s">
        <v>261</v>
      </c>
      <c r="J408" s="1" t="s">
        <v>262</v>
      </c>
      <c r="K408" s="1" t="s">
        <v>263</v>
      </c>
      <c r="L408" s="1" t="s">
        <v>264</v>
      </c>
      <c r="M408" s="1" t="s">
        <v>265</v>
      </c>
      <c r="N408" s="1" t="s">
        <v>137</v>
      </c>
      <c r="O4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09" spans="1:15" x14ac:dyDescent="0.25">
      <c r="A409">
        <v>10666</v>
      </c>
      <c r="B409" s="1" t="s">
        <v>92</v>
      </c>
      <c r="C409">
        <v>7</v>
      </c>
      <c r="D409" s="5">
        <v>35685</v>
      </c>
      <c r="E409" s="5">
        <v>35713</v>
      </c>
      <c r="F409" s="5">
        <v>35695</v>
      </c>
      <c r="G409">
        <v>2</v>
      </c>
      <c r="H409" s="1">
        <v>232.42</v>
      </c>
      <c r="I409" s="1" t="s">
        <v>93</v>
      </c>
      <c r="J409" s="1" t="s">
        <v>94</v>
      </c>
      <c r="K409" s="1" t="s">
        <v>95</v>
      </c>
      <c r="L409" s="1" t="s">
        <v>59</v>
      </c>
      <c r="M409" s="1" t="s">
        <v>96</v>
      </c>
      <c r="N409" s="1" t="s">
        <v>91</v>
      </c>
      <c r="O4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0" spans="1:15" x14ac:dyDescent="0.25">
      <c r="A410">
        <v>10667</v>
      </c>
      <c r="B410" s="1" t="s">
        <v>110</v>
      </c>
      <c r="C410">
        <v>7</v>
      </c>
      <c r="D410" s="5">
        <v>35685</v>
      </c>
      <c r="E410" s="5">
        <v>35713</v>
      </c>
      <c r="F410" s="5">
        <v>35692</v>
      </c>
      <c r="G410">
        <v>1</v>
      </c>
      <c r="H410" s="1">
        <v>78.09</v>
      </c>
      <c r="I410" s="1" t="s">
        <v>111</v>
      </c>
      <c r="J410" s="1" t="s">
        <v>112</v>
      </c>
      <c r="K410" s="1" t="s">
        <v>113</v>
      </c>
      <c r="L410" s="1" t="s">
        <v>59</v>
      </c>
      <c r="M410" s="1" t="s">
        <v>114</v>
      </c>
      <c r="N410" s="1" t="s">
        <v>115</v>
      </c>
      <c r="O4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1" spans="1:15" x14ac:dyDescent="0.25">
      <c r="A411">
        <v>10668</v>
      </c>
      <c r="B411" s="1" t="s">
        <v>244</v>
      </c>
      <c r="C411">
        <v>1</v>
      </c>
      <c r="D411" s="5">
        <v>35688</v>
      </c>
      <c r="E411" s="5">
        <v>35716</v>
      </c>
      <c r="F411" s="5">
        <v>35696</v>
      </c>
      <c r="G411">
        <v>2</v>
      </c>
      <c r="H411" s="1">
        <v>47.22</v>
      </c>
      <c r="I411" s="1" t="s">
        <v>245</v>
      </c>
      <c r="J411" s="1" t="s">
        <v>246</v>
      </c>
      <c r="K411" s="1" t="s">
        <v>247</v>
      </c>
      <c r="L411" s="1" t="s">
        <v>59</v>
      </c>
      <c r="M411" s="1" t="s">
        <v>248</v>
      </c>
      <c r="N411" s="1" t="s">
        <v>67</v>
      </c>
      <c r="O4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2" spans="1:15" x14ac:dyDescent="0.25">
      <c r="A412">
        <v>10669</v>
      </c>
      <c r="B412" s="1" t="s">
        <v>325</v>
      </c>
      <c r="C412">
        <v>2</v>
      </c>
      <c r="D412" s="5">
        <v>35688</v>
      </c>
      <c r="E412" s="5">
        <v>35716</v>
      </c>
      <c r="F412" s="5">
        <v>35695</v>
      </c>
      <c r="G412">
        <v>1</v>
      </c>
      <c r="H412" s="1">
        <v>24.39</v>
      </c>
      <c r="I412" s="1" t="s">
        <v>326</v>
      </c>
      <c r="J412" s="1" t="s">
        <v>327</v>
      </c>
      <c r="K412" s="1" t="s">
        <v>328</v>
      </c>
      <c r="L412" s="1" t="s">
        <v>59</v>
      </c>
      <c r="M412" s="1" t="s">
        <v>329</v>
      </c>
      <c r="N412" s="1" t="s">
        <v>330</v>
      </c>
      <c r="O4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3" spans="1:15" x14ac:dyDescent="0.25">
      <c r="A413">
        <v>10670</v>
      </c>
      <c r="B413" s="1" t="s">
        <v>155</v>
      </c>
      <c r="C413">
        <v>4</v>
      </c>
      <c r="D413" s="5">
        <v>35689</v>
      </c>
      <c r="E413" s="5">
        <v>35717</v>
      </c>
      <c r="F413" s="5">
        <v>35691</v>
      </c>
      <c r="G413">
        <v>1</v>
      </c>
      <c r="H413" s="1">
        <v>203.48</v>
      </c>
      <c r="I413" s="1" t="s">
        <v>156</v>
      </c>
      <c r="J413" s="1" t="s">
        <v>157</v>
      </c>
      <c r="K413" s="1" t="s">
        <v>158</v>
      </c>
      <c r="L413" s="1" t="s">
        <v>59</v>
      </c>
      <c r="M413" s="1" t="s">
        <v>159</v>
      </c>
      <c r="N413" s="1" t="s">
        <v>67</v>
      </c>
      <c r="O4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4" spans="1:15" x14ac:dyDescent="0.25">
      <c r="A414">
        <v>10671</v>
      </c>
      <c r="B414" s="1" t="s">
        <v>499</v>
      </c>
      <c r="C414">
        <v>1</v>
      </c>
      <c r="D414" s="5">
        <v>35690</v>
      </c>
      <c r="E414" s="5">
        <v>35718</v>
      </c>
      <c r="F414" s="5">
        <v>35697</v>
      </c>
      <c r="G414">
        <v>1</v>
      </c>
      <c r="H414" s="1">
        <v>30.34</v>
      </c>
      <c r="I414" s="1" t="s">
        <v>500</v>
      </c>
      <c r="J414" s="1" t="s">
        <v>501</v>
      </c>
      <c r="K414" s="1" t="s">
        <v>277</v>
      </c>
      <c r="L414" s="1" t="s">
        <v>59</v>
      </c>
      <c r="M414" s="1" t="s">
        <v>278</v>
      </c>
      <c r="N414" s="1" t="s">
        <v>61</v>
      </c>
      <c r="O4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5" spans="1:15" x14ac:dyDescent="0.25">
      <c r="A415">
        <v>10672</v>
      </c>
      <c r="B415" s="1" t="s">
        <v>198</v>
      </c>
      <c r="C415">
        <v>9</v>
      </c>
      <c r="D415" s="5">
        <v>35690</v>
      </c>
      <c r="E415" s="5">
        <v>35704</v>
      </c>
      <c r="F415" s="5">
        <v>35699</v>
      </c>
      <c r="G415">
        <v>2</v>
      </c>
      <c r="H415" s="1">
        <v>95.75</v>
      </c>
      <c r="I415" s="1" t="s">
        <v>199</v>
      </c>
      <c r="J415" s="1" t="s">
        <v>200</v>
      </c>
      <c r="K415" s="1" t="s">
        <v>201</v>
      </c>
      <c r="L415" s="1" t="s">
        <v>59</v>
      </c>
      <c r="M415" s="1" t="s">
        <v>202</v>
      </c>
      <c r="N415" s="1" t="s">
        <v>143</v>
      </c>
      <c r="O4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6" spans="1:15" x14ac:dyDescent="0.25">
      <c r="A416">
        <v>10673</v>
      </c>
      <c r="B416" s="1" t="s">
        <v>483</v>
      </c>
      <c r="C416">
        <v>2</v>
      </c>
      <c r="D416" s="5">
        <v>35691</v>
      </c>
      <c r="E416" s="5">
        <v>35719</v>
      </c>
      <c r="F416" s="5">
        <v>35692</v>
      </c>
      <c r="G416">
        <v>1</v>
      </c>
      <c r="H416" s="1">
        <v>22.76</v>
      </c>
      <c r="I416" s="1" t="s">
        <v>484</v>
      </c>
      <c r="J416" s="1" t="s">
        <v>485</v>
      </c>
      <c r="K416" s="1" t="s">
        <v>486</v>
      </c>
      <c r="L416" s="1" t="s">
        <v>59</v>
      </c>
      <c r="M416" s="1" t="s">
        <v>487</v>
      </c>
      <c r="N416" s="1" t="s">
        <v>154</v>
      </c>
      <c r="O4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7" spans="1:15" x14ac:dyDescent="0.25">
      <c r="A417">
        <v>10674</v>
      </c>
      <c r="B417" s="1" t="s">
        <v>279</v>
      </c>
      <c r="C417">
        <v>4</v>
      </c>
      <c r="D417" s="5">
        <v>35691</v>
      </c>
      <c r="E417" s="5">
        <v>35719</v>
      </c>
      <c r="F417" s="5">
        <v>35703</v>
      </c>
      <c r="G417">
        <v>2</v>
      </c>
      <c r="H417" s="1">
        <v>0.9</v>
      </c>
      <c r="I417" s="1" t="s">
        <v>280</v>
      </c>
      <c r="J417" s="1" t="s">
        <v>281</v>
      </c>
      <c r="K417" s="1" t="s">
        <v>282</v>
      </c>
      <c r="L417" s="1" t="s">
        <v>283</v>
      </c>
      <c r="M417" s="1" t="s">
        <v>284</v>
      </c>
      <c r="N417" s="1" t="s">
        <v>234</v>
      </c>
      <c r="O4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8" spans="1:15" x14ac:dyDescent="0.25">
      <c r="A418">
        <v>10675</v>
      </c>
      <c r="B418" s="1" t="s">
        <v>155</v>
      </c>
      <c r="C418">
        <v>5</v>
      </c>
      <c r="D418" s="5">
        <v>35692</v>
      </c>
      <c r="E418" s="5">
        <v>35720</v>
      </c>
      <c r="F418" s="5">
        <v>35696</v>
      </c>
      <c r="G418">
        <v>2</v>
      </c>
      <c r="H418" s="1">
        <v>31.85</v>
      </c>
      <c r="I418" s="1" t="s">
        <v>156</v>
      </c>
      <c r="J418" s="1" t="s">
        <v>157</v>
      </c>
      <c r="K418" s="1" t="s">
        <v>158</v>
      </c>
      <c r="L418" s="1" t="s">
        <v>59</v>
      </c>
      <c r="M418" s="1" t="s">
        <v>159</v>
      </c>
      <c r="N418" s="1" t="s">
        <v>67</v>
      </c>
      <c r="O41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19" spans="1:15" x14ac:dyDescent="0.25">
      <c r="A419">
        <v>10676</v>
      </c>
      <c r="B419" s="1" t="s">
        <v>189</v>
      </c>
      <c r="C419">
        <v>2</v>
      </c>
      <c r="D419" s="5">
        <v>35695</v>
      </c>
      <c r="E419" s="5">
        <v>35723</v>
      </c>
      <c r="F419" s="5">
        <v>35702</v>
      </c>
      <c r="G419">
        <v>2</v>
      </c>
      <c r="H419" s="1">
        <v>2.0099999999999998</v>
      </c>
      <c r="I419" s="1" t="s">
        <v>190</v>
      </c>
      <c r="J419" s="1" t="s">
        <v>191</v>
      </c>
      <c r="K419" s="1" t="s">
        <v>119</v>
      </c>
      <c r="L419" s="1" t="s">
        <v>59</v>
      </c>
      <c r="M419" s="1" t="s">
        <v>192</v>
      </c>
      <c r="N419" s="1" t="s">
        <v>121</v>
      </c>
      <c r="O4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0" spans="1:15" x14ac:dyDescent="0.25">
      <c r="A420">
        <v>10677</v>
      </c>
      <c r="B420" s="1" t="s">
        <v>364</v>
      </c>
      <c r="C420">
        <v>1</v>
      </c>
      <c r="D420" s="5">
        <v>35695</v>
      </c>
      <c r="E420" s="5">
        <v>35723</v>
      </c>
      <c r="F420" s="5">
        <v>35699</v>
      </c>
      <c r="G420">
        <v>3</v>
      </c>
      <c r="H420" s="1">
        <v>4.03</v>
      </c>
      <c r="I420" s="1" t="s">
        <v>365</v>
      </c>
      <c r="J420" s="1" t="s">
        <v>366</v>
      </c>
      <c r="K420" s="1" t="s">
        <v>119</v>
      </c>
      <c r="L420" s="1" t="s">
        <v>59</v>
      </c>
      <c r="M420" s="1" t="s">
        <v>367</v>
      </c>
      <c r="N420" s="1" t="s">
        <v>121</v>
      </c>
      <c r="O4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1" spans="1:15" x14ac:dyDescent="0.25">
      <c r="A421">
        <v>10678</v>
      </c>
      <c r="B421" s="1" t="s">
        <v>293</v>
      </c>
      <c r="C421">
        <v>7</v>
      </c>
      <c r="D421" s="5">
        <v>35696</v>
      </c>
      <c r="E421" s="5">
        <v>35724</v>
      </c>
      <c r="F421" s="5">
        <v>35719</v>
      </c>
      <c r="G421">
        <v>3</v>
      </c>
      <c r="H421" s="1">
        <v>388.98</v>
      </c>
      <c r="I421" s="1" t="s">
        <v>294</v>
      </c>
      <c r="J421" s="1" t="s">
        <v>295</v>
      </c>
      <c r="K421" s="1" t="s">
        <v>296</v>
      </c>
      <c r="L421" s="1" t="s">
        <v>297</v>
      </c>
      <c r="M421" s="1" t="s">
        <v>298</v>
      </c>
      <c r="N421" s="1" t="s">
        <v>137</v>
      </c>
      <c r="O4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2" spans="1:15" x14ac:dyDescent="0.25">
      <c r="A422">
        <v>10679</v>
      </c>
      <c r="B422" s="1" t="s">
        <v>144</v>
      </c>
      <c r="C422">
        <v>8</v>
      </c>
      <c r="D422" s="5">
        <v>35696</v>
      </c>
      <c r="E422" s="5">
        <v>35724</v>
      </c>
      <c r="F422" s="5">
        <v>35703</v>
      </c>
      <c r="G422">
        <v>3</v>
      </c>
      <c r="H422" s="1">
        <v>27.94</v>
      </c>
      <c r="I422" s="1" t="s">
        <v>145</v>
      </c>
      <c r="J422" s="1" t="s">
        <v>146</v>
      </c>
      <c r="K422" s="1" t="s">
        <v>147</v>
      </c>
      <c r="L422" s="1" t="s">
        <v>59</v>
      </c>
      <c r="M422" s="1" t="s">
        <v>148</v>
      </c>
      <c r="N422" s="1" t="s">
        <v>61</v>
      </c>
      <c r="O4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3" spans="1:15" x14ac:dyDescent="0.25">
      <c r="A423">
        <v>10680</v>
      </c>
      <c r="B423" s="1" t="s">
        <v>254</v>
      </c>
      <c r="C423">
        <v>1</v>
      </c>
      <c r="D423" s="5">
        <v>35697</v>
      </c>
      <c r="E423" s="5">
        <v>35725</v>
      </c>
      <c r="F423" s="5">
        <v>35699</v>
      </c>
      <c r="G423">
        <v>1</v>
      </c>
      <c r="H423" s="1">
        <v>26.61</v>
      </c>
      <c r="I423" s="1" t="s">
        <v>255</v>
      </c>
      <c r="J423" s="1" t="s">
        <v>256</v>
      </c>
      <c r="K423" s="1" t="s">
        <v>257</v>
      </c>
      <c r="L423" s="1" t="s">
        <v>258</v>
      </c>
      <c r="M423" s="1" t="s">
        <v>259</v>
      </c>
      <c r="N423" s="1" t="s">
        <v>137</v>
      </c>
      <c r="O4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4" spans="1:15" x14ac:dyDescent="0.25">
      <c r="A424">
        <v>10681</v>
      </c>
      <c r="B424" s="1" t="s">
        <v>462</v>
      </c>
      <c r="C424">
        <v>3</v>
      </c>
      <c r="D424" s="5">
        <v>35698</v>
      </c>
      <c r="E424" s="5">
        <v>35726</v>
      </c>
      <c r="F424" s="5">
        <v>35703</v>
      </c>
      <c r="G424">
        <v>3</v>
      </c>
      <c r="H424" s="1">
        <v>76.13</v>
      </c>
      <c r="I424" s="1" t="s">
        <v>463</v>
      </c>
      <c r="J424" s="1" t="s">
        <v>464</v>
      </c>
      <c r="K424" s="1" t="s">
        <v>465</v>
      </c>
      <c r="L424" s="1" t="s">
        <v>264</v>
      </c>
      <c r="M424" s="1" t="s">
        <v>466</v>
      </c>
      <c r="N424" s="1" t="s">
        <v>137</v>
      </c>
      <c r="O4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5" spans="1:15" x14ac:dyDescent="0.25">
      <c r="A425">
        <v>10682</v>
      </c>
      <c r="B425" s="1" t="s">
        <v>364</v>
      </c>
      <c r="C425">
        <v>3</v>
      </c>
      <c r="D425" s="5">
        <v>35698</v>
      </c>
      <c r="E425" s="5">
        <v>35726</v>
      </c>
      <c r="F425" s="5">
        <v>35704</v>
      </c>
      <c r="G425">
        <v>2</v>
      </c>
      <c r="H425" s="1">
        <v>36.130000000000003</v>
      </c>
      <c r="I425" s="1" t="s">
        <v>365</v>
      </c>
      <c r="J425" s="1" t="s">
        <v>366</v>
      </c>
      <c r="K425" s="1" t="s">
        <v>119</v>
      </c>
      <c r="L425" s="1" t="s">
        <v>59</v>
      </c>
      <c r="M425" s="1" t="s">
        <v>367</v>
      </c>
      <c r="N425" s="1" t="s">
        <v>121</v>
      </c>
      <c r="O4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6" spans="1:15" x14ac:dyDescent="0.25">
      <c r="A426">
        <v>10683</v>
      </c>
      <c r="B426" s="1" t="s">
        <v>274</v>
      </c>
      <c r="C426">
        <v>2</v>
      </c>
      <c r="D426" s="5">
        <v>35699</v>
      </c>
      <c r="E426" s="5">
        <v>35727</v>
      </c>
      <c r="F426" s="5">
        <v>35704</v>
      </c>
      <c r="G426">
        <v>1</v>
      </c>
      <c r="H426" s="1">
        <v>4.4000000000000004</v>
      </c>
      <c r="I426" s="1" t="s">
        <v>275</v>
      </c>
      <c r="J426" s="1" t="s">
        <v>276</v>
      </c>
      <c r="K426" s="1" t="s">
        <v>277</v>
      </c>
      <c r="L426" s="1" t="s">
        <v>59</v>
      </c>
      <c r="M426" s="1" t="s">
        <v>278</v>
      </c>
      <c r="N426" s="1" t="s">
        <v>61</v>
      </c>
      <c r="O4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7" spans="1:15" x14ac:dyDescent="0.25">
      <c r="A427">
        <v>10684</v>
      </c>
      <c r="B427" s="1" t="s">
        <v>122</v>
      </c>
      <c r="C427">
        <v>3</v>
      </c>
      <c r="D427" s="5">
        <v>35699</v>
      </c>
      <c r="E427" s="5">
        <v>35727</v>
      </c>
      <c r="F427" s="5">
        <v>35703</v>
      </c>
      <c r="G427">
        <v>1</v>
      </c>
      <c r="H427" s="1">
        <v>145.63</v>
      </c>
      <c r="I427" s="1" t="s">
        <v>123</v>
      </c>
      <c r="J427" s="1" t="s">
        <v>124</v>
      </c>
      <c r="K427" s="1" t="s">
        <v>125</v>
      </c>
      <c r="L427" s="1" t="s">
        <v>59</v>
      </c>
      <c r="M427" s="1" t="s">
        <v>126</v>
      </c>
      <c r="N427" s="1" t="s">
        <v>67</v>
      </c>
      <c r="O4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8" spans="1:15" x14ac:dyDescent="0.25">
      <c r="A428">
        <v>10685</v>
      </c>
      <c r="B428" s="1" t="s">
        <v>427</v>
      </c>
      <c r="C428">
        <v>4</v>
      </c>
      <c r="D428" s="5">
        <v>35702</v>
      </c>
      <c r="E428" s="5">
        <v>35716</v>
      </c>
      <c r="F428" s="5">
        <v>35706</v>
      </c>
      <c r="G428">
        <v>2</v>
      </c>
      <c r="H428" s="1">
        <v>33.75</v>
      </c>
      <c r="I428" s="1" t="s">
        <v>428</v>
      </c>
      <c r="J428" s="1" t="s">
        <v>429</v>
      </c>
      <c r="K428" s="1" t="s">
        <v>430</v>
      </c>
      <c r="L428" s="1" t="s">
        <v>101</v>
      </c>
      <c r="M428" s="1" t="s">
        <v>431</v>
      </c>
      <c r="N428" s="1" t="s">
        <v>74</v>
      </c>
      <c r="O4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29" spans="1:15" x14ac:dyDescent="0.25">
      <c r="A429">
        <v>10686</v>
      </c>
      <c r="B429" s="1" t="s">
        <v>340</v>
      </c>
      <c r="C429">
        <v>2</v>
      </c>
      <c r="D429" s="5">
        <v>35703</v>
      </c>
      <c r="E429" s="5">
        <v>35731</v>
      </c>
      <c r="F429" s="5">
        <v>35711</v>
      </c>
      <c r="G429">
        <v>1</v>
      </c>
      <c r="H429" s="1">
        <v>96.5</v>
      </c>
      <c r="I429" s="1" t="s">
        <v>341</v>
      </c>
      <c r="J429" s="1" t="s">
        <v>342</v>
      </c>
      <c r="K429" s="1" t="s">
        <v>343</v>
      </c>
      <c r="L429" s="1" t="s">
        <v>59</v>
      </c>
      <c r="M429" s="1" t="s">
        <v>344</v>
      </c>
      <c r="N429" s="1" t="s">
        <v>115</v>
      </c>
      <c r="O4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0" spans="1:15" x14ac:dyDescent="0.25">
      <c r="A430">
        <v>10688</v>
      </c>
      <c r="B430" s="1" t="s">
        <v>373</v>
      </c>
      <c r="C430">
        <v>4</v>
      </c>
      <c r="D430" s="5">
        <v>35704</v>
      </c>
      <c r="E430" s="5">
        <v>35718</v>
      </c>
      <c r="F430" s="5">
        <v>35710</v>
      </c>
      <c r="G430">
        <v>2</v>
      </c>
      <c r="H430" s="1">
        <v>299.08999999999997</v>
      </c>
      <c r="I430" s="1" t="s">
        <v>374</v>
      </c>
      <c r="J430" s="1" t="s">
        <v>375</v>
      </c>
      <c r="K430" s="1" t="s">
        <v>376</v>
      </c>
      <c r="L430" s="1" t="s">
        <v>59</v>
      </c>
      <c r="M430" s="1" t="s">
        <v>377</v>
      </c>
      <c r="N430" s="1" t="s">
        <v>330</v>
      </c>
      <c r="O4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1" spans="1:15" x14ac:dyDescent="0.25">
      <c r="A431">
        <v>10689</v>
      </c>
      <c r="B431" s="1" t="s">
        <v>198</v>
      </c>
      <c r="C431">
        <v>1</v>
      </c>
      <c r="D431" s="5">
        <v>35704</v>
      </c>
      <c r="E431" s="5">
        <v>35732</v>
      </c>
      <c r="F431" s="5">
        <v>35710</v>
      </c>
      <c r="G431">
        <v>2</v>
      </c>
      <c r="H431" s="1">
        <v>13.42</v>
      </c>
      <c r="I431" s="1" t="s">
        <v>199</v>
      </c>
      <c r="J431" s="1" t="s">
        <v>200</v>
      </c>
      <c r="K431" s="1" t="s">
        <v>201</v>
      </c>
      <c r="L431" s="1" t="s">
        <v>59</v>
      </c>
      <c r="M431" s="1" t="s">
        <v>202</v>
      </c>
      <c r="N431" s="1" t="s">
        <v>143</v>
      </c>
      <c r="O4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2" spans="1:15" x14ac:dyDescent="0.25">
      <c r="A432">
        <v>10690</v>
      </c>
      <c r="B432" s="1" t="s">
        <v>68</v>
      </c>
      <c r="C432">
        <v>1</v>
      </c>
      <c r="D432" s="5">
        <v>35705</v>
      </c>
      <c r="E432" s="5">
        <v>35733</v>
      </c>
      <c r="F432" s="5">
        <v>35706</v>
      </c>
      <c r="G432">
        <v>1</v>
      </c>
      <c r="H432" s="1">
        <v>15.8</v>
      </c>
      <c r="I432" s="1" t="s">
        <v>69</v>
      </c>
      <c r="J432" s="1" t="s">
        <v>70</v>
      </c>
      <c r="K432" s="1" t="s">
        <v>71</v>
      </c>
      <c r="L432" s="1" t="s">
        <v>72</v>
      </c>
      <c r="M432" s="1" t="s">
        <v>73</v>
      </c>
      <c r="N432" s="1" t="s">
        <v>74</v>
      </c>
      <c r="O4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3" spans="1:15" x14ac:dyDescent="0.25">
      <c r="A433">
        <v>10691</v>
      </c>
      <c r="B433" s="1" t="s">
        <v>178</v>
      </c>
      <c r="C433">
        <v>2</v>
      </c>
      <c r="D433" s="5">
        <v>35706</v>
      </c>
      <c r="E433" s="5">
        <v>35748</v>
      </c>
      <c r="F433" s="5">
        <v>35725</v>
      </c>
      <c r="G433">
        <v>2</v>
      </c>
      <c r="H433" s="1">
        <v>810.05</v>
      </c>
      <c r="I433" s="1" t="s">
        <v>179</v>
      </c>
      <c r="J433" s="1" t="s">
        <v>180</v>
      </c>
      <c r="K433" s="1" t="s">
        <v>181</v>
      </c>
      <c r="L433" s="1" t="s">
        <v>59</v>
      </c>
      <c r="M433" s="1" t="s">
        <v>182</v>
      </c>
      <c r="N433" s="1" t="s">
        <v>67</v>
      </c>
      <c r="O4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4" spans="1:15" x14ac:dyDescent="0.25">
      <c r="A434">
        <v>10692</v>
      </c>
      <c r="B434" s="1" t="s">
        <v>494</v>
      </c>
      <c r="C434">
        <v>4</v>
      </c>
      <c r="D434" s="5">
        <v>35706</v>
      </c>
      <c r="E434" s="5">
        <v>35734</v>
      </c>
      <c r="F434" s="5">
        <v>35716</v>
      </c>
      <c r="G434">
        <v>2</v>
      </c>
      <c r="H434" s="1">
        <v>61.02</v>
      </c>
      <c r="I434" s="1" t="s">
        <v>502</v>
      </c>
      <c r="J434" s="1" t="s">
        <v>496</v>
      </c>
      <c r="K434" s="1" t="s">
        <v>497</v>
      </c>
      <c r="L434" s="1" t="s">
        <v>59</v>
      </c>
      <c r="M434" s="1" t="s">
        <v>498</v>
      </c>
      <c r="N434" s="1" t="s">
        <v>67</v>
      </c>
      <c r="O43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5" spans="1:15" x14ac:dyDescent="0.25">
      <c r="A435">
        <v>10693</v>
      </c>
      <c r="B435" s="1" t="s">
        <v>166</v>
      </c>
      <c r="C435">
        <v>3</v>
      </c>
      <c r="D435" s="5">
        <v>35709</v>
      </c>
      <c r="E435" s="5">
        <v>35723</v>
      </c>
      <c r="F435" s="5">
        <v>35713</v>
      </c>
      <c r="G435">
        <v>3</v>
      </c>
      <c r="H435" s="1">
        <v>139.34</v>
      </c>
      <c r="I435" s="1" t="s">
        <v>167</v>
      </c>
      <c r="J435" s="1" t="s">
        <v>168</v>
      </c>
      <c r="K435" s="1" t="s">
        <v>169</v>
      </c>
      <c r="L435" s="1" t="s">
        <v>170</v>
      </c>
      <c r="M435" s="1" t="s">
        <v>171</v>
      </c>
      <c r="N435" s="1" t="s">
        <v>137</v>
      </c>
      <c r="O4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6" spans="1:15" x14ac:dyDescent="0.25">
      <c r="A436">
        <v>10694</v>
      </c>
      <c r="B436" s="1" t="s">
        <v>178</v>
      </c>
      <c r="C436">
        <v>8</v>
      </c>
      <c r="D436" s="5">
        <v>35709</v>
      </c>
      <c r="E436" s="5">
        <v>35737</v>
      </c>
      <c r="F436" s="5">
        <v>35712</v>
      </c>
      <c r="G436">
        <v>3</v>
      </c>
      <c r="H436" s="1">
        <v>398.36</v>
      </c>
      <c r="I436" s="1" t="s">
        <v>179</v>
      </c>
      <c r="J436" s="1" t="s">
        <v>180</v>
      </c>
      <c r="K436" s="1" t="s">
        <v>181</v>
      </c>
      <c r="L436" s="1" t="s">
        <v>59</v>
      </c>
      <c r="M436" s="1" t="s">
        <v>182</v>
      </c>
      <c r="N436" s="1" t="s">
        <v>67</v>
      </c>
      <c r="O4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7" spans="1:15" x14ac:dyDescent="0.25">
      <c r="A437">
        <v>10695</v>
      </c>
      <c r="B437" s="1" t="s">
        <v>483</v>
      </c>
      <c r="C437">
        <v>7</v>
      </c>
      <c r="D437" s="5">
        <v>35710</v>
      </c>
      <c r="E437" s="5">
        <v>35752</v>
      </c>
      <c r="F437" s="5">
        <v>35717</v>
      </c>
      <c r="G437">
        <v>1</v>
      </c>
      <c r="H437" s="1">
        <v>16.72</v>
      </c>
      <c r="I437" s="1" t="s">
        <v>484</v>
      </c>
      <c r="J437" s="1" t="s">
        <v>485</v>
      </c>
      <c r="K437" s="1" t="s">
        <v>486</v>
      </c>
      <c r="L437" s="1" t="s">
        <v>59</v>
      </c>
      <c r="M437" s="1" t="s">
        <v>487</v>
      </c>
      <c r="N437" s="1" t="s">
        <v>154</v>
      </c>
      <c r="O4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8" spans="1:15" x14ac:dyDescent="0.25">
      <c r="A438">
        <v>10696</v>
      </c>
      <c r="B438" s="1" t="s">
        <v>166</v>
      </c>
      <c r="C438">
        <v>8</v>
      </c>
      <c r="D438" s="5">
        <v>35711</v>
      </c>
      <c r="E438" s="5">
        <v>35753</v>
      </c>
      <c r="F438" s="5">
        <v>35717</v>
      </c>
      <c r="G438">
        <v>3</v>
      </c>
      <c r="H438" s="1">
        <v>102.55</v>
      </c>
      <c r="I438" s="1" t="s">
        <v>167</v>
      </c>
      <c r="J438" s="1" t="s">
        <v>168</v>
      </c>
      <c r="K438" s="1" t="s">
        <v>169</v>
      </c>
      <c r="L438" s="1" t="s">
        <v>170</v>
      </c>
      <c r="M438" s="1" t="s">
        <v>171</v>
      </c>
      <c r="N438" s="1" t="s">
        <v>137</v>
      </c>
      <c r="O4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39" spans="1:15" x14ac:dyDescent="0.25">
      <c r="A439">
        <v>10697</v>
      </c>
      <c r="B439" s="1" t="s">
        <v>405</v>
      </c>
      <c r="C439">
        <v>3</v>
      </c>
      <c r="D439" s="5">
        <v>35711</v>
      </c>
      <c r="E439" s="5">
        <v>35739</v>
      </c>
      <c r="F439" s="5">
        <v>35717</v>
      </c>
      <c r="G439">
        <v>1</v>
      </c>
      <c r="H439" s="1">
        <v>45.52</v>
      </c>
      <c r="I439" s="1" t="s">
        <v>406</v>
      </c>
      <c r="J439" s="1" t="s">
        <v>407</v>
      </c>
      <c r="K439" s="1" t="s">
        <v>408</v>
      </c>
      <c r="L439" s="1" t="s">
        <v>409</v>
      </c>
      <c r="M439" s="1" t="s">
        <v>410</v>
      </c>
      <c r="N439" s="1" t="s">
        <v>109</v>
      </c>
      <c r="O4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0" spans="1:15" x14ac:dyDescent="0.25">
      <c r="A440">
        <v>10698</v>
      </c>
      <c r="B440" s="1" t="s">
        <v>110</v>
      </c>
      <c r="C440">
        <v>4</v>
      </c>
      <c r="D440" s="5">
        <v>35712</v>
      </c>
      <c r="E440" s="5">
        <v>35740</v>
      </c>
      <c r="F440" s="5">
        <v>35720</v>
      </c>
      <c r="G440">
        <v>1</v>
      </c>
      <c r="H440" s="1">
        <v>272.47000000000003</v>
      </c>
      <c r="I440" s="1" t="s">
        <v>111</v>
      </c>
      <c r="J440" s="1" t="s">
        <v>112</v>
      </c>
      <c r="K440" s="1" t="s">
        <v>113</v>
      </c>
      <c r="L440" s="1" t="s">
        <v>59</v>
      </c>
      <c r="M440" s="1" t="s">
        <v>114</v>
      </c>
      <c r="N440" s="1" t="s">
        <v>115</v>
      </c>
      <c r="O4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1" spans="1:15" x14ac:dyDescent="0.25">
      <c r="A441">
        <v>10699</v>
      </c>
      <c r="B441" s="1" t="s">
        <v>193</v>
      </c>
      <c r="C441">
        <v>3</v>
      </c>
      <c r="D441" s="5">
        <v>35712</v>
      </c>
      <c r="E441" s="5">
        <v>35740</v>
      </c>
      <c r="F441" s="5">
        <v>35716</v>
      </c>
      <c r="G441">
        <v>3</v>
      </c>
      <c r="H441" s="1">
        <v>0.57999999999999996</v>
      </c>
      <c r="I441" s="1" t="s">
        <v>194</v>
      </c>
      <c r="J441" s="1" t="s">
        <v>195</v>
      </c>
      <c r="K441" s="1" t="s">
        <v>196</v>
      </c>
      <c r="L441" s="1" t="s">
        <v>59</v>
      </c>
      <c r="M441" s="1" t="s">
        <v>197</v>
      </c>
      <c r="N441" s="1" t="s">
        <v>67</v>
      </c>
      <c r="O4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2" spans="1:15" x14ac:dyDescent="0.25">
      <c r="A442">
        <v>10700</v>
      </c>
      <c r="B442" s="1" t="s">
        <v>293</v>
      </c>
      <c r="C442">
        <v>3</v>
      </c>
      <c r="D442" s="5">
        <v>35713</v>
      </c>
      <c r="E442" s="5">
        <v>35741</v>
      </c>
      <c r="F442" s="5">
        <v>35719</v>
      </c>
      <c r="G442">
        <v>1</v>
      </c>
      <c r="H442" s="1">
        <v>65.099999999999994</v>
      </c>
      <c r="I442" s="1" t="s">
        <v>294</v>
      </c>
      <c r="J442" s="1" t="s">
        <v>295</v>
      </c>
      <c r="K442" s="1" t="s">
        <v>296</v>
      </c>
      <c r="L442" s="1" t="s">
        <v>297</v>
      </c>
      <c r="M442" s="1" t="s">
        <v>298</v>
      </c>
      <c r="N442" s="1" t="s">
        <v>137</v>
      </c>
      <c r="O4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3" spans="1:15" x14ac:dyDescent="0.25">
      <c r="A443">
        <v>10702</v>
      </c>
      <c r="B443" s="1" t="s">
        <v>494</v>
      </c>
      <c r="C443">
        <v>4</v>
      </c>
      <c r="D443" s="5">
        <v>35716</v>
      </c>
      <c r="E443" s="5">
        <v>35758</v>
      </c>
      <c r="F443" s="5">
        <v>35724</v>
      </c>
      <c r="G443">
        <v>1</v>
      </c>
      <c r="H443" s="1">
        <v>23.94</v>
      </c>
      <c r="I443" s="1" t="s">
        <v>502</v>
      </c>
      <c r="J443" s="1" t="s">
        <v>496</v>
      </c>
      <c r="K443" s="1" t="s">
        <v>497</v>
      </c>
      <c r="L443" s="1" t="s">
        <v>59</v>
      </c>
      <c r="M443" s="1" t="s">
        <v>498</v>
      </c>
      <c r="N443" s="1" t="s">
        <v>67</v>
      </c>
      <c r="O4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4" spans="1:15" x14ac:dyDescent="0.25">
      <c r="A444">
        <v>10703</v>
      </c>
      <c r="B444" s="1" t="s">
        <v>138</v>
      </c>
      <c r="C444">
        <v>6</v>
      </c>
      <c r="D444" s="5">
        <v>35717</v>
      </c>
      <c r="E444" s="5">
        <v>35745</v>
      </c>
      <c r="F444" s="5">
        <v>35723</v>
      </c>
      <c r="G444">
        <v>2</v>
      </c>
      <c r="H444" s="1">
        <v>152.30000000000001</v>
      </c>
      <c r="I444" s="1" t="s">
        <v>139</v>
      </c>
      <c r="J444" s="1" t="s">
        <v>140</v>
      </c>
      <c r="K444" s="1" t="s">
        <v>141</v>
      </c>
      <c r="L444" s="1" t="s">
        <v>59</v>
      </c>
      <c r="M444" s="1" t="s">
        <v>142</v>
      </c>
      <c r="N444" s="1" t="s">
        <v>143</v>
      </c>
      <c r="O4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5" spans="1:15" x14ac:dyDescent="0.25">
      <c r="A445">
        <v>10704</v>
      </c>
      <c r="B445" s="1" t="s">
        <v>378</v>
      </c>
      <c r="C445">
        <v>6</v>
      </c>
      <c r="D445" s="5">
        <v>35717</v>
      </c>
      <c r="E445" s="5">
        <v>35745</v>
      </c>
      <c r="F445" s="5">
        <v>35741</v>
      </c>
      <c r="G445">
        <v>1</v>
      </c>
      <c r="H445" s="1">
        <v>4.78</v>
      </c>
      <c r="I445" s="1" t="s">
        <v>379</v>
      </c>
      <c r="J445" s="1" t="s">
        <v>380</v>
      </c>
      <c r="K445" s="1" t="s">
        <v>238</v>
      </c>
      <c r="L445" s="1" t="s">
        <v>101</v>
      </c>
      <c r="M445" s="1" t="s">
        <v>381</v>
      </c>
      <c r="N445" s="1" t="s">
        <v>74</v>
      </c>
      <c r="O4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6" spans="1:15" x14ac:dyDescent="0.25">
      <c r="A446">
        <v>10705</v>
      </c>
      <c r="B446" s="1" t="s">
        <v>103</v>
      </c>
      <c r="C446">
        <v>9</v>
      </c>
      <c r="D446" s="5">
        <v>35718</v>
      </c>
      <c r="E446" s="5">
        <v>35746</v>
      </c>
      <c r="F446" s="5">
        <v>35752</v>
      </c>
      <c r="G446">
        <v>2</v>
      </c>
      <c r="H446" s="1">
        <v>3.52</v>
      </c>
      <c r="I446" s="1" t="s">
        <v>104</v>
      </c>
      <c r="J446" s="1" t="s">
        <v>105</v>
      </c>
      <c r="K446" s="1" t="s">
        <v>106</v>
      </c>
      <c r="L446" s="1" t="s">
        <v>107</v>
      </c>
      <c r="M446" s="1" t="s">
        <v>108</v>
      </c>
      <c r="N446" s="1" t="s">
        <v>109</v>
      </c>
      <c r="O44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47" spans="1:15" x14ac:dyDescent="0.25">
      <c r="A447">
        <v>10706</v>
      </c>
      <c r="B447" s="1" t="s">
        <v>254</v>
      </c>
      <c r="C447">
        <v>8</v>
      </c>
      <c r="D447" s="5">
        <v>35719</v>
      </c>
      <c r="E447" s="5">
        <v>35747</v>
      </c>
      <c r="F447" s="5">
        <v>35724</v>
      </c>
      <c r="G447">
        <v>3</v>
      </c>
      <c r="H447" s="1">
        <v>135.63</v>
      </c>
      <c r="I447" s="1" t="s">
        <v>255</v>
      </c>
      <c r="J447" s="1" t="s">
        <v>256</v>
      </c>
      <c r="K447" s="1" t="s">
        <v>257</v>
      </c>
      <c r="L447" s="1" t="s">
        <v>258</v>
      </c>
      <c r="M447" s="1" t="s">
        <v>259</v>
      </c>
      <c r="N447" s="1" t="s">
        <v>137</v>
      </c>
      <c r="O4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8" spans="1:15" x14ac:dyDescent="0.25">
      <c r="A448">
        <v>10707</v>
      </c>
      <c r="B448" s="1" t="s">
        <v>345</v>
      </c>
      <c r="C448">
        <v>4</v>
      </c>
      <c r="D448" s="5">
        <v>35719</v>
      </c>
      <c r="E448" s="5">
        <v>35733</v>
      </c>
      <c r="F448" s="5">
        <v>35726</v>
      </c>
      <c r="G448">
        <v>3</v>
      </c>
      <c r="H448" s="1">
        <v>21.74</v>
      </c>
      <c r="I448" s="1" t="s">
        <v>346</v>
      </c>
      <c r="J448" s="1" t="s">
        <v>347</v>
      </c>
      <c r="K448" s="1" t="s">
        <v>348</v>
      </c>
      <c r="L448" s="1" t="s">
        <v>349</v>
      </c>
      <c r="M448" s="1" t="s">
        <v>350</v>
      </c>
      <c r="N448" s="1" t="s">
        <v>234</v>
      </c>
      <c r="O4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49" spans="1:15" x14ac:dyDescent="0.25">
      <c r="A449">
        <v>10708</v>
      </c>
      <c r="B449" s="1" t="s">
        <v>270</v>
      </c>
      <c r="C449">
        <v>6</v>
      </c>
      <c r="D449" s="5">
        <v>35720</v>
      </c>
      <c r="E449" s="5">
        <v>35762</v>
      </c>
      <c r="F449" s="5">
        <v>35739</v>
      </c>
      <c r="G449">
        <v>2</v>
      </c>
      <c r="H449" s="1">
        <v>2.96</v>
      </c>
      <c r="I449" s="1" t="s">
        <v>271</v>
      </c>
      <c r="J449" s="1" t="s">
        <v>272</v>
      </c>
      <c r="K449" s="1" t="s">
        <v>263</v>
      </c>
      <c r="L449" s="1" t="s">
        <v>264</v>
      </c>
      <c r="M449" s="1" t="s">
        <v>273</v>
      </c>
      <c r="N449" s="1" t="s">
        <v>137</v>
      </c>
      <c r="O4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0" spans="1:15" x14ac:dyDescent="0.25">
      <c r="A450">
        <v>10709</v>
      </c>
      <c r="B450" s="1" t="s">
        <v>427</v>
      </c>
      <c r="C450">
        <v>1</v>
      </c>
      <c r="D450" s="5">
        <v>35720</v>
      </c>
      <c r="E450" s="5">
        <v>35748</v>
      </c>
      <c r="F450" s="5">
        <v>35754</v>
      </c>
      <c r="G450">
        <v>3</v>
      </c>
      <c r="H450" s="1">
        <v>210.8</v>
      </c>
      <c r="I450" s="1" t="s">
        <v>428</v>
      </c>
      <c r="J450" s="1" t="s">
        <v>429</v>
      </c>
      <c r="K450" s="1" t="s">
        <v>430</v>
      </c>
      <c r="L450" s="1" t="s">
        <v>101</v>
      </c>
      <c r="M450" s="1" t="s">
        <v>431</v>
      </c>
      <c r="N450" s="1" t="s">
        <v>74</v>
      </c>
      <c r="O450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51" spans="1:15" x14ac:dyDescent="0.25">
      <c r="A451">
        <v>10710</v>
      </c>
      <c r="B451" s="1" t="s">
        <v>422</v>
      </c>
      <c r="C451">
        <v>1</v>
      </c>
      <c r="D451" s="5">
        <v>35723</v>
      </c>
      <c r="E451" s="5">
        <v>35751</v>
      </c>
      <c r="F451" s="5">
        <v>35726</v>
      </c>
      <c r="G451">
        <v>1</v>
      </c>
      <c r="H451" s="1">
        <v>4.9800000000000004</v>
      </c>
      <c r="I451" s="1" t="s">
        <v>423</v>
      </c>
      <c r="J451" s="1" t="s">
        <v>424</v>
      </c>
      <c r="K451" s="1" t="s">
        <v>425</v>
      </c>
      <c r="L451" s="1" t="s">
        <v>59</v>
      </c>
      <c r="M451" s="1" t="s">
        <v>426</v>
      </c>
      <c r="N451" s="1" t="s">
        <v>188</v>
      </c>
      <c r="O4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2" spans="1:15" x14ac:dyDescent="0.25">
      <c r="A452">
        <v>10711</v>
      </c>
      <c r="B452" s="1" t="s">
        <v>293</v>
      </c>
      <c r="C452">
        <v>5</v>
      </c>
      <c r="D452" s="5">
        <v>35724</v>
      </c>
      <c r="E452" s="5">
        <v>35766</v>
      </c>
      <c r="F452" s="5">
        <v>35732</v>
      </c>
      <c r="G452">
        <v>2</v>
      </c>
      <c r="H452" s="1">
        <v>52.41</v>
      </c>
      <c r="I452" s="1" t="s">
        <v>294</v>
      </c>
      <c r="J452" s="1" t="s">
        <v>295</v>
      </c>
      <c r="K452" s="1" t="s">
        <v>296</v>
      </c>
      <c r="L452" s="1" t="s">
        <v>297</v>
      </c>
      <c r="M452" s="1" t="s">
        <v>298</v>
      </c>
      <c r="N452" s="1" t="s">
        <v>137</v>
      </c>
      <c r="O4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3" spans="1:15" x14ac:dyDescent="0.25">
      <c r="A453">
        <v>10713</v>
      </c>
      <c r="B453" s="1" t="s">
        <v>293</v>
      </c>
      <c r="C453">
        <v>1</v>
      </c>
      <c r="D453" s="5">
        <v>35725</v>
      </c>
      <c r="E453" s="5">
        <v>35753</v>
      </c>
      <c r="F453" s="5">
        <v>35727</v>
      </c>
      <c r="G453">
        <v>1</v>
      </c>
      <c r="H453" s="1">
        <v>167.05</v>
      </c>
      <c r="I453" s="1" t="s">
        <v>294</v>
      </c>
      <c r="J453" s="1" t="s">
        <v>295</v>
      </c>
      <c r="K453" s="1" t="s">
        <v>296</v>
      </c>
      <c r="L453" s="1" t="s">
        <v>297</v>
      </c>
      <c r="M453" s="1" t="s">
        <v>298</v>
      </c>
      <c r="N453" s="1" t="s">
        <v>137</v>
      </c>
      <c r="O4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4" spans="1:15" x14ac:dyDescent="0.25">
      <c r="A454">
        <v>10714</v>
      </c>
      <c r="B454" s="1" t="s">
        <v>293</v>
      </c>
      <c r="C454">
        <v>5</v>
      </c>
      <c r="D454" s="5">
        <v>35725</v>
      </c>
      <c r="E454" s="5">
        <v>35753</v>
      </c>
      <c r="F454" s="5">
        <v>35730</v>
      </c>
      <c r="G454">
        <v>3</v>
      </c>
      <c r="H454" s="1">
        <v>24.49</v>
      </c>
      <c r="I454" s="1" t="s">
        <v>294</v>
      </c>
      <c r="J454" s="1" t="s">
        <v>295</v>
      </c>
      <c r="K454" s="1" t="s">
        <v>296</v>
      </c>
      <c r="L454" s="1" t="s">
        <v>297</v>
      </c>
      <c r="M454" s="1" t="s">
        <v>298</v>
      </c>
      <c r="N454" s="1" t="s">
        <v>137</v>
      </c>
      <c r="O4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5" spans="1:15" x14ac:dyDescent="0.25">
      <c r="A455">
        <v>10715</v>
      </c>
      <c r="B455" s="1" t="s">
        <v>309</v>
      </c>
      <c r="C455">
        <v>3</v>
      </c>
      <c r="D455" s="5">
        <v>35726</v>
      </c>
      <c r="E455" s="5">
        <v>35740</v>
      </c>
      <c r="F455" s="5">
        <v>35732</v>
      </c>
      <c r="G455">
        <v>1</v>
      </c>
      <c r="H455" s="1">
        <v>63.2</v>
      </c>
      <c r="I455" s="1" t="s">
        <v>310</v>
      </c>
      <c r="J455" s="1" t="s">
        <v>311</v>
      </c>
      <c r="K455" s="1" t="s">
        <v>312</v>
      </c>
      <c r="L455" s="1" t="s">
        <v>59</v>
      </c>
      <c r="M455" s="1" t="s">
        <v>313</v>
      </c>
      <c r="N455" s="1" t="s">
        <v>61</v>
      </c>
      <c r="O45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6" spans="1:15" x14ac:dyDescent="0.25">
      <c r="A456">
        <v>10716</v>
      </c>
      <c r="B456" s="1" t="s">
        <v>436</v>
      </c>
      <c r="C456">
        <v>4</v>
      </c>
      <c r="D456" s="5">
        <v>35727</v>
      </c>
      <c r="E456" s="5">
        <v>35755</v>
      </c>
      <c r="F456" s="5">
        <v>35730</v>
      </c>
      <c r="G456">
        <v>2</v>
      </c>
      <c r="H456" s="1">
        <v>22.57</v>
      </c>
      <c r="I456" s="1" t="s">
        <v>437</v>
      </c>
      <c r="J456" s="1" t="s">
        <v>438</v>
      </c>
      <c r="K456" s="1" t="s">
        <v>419</v>
      </c>
      <c r="L456" s="1" t="s">
        <v>59</v>
      </c>
      <c r="M456" s="1" t="s">
        <v>420</v>
      </c>
      <c r="N456" s="1" t="s">
        <v>421</v>
      </c>
      <c r="O4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7" spans="1:15" x14ac:dyDescent="0.25">
      <c r="A457">
        <v>10717</v>
      </c>
      <c r="B457" s="1" t="s">
        <v>155</v>
      </c>
      <c r="C457">
        <v>1</v>
      </c>
      <c r="D457" s="5">
        <v>35727</v>
      </c>
      <c r="E457" s="5">
        <v>35755</v>
      </c>
      <c r="F457" s="5">
        <v>35732</v>
      </c>
      <c r="G457">
        <v>2</v>
      </c>
      <c r="H457" s="1">
        <v>59.25</v>
      </c>
      <c r="I457" s="1" t="s">
        <v>156</v>
      </c>
      <c r="J457" s="1" t="s">
        <v>157</v>
      </c>
      <c r="K457" s="1" t="s">
        <v>158</v>
      </c>
      <c r="L457" s="1" t="s">
        <v>59</v>
      </c>
      <c r="M457" s="1" t="s">
        <v>159</v>
      </c>
      <c r="N457" s="1" t="s">
        <v>67</v>
      </c>
      <c r="O4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8" spans="1:15" x14ac:dyDescent="0.25">
      <c r="A458">
        <v>10718</v>
      </c>
      <c r="B458" s="1" t="s">
        <v>288</v>
      </c>
      <c r="C458">
        <v>1</v>
      </c>
      <c r="D458" s="5">
        <v>35730</v>
      </c>
      <c r="E458" s="5">
        <v>35758</v>
      </c>
      <c r="F458" s="5">
        <v>35732</v>
      </c>
      <c r="G458">
        <v>3</v>
      </c>
      <c r="H458" s="1">
        <v>170.88</v>
      </c>
      <c r="I458" s="1" t="s">
        <v>289</v>
      </c>
      <c r="J458" s="1" t="s">
        <v>290</v>
      </c>
      <c r="K458" s="1" t="s">
        <v>291</v>
      </c>
      <c r="L458" s="1" t="s">
        <v>59</v>
      </c>
      <c r="M458" s="1" t="s">
        <v>292</v>
      </c>
      <c r="N458" s="1" t="s">
        <v>67</v>
      </c>
      <c r="O4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59" spans="1:15" x14ac:dyDescent="0.25">
      <c r="A459">
        <v>10719</v>
      </c>
      <c r="B459" s="1" t="s">
        <v>477</v>
      </c>
      <c r="C459">
        <v>8</v>
      </c>
      <c r="D459" s="5">
        <v>35730</v>
      </c>
      <c r="E459" s="5">
        <v>35758</v>
      </c>
      <c r="F459" s="5">
        <v>35739</v>
      </c>
      <c r="G459">
        <v>2</v>
      </c>
      <c r="H459" s="1">
        <v>51.44</v>
      </c>
      <c r="I459" s="1" t="s">
        <v>478</v>
      </c>
      <c r="J459" s="1" t="s">
        <v>479</v>
      </c>
      <c r="K459" s="1" t="s">
        <v>480</v>
      </c>
      <c r="L459" s="1" t="s">
        <v>481</v>
      </c>
      <c r="M459" s="1" t="s">
        <v>482</v>
      </c>
      <c r="N459" s="1" t="s">
        <v>137</v>
      </c>
      <c r="O4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0" spans="1:15" x14ac:dyDescent="0.25">
      <c r="A460">
        <v>10720</v>
      </c>
      <c r="B460" s="1" t="s">
        <v>127</v>
      </c>
      <c r="C460">
        <v>8</v>
      </c>
      <c r="D460" s="5">
        <v>35731</v>
      </c>
      <c r="E460" s="5">
        <v>35745</v>
      </c>
      <c r="F460" s="5">
        <v>35739</v>
      </c>
      <c r="G460">
        <v>2</v>
      </c>
      <c r="H460" s="1">
        <v>9.5299999999999994</v>
      </c>
      <c r="I460" s="1" t="s">
        <v>128</v>
      </c>
      <c r="J460" s="1" t="s">
        <v>129</v>
      </c>
      <c r="K460" s="1" t="s">
        <v>71</v>
      </c>
      <c r="L460" s="1" t="s">
        <v>72</v>
      </c>
      <c r="M460" s="1" t="s">
        <v>130</v>
      </c>
      <c r="N460" s="1" t="s">
        <v>74</v>
      </c>
      <c r="O4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1" spans="1:15" x14ac:dyDescent="0.25">
      <c r="A461">
        <v>10721</v>
      </c>
      <c r="B461" s="1" t="s">
        <v>178</v>
      </c>
      <c r="C461">
        <v>5</v>
      </c>
      <c r="D461" s="5">
        <v>35732</v>
      </c>
      <c r="E461" s="5">
        <v>35760</v>
      </c>
      <c r="F461" s="5">
        <v>35734</v>
      </c>
      <c r="G461">
        <v>3</v>
      </c>
      <c r="H461" s="1">
        <v>48.92</v>
      </c>
      <c r="I461" s="1" t="s">
        <v>179</v>
      </c>
      <c r="J461" s="1" t="s">
        <v>180</v>
      </c>
      <c r="K461" s="1" t="s">
        <v>181</v>
      </c>
      <c r="L461" s="1" t="s">
        <v>59</v>
      </c>
      <c r="M461" s="1" t="s">
        <v>182</v>
      </c>
      <c r="N461" s="1" t="s">
        <v>67</v>
      </c>
      <c r="O4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2" spans="1:15" x14ac:dyDescent="0.25">
      <c r="A462">
        <v>10722</v>
      </c>
      <c r="B462" s="1" t="s">
        <v>293</v>
      </c>
      <c r="C462">
        <v>8</v>
      </c>
      <c r="D462" s="5">
        <v>35732</v>
      </c>
      <c r="E462" s="5">
        <v>35774</v>
      </c>
      <c r="F462" s="5">
        <v>35738</v>
      </c>
      <c r="G462">
        <v>1</v>
      </c>
      <c r="H462" s="1">
        <v>74.58</v>
      </c>
      <c r="I462" s="1" t="s">
        <v>294</v>
      </c>
      <c r="J462" s="1" t="s">
        <v>295</v>
      </c>
      <c r="K462" s="1" t="s">
        <v>296</v>
      </c>
      <c r="L462" s="1" t="s">
        <v>297</v>
      </c>
      <c r="M462" s="1" t="s">
        <v>298</v>
      </c>
      <c r="N462" s="1" t="s">
        <v>137</v>
      </c>
      <c r="O4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3" spans="1:15" x14ac:dyDescent="0.25">
      <c r="A463">
        <v>10723</v>
      </c>
      <c r="B463" s="1" t="s">
        <v>166</v>
      </c>
      <c r="C463">
        <v>3</v>
      </c>
      <c r="D463" s="5">
        <v>35733</v>
      </c>
      <c r="E463" s="5">
        <v>35761</v>
      </c>
      <c r="F463" s="5">
        <v>35759</v>
      </c>
      <c r="G463">
        <v>1</v>
      </c>
      <c r="H463" s="1">
        <v>21.72</v>
      </c>
      <c r="I463" s="1" t="s">
        <v>167</v>
      </c>
      <c r="J463" s="1" t="s">
        <v>168</v>
      </c>
      <c r="K463" s="1" t="s">
        <v>169</v>
      </c>
      <c r="L463" s="1" t="s">
        <v>170</v>
      </c>
      <c r="M463" s="1" t="s">
        <v>171</v>
      </c>
      <c r="N463" s="1" t="s">
        <v>137</v>
      </c>
      <c r="O4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4" spans="1:15" x14ac:dyDescent="0.25">
      <c r="A464">
        <v>10724</v>
      </c>
      <c r="B464" s="1" t="s">
        <v>314</v>
      </c>
      <c r="C464">
        <v>8</v>
      </c>
      <c r="D464" s="5">
        <v>35733</v>
      </c>
      <c r="E464" s="5">
        <v>35775</v>
      </c>
      <c r="F464" s="5">
        <v>35739</v>
      </c>
      <c r="G464">
        <v>2</v>
      </c>
      <c r="H464" s="1">
        <v>57.75</v>
      </c>
      <c r="I464" s="1" t="s">
        <v>315</v>
      </c>
      <c r="J464" s="1" t="s">
        <v>316</v>
      </c>
      <c r="K464" s="1" t="s">
        <v>317</v>
      </c>
      <c r="L464" s="1" t="s">
        <v>318</v>
      </c>
      <c r="M464" s="1" t="s">
        <v>319</v>
      </c>
      <c r="N464" s="1" t="s">
        <v>320</v>
      </c>
      <c r="O4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5" spans="1:15" x14ac:dyDescent="0.25">
      <c r="A465">
        <v>10725</v>
      </c>
      <c r="B465" s="1" t="s">
        <v>331</v>
      </c>
      <c r="C465">
        <v>4</v>
      </c>
      <c r="D465" s="5">
        <v>35734</v>
      </c>
      <c r="E465" s="5">
        <v>35762</v>
      </c>
      <c r="F465" s="5">
        <v>35739</v>
      </c>
      <c r="G465">
        <v>3</v>
      </c>
      <c r="H465" s="1">
        <v>10.83</v>
      </c>
      <c r="I465" s="1" t="s">
        <v>332</v>
      </c>
      <c r="J465" s="1" t="s">
        <v>333</v>
      </c>
      <c r="K465" s="1" t="s">
        <v>238</v>
      </c>
      <c r="L465" s="1" t="s">
        <v>101</v>
      </c>
      <c r="M465" s="1" t="s">
        <v>334</v>
      </c>
      <c r="N465" s="1" t="s">
        <v>74</v>
      </c>
      <c r="O4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6" spans="1:15" x14ac:dyDescent="0.25">
      <c r="A466">
        <v>10726</v>
      </c>
      <c r="B466" s="1" t="s">
        <v>360</v>
      </c>
      <c r="C466">
        <v>4</v>
      </c>
      <c r="D466" s="5">
        <v>35737</v>
      </c>
      <c r="E466" s="5">
        <v>35751</v>
      </c>
      <c r="F466" s="5">
        <v>35769</v>
      </c>
      <c r="G466">
        <v>1</v>
      </c>
      <c r="H466" s="1">
        <v>16.559999999999999</v>
      </c>
      <c r="I466" s="1" t="s">
        <v>361</v>
      </c>
      <c r="J466" s="1" t="s">
        <v>362</v>
      </c>
      <c r="K466" s="1" t="s">
        <v>232</v>
      </c>
      <c r="L466" s="1" t="s">
        <v>59</v>
      </c>
      <c r="M466" s="1" t="s">
        <v>363</v>
      </c>
      <c r="N466" s="1" t="s">
        <v>234</v>
      </c>
      <c r="O46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67" spans="1:15" x14ac:dyDescent="0.25">
      <c r="A467">
        <v>10727</v>
      </c>
      <c r="B467" s="1" t="s">
        <v>224</v>
      </c>
      <c r="C467">
        <v>2</v>
      </c>
      <c r="D467" s="5">
        <v>35737</v>
      </c>
      <c r="E467" s="5">
        <v>35765</v>
      </c>
      <c r="F467" s="5">
        <v>35769</v>
      </c>
      <c r="G467">
        <v>1</v>
      </c>
      <c r="H467" s="1">
        <v>89.9</v>
      </c>
      <c r="I467" s="1" t="s">
        <v>225</v>
      </c>
      <c r="J467" s="1" t="s">
        <v>226</v>
      </c>
      <c r="K467" s="1" t="s">
        <v>227</v>
      </c>
      <c r="L467" s="1" t="s">
        <v>59</v>
      </c>
      <c r="M467" s="1" t="s">
        <v>228</v>
      </c>
      <c r="N467" s="1" t="s">
        <v>188</v>
      </c>
      <c r="O467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68" spans="1:15" x14ac:dyDescent="0.25">
      <c r="A468">
        <v>10728</v>
      </c>
      <c r="B468" s="1" t="s">
        <v>378</v>
      </c>
      <c r="C468">
        <v>4</v>
      </c>
      <c r="D468" s="5">
        <v>35738</v>
      </c>
      <c r="E468" s="5">
        <v>35766</v>
      </c>
      <c r="F468" s="5">
        <v>35745</v>
      </c>
      <c r="G468">
        <v>2</v>
      </c>
      <c r="H468" s="1">
        <v>58.33</v>
      </c>
      <c r="I468" s="1" t="s">
        <v>379</v>
      </c>
      <c r="J468" s="1" t="s">
        <v>380</v>
      </c>
      <c r="K468" s="1" t="s">
        <v>238</v>
      </c>
      <c r="L468" s="1" t="s">
        <v>101</v>
      </c>
      <c r="M468" s="1" t="s">
        <v>381</v>
      </c>
      <c r="N468" s="1" t="s">
        <v>74</v>
      </c>
      <c r="O4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69" spans="1:15" x14ac:dyDescent="0.25">
      <c r="A469">
        <v>10729</v>
      </c>
      <c r="B469" s="1" t="s">
        <v>405</v>
      </c>
      <c r="C469">
        <v>8</v>
      </c>
      <c r="D469" s="5">
        <v>35738</v>
      </c>
      <c r="E469" s="5">
        <v>35780</v>
      </c>
      <c r="F469" s="5">
        <v>35748</v>
      </c>
      <c r="G469">
        <v>3</v>
      </c>
      <c r="H469" s="1">
        <v>141.06</v>
      </c>
      <c r="I469" s="1" t="s">
        <v>406</v>
      </c>
      <c r="J469" s="1" t="s">
        <v>407</v>
      </c>
      <c r="K469" s="1" t="s">
        <v>408</v>
      </c>
      <c r="L469" s="1" t="s">
        <v>409</v>
      </c>
      <c r="M469" s="1" t="s">
        <v>410</v>
      </c>
      <c r="N469" s="1" t="s">
        <v>109</v>
      </c>
      <c r="O4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0" spans="1:15" x14ac:dyDescent="0.25">
      <c r="A470">
        <v>10730</v>
      </c>
      <c r="B470" s="1" t="s">
        <v>309</v>
      </c>
      <c r="C470">
        <v>5</v>
      </c>
      <c r="D470" s="5">
        <v>35739</v>
      </c>
      <c r="E470" s="5">
        <v>35767</v>
      </c>
      <c r="F470" s="5">
        <v>35748</v>
      </c>
      <c r="G470">
        <v>1</v>
      </c>
      <c r="H470" s="1">
        <v>20.12</v>
      </c>
      <c r="I470" s="1" t="s">
        <v>310</v>
      </c>
      <c r="J470" s="1" t="s">
        <v>311</v>
      </c>
      <c r="K470" s="1" t="s">
        <v>312</v>
      </c>
      <c r="L470" s="1" t="s">
        <v>59</v>
      </c>
      <c r="M470" s="1" t="s">
        <v>313</v>
      </c>
      <c r="N470" s="1" t="s">
        <v>61</v>
      </c>
      <c r="O4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1" spans="1:15" x14ac:dyDescent="0.25">
      <c r="A471">
        <v>10731</v>
      </c>
      <c r="B471" s="1" t="s">
        <v>86</v>
      </c>
      <c r="C471">
        <v>7</v>
      </c>
      <c r="D471" s="5">
        <v>35740</v>
      </c>
      <c r="E471" s="5">
        <v>35768</v>
      </c>
      <c r="F471" s="5">
        <v>35748</v>
      </c>
      <c r="G471">
        <v>1</v>
      </c>
      <c r="H471" s="1">
        <v>96.65</v>
      </c>
      <c r="I471" s="1" t="s">
        <v>87</v>
      </c>
      <c r="J471" s="1" t="s">
        <v>88</v>
      </c>
      <c r="K471" s="1" t="s">
        <v>89</v>
      </c>
      <c r="L471" s="1" t="s">
        <v>59</v>
      </c>
      <c r="M471" s="1" t="s">
        <v>90</v>
      </c>
      <c r="N471" s="1" t="s">
        <v>91</v>
      </c>
      <c r="O4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2" spans="1:15" x14ac:dyDescent="0.25">
      <c r="A472">
        <v>10732</v>
      </c>
      <c r="B472" s="1" t="s">
        <v>309</v>
      </c>
      <c r="C472">
        <v>3</v>
      </c>
      <c r="D472" s="5">
        <v>35740</v>
      </c>
      <c r="E472" s="5">
        <v>35768</v>
      </c>
      <c r="F472" s="5">
        <v>35741</v>
      </c>
      <c r="G472">
        <v>1</v>
      </c>
      <c r="H472" s="1">
        <v>16.97</v>
      </c>
      <c r="I472" s="1" t="s">
        <v>310</v>
      </c>
      <c r="J472" s="1" t="s">
        <v>311</v>
      </c>
      <c r="K472" s="1" t="s">
        <v>312</v>
      </c>
      <c r="L472" s="1" t="s">
        <v>59</v>
      </c>
      <c r="M472" s="1" t="s">
        <v>313</v>
      </c>
      <c r="N472" s="1" t="s">
        <v>61</v>
      </c>
      <c r="O47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3" spans="1:15" x14ac:dyDescent="0.25">
      <c r="A473">
        <v>10733</v>
      </c>
      <c r="B473" s="1" t="s">
        <v>198</v>
      </c>
      <c r="C473">
        <v>1</v>
      </c>
      <c r="D473" s="5">
        <v>35741</v>
      </c>
      <c r="E473" s="5">
        <v>35769</v>
      </c>
      <c r="F473" s="5">
        <v>35744</v>
      </c>
      <c r="G473">
        <v>3</v>
      </c>
      <c r="H473" s="1">
        <v>110.11</v>
      </c>
      <c r="I473" s="1" t="s">
        <v>199</v>
      </c>
      <c r="J473" s="1" t="s">
        <v>200</v>
      </c>
      <c r="K473" s="1" t="s">
        <v>201</v>
      </c>
      <c r="L473" s="1" t="s">
        <v>59</v>
      </c>
      <c r="M473" s="1" t="s">
        <v>202</v>
      </c>
      <c r="N473" s="1" t="s">
        <v>143</v>
      </c>
      <c r="O4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4" spans="1:15" x14ac:dyDescent="0.25">
      <c r="A474">
        <v>10734</v>
      </c>
      <c r="B474" s="1" t="s">
        <v>427</v>
      </c>
      <c r="C474">
        <v>2</v>
      </c>
      <c r="D474" s="5">
        <v>35741</v>
      </c>
      <c r="E474" s="5">
        <v>35769</v>
      </c>
      <c r="F474" s="5">
        <v>35746</v>
      </c>
      <c r="G474">
        <v>3</v>
      </c>
      <c r="H474" s="1">
        <v>1.63</v>
      </c>
      <c r="I474" s="1" t="s">
        <v>428</v>
      </c>
      <c r="J474" s="1" t="s">
        <v>429</v>
      </c>
      <c r="K474" s="1" t="s">
        <v>430</v>
      </c>
      <c r="L474" s="1" t="s">
        <v>101</v>
      </c>
      <c r="M474" s="1" t="s">
        <v>431</v>
      </c>
      <c r="N474" s="1" t="s">
        <v>74</v>
      </c>
      <c r="O4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5" spans="1:15" x14ac:dyDescent="0.25">
      <c r="A475">
        <v>10735</v>
      </c>
      <c r="B475" s="1" t="s">
        <v>477</v>
      </c>
      <c r="C475">
        <v>6</v>
      </c>
      <c r="D475" s="5">
        <v>35744</v>
      </c>
      <c r="E475" s="5">
        <v>35772</v>
      </c>
      <c r="F475" s="5">
        <v>35755</v>
      </c>
      <c r="G475">
        <v>2</v>
      </c>
      <c r="H475" s="1">
        <v>45.97</v>
      </c>
      <c r="I475" s="1" t="s">
        <v>478</v>
      </c>
      <c r="J475" s="1" t="s">
        <v>479</v>
      </c>
      <c r="K475" s="1" t="s">
        <v>480</v>
      </c>
      <c r="L475" s="1" t="s">
        <v>481</v>
      </c>
      <c r="M475" s="1" t="s">
        <v>482</v>
      </c>
      <c r="N475" s="1" t="s">
        <v>137</v>
      </c>
      <c r="O4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6" spans="1:15" x14ac:dyDescent="0.25">
      <c r="A476">
        <v>10737</v>
      </c>
      <c r="B476" s="1" t="s">
        <v>55</v>
      </c>
      <c r="C476">
        <v>2</v>
      </c>
      <c r="D476" s="5">
        <v>35745</v>
      </c>
      <c r="E476" s="5">
        <v>35773</v>
      </c>
      <c r="F476" s="5">
        <v>35752</v>
      </c>
      <c r="G476">
        <v>2</v>
      </c>
      <c r="H476" s="1">
        <v>7.79</v>
      </c>
      <c r="I476" s="1" t="s">
        <v>56</v>
      </c>
      <c r="J476" s="1" t="s">
        <v>57</v>
      </c>
      <c r="K476" s="1" t="s">
        <v>58</v>
      </c>
      <c r="L476" s="1" t="s">
        <v>59</v>
      </c>
      <c r="M476" s="1" t="s">
        <v>60</v>
      </c>
      <c r="N476" s="1" t="s">
        <v>61</v>
      </c>
      <c r="O4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7" spans="1:15" x14ac:dyDescent="0.25">
      <c r="A477">
        <v>10738</v>
      </c>
      <c r="B477" s="1" t="s">
        <v>503</v>
      </c>
      <c r="C477">
        <v>2</v>
      </c>
      <c r="D477" s="5">
        <v>35746</v>
      </c>
      <c r="E477" s="5">
        <v>35774</v>
      </c>
      <c r="F477" s="5">
        <v>35752</v>
      </c>
      <c r="G477">
        <v>1</v>
      </c>
      <c r="H477" s="1">
        <v>2.91</v>
      </c>
      <c r="I477" s="1" t="s">
        <v>504</v>
      </c>
      <c r="J477" s="1" t="s">
        <v>505</v>
      </c>
      <c r="K477" s="1" t="s">
        <v>506</v>
      </c>
      <c r="L477" s="1" t="s">
        <v>59</v>
      </c>
      <c r="M477" s="1" t="s">
        <v>507</v>
      </c>
      <c r="N477" s="1" t="s">
        <v>61</v>
      </c>
      <c r="O4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8" spans="1:15" x14ac:dyDescent="0.25">
      <c r="A478">
        <v>10739</v>
      </c>
      <c r="B478" s="1" t="s">
        <v>55</v>
      </c>
      <c r="C478">
        <v>3</v>
      </c>
      <c r="D478" s="5">
        <v>35746</v>
      </c>
      <c r="E478" s="5">
        <v>35774</v>
      </c>
      <c r="F478" s="5">
        <v>35751</v>
      </c>
      <c r="G478">
        <v>3</v>
      </c>
      <c r="H478" s="1">
        <v>11.08</v>
      </c>
      <c r="I478" s="1" t="s">
        <v>56</v>
      </c>
      <c r="J478" s="1" t="s">
        <v>57</v>
      </c>
      <c r="K478" s="1" t="s">
        <v>58</v>
      </c>
      <c r="L478" s="1" t="s">
        <v>59</v>
      </c>
      <c r="M478" s="1" t="s">
        <v>60</v>
      </c>
      <c r="N478" s="1" t="s">
        <v>61</v>
      </c>
      <c r="O4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79" spans="1:15" x14ac:dyDescent="0.25">
      <c r="A479">
        <v>10740</v>
      </c>
      <c r="B479" s="1" t="s">
        <v>166</v>
      </c>
      <c r="C479">
        <v>4</v>
      </c>
      <c r="D479" s="5">
        <v>35747</v>
      </c>
      <c r="E479" s="5">
        <v>35775</v>
      </c>
      <c r="F479" s="5">
        <v>35759</v>
      </c>
      <c r="G479">
        <v>2</v>
      </c>
      <c r="H479" s="1">
        <v>81.88</v>
      </c>
      <c r="I479" s="1" t="s">
        <v>167</v>
      </c>
      <c r="J479" s="1" t="s">
        <v>168</v>
      </c>
      <c r="K479" s="1" t="s">
        <v>169</v>
      </c>
      <c r="L479" s="1" t="s">
        <v>170</v>
      </c>
      <c r="M479" s="1" t="s">
        <v>171</v>
      </c>
      <c r="N479" s="1" t="s">
        <v>137</v>
      </c>
      <c r="O4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0" spans="1:15" x14ac:dyDescent="0.25">
      <c r="A480">
        <v>10741</v>
      </c>
      <c r="B480" s="1" t="s">
        <v>345</v>
      </c>
      <c r="C480">
        <v>4</v>
      </c>
      <c r="D480" s="5">
        <v>35748</v>
      </c>
      <c r="E480" s="5">
        <v>35762</v>
      </c>
      <c r="F480" s="5">
        <v>35752</v>
      </c>
      <c r="G480">
        <v>3</v>
      </c>
      <c r="H480" s="1">
        <v>10.96</v>
      </c>
      <c r="I480" s="1" t="s">
        <v>346</v>
      </c>
      <c r="J480" s="1" t="s">
        <v>347</v>
      </c>
      <c r="K480" s="1" t="s">
        <v>348</v>
      </c>
      <c r="L480" s="1" t="s">
        <v>349</v>
      </c>
      <c r="M480" s="1" t="s">
        <v>350</v>
      </c>
      <c r="N480" s="1" t="s">
        <v>234</v>
      </c>
      <c r="O4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1" spans="1:15" x14ac:dyDescent="0.25">
      <c r="A481">
        <v>10742</v>
      </c>
      <c r="B481" s="1" t="s">
        <v>399</v>
      </c>
      <c r="C481">
        <v>3</v>
      </c>
      <c r="D481" s="5">
        <v>35748</v>
      </c>
      <c r="E481" s="5">
        <v>35776</v>
      </c>
      <c r="F481" s="5">
        <v>35752</v>
      </c>
      <c r="G481">
        <v>3</v>
      </c>
      <c r="H481" s="1">
        <v>243.73</v>
      </c>
      <c r="I481" s="1" t="s">
        <v>400</v>
      </c>
      <c r="J481" s="1" t="s">
        <v>401</v>
      </c>
      <c r="K481" s="1" t="s">
        <v>402</v>
      </c>
      <c r="L481" s="1" t="s">
        <v>403</v>
      </c>
      <c r="M481" s="1" t="s">
        <v>404</v>
      </c>
      <c r="N481" s="1" t="s">
        <v>320</v>
      </c>
      <c r="O4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2" spans="1:15" x14ac:dyDescent="0.25">
      <c r="A482">
        <v>10743</v>
      </c>
      <c r="B482" s="1" t="s">
        <v>345</v>
      </c>
      <c r="C482">
        <v>1</v>
      </c>
      <c r="D482" s="5">
        <v>35751</v>
      </c>
      <c r="E482" s="5">
        <v>35779</v>
      </c>
      <c r="F482" s="5">
        <v>35755</v>
      </c>
      <c r="G482">
        <v>2</v>
      </c>
      <c r="H482" s="1">
        <v>23.72</v>
      </c>
      <c r="I482" s="1" t="s">
        <v>346</v>
      </c>
      <c r="J482" s="1" t="s">
        <v>347</v>
      </c>
      <c r="K482" s="1" t="s">
        <v>348</v>
      </c>
      <c r="L482" s="1" t="s">
        <v>349</v>
      </c>
      <c r="M482" s="1" t="s">
        <v>350</v>
      </c>
      <c r="N482" s="1" t="s">
        <v>234</v>
      </c>
      <c r="O4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3" spans="1:15" x14ac:dyDescent="0.25">
      <c r="A483">
        <v>10744</v>
      </c>
      <c r="B483" s="1" t="s">
        <v>373</v>
      </c>
      <c r="C483">
        <v>6</v>
      </c>
      <c r="D483" s="5">
        <v>35751</v>
      </c>
      <c r="E483" s="5">
        <v>35779</v>
      </c>
      <c r="F483" s="5">
        <v>35758</v>
      </c>
      <c r="G483">
        <v>1</v>
      </c>
      <c r="H483" s="1">
        <v>69.19</v>
      </c>
      <c r="I483" s="1" t="s">
        <v>374</v>
      </c>
      <c r="J483" s="1" t="s">
        <v>375</v>
      </c>
      <c r="K483" s="1" t="s">
        <v>376</v>
      </c>
      <c r="L483" s="1" t="s">
        <v>59</v>
      </c>
      <c r="M483" s="1" t="s">
        <v>377</v>
      </c>
      <c r="N483" s="1" t="s">
        <v>330</v>
      </c>
      <c r="O4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4" spans="1:15" x14ac:dyDescent="0.25">
      <c r="A484">
        <v>10745</v>
      </c>
      <c r="B484" s="1" t="s">
        <v>178</v>
      </c>
      <c r="C484">
        <v>9</v>
      </c>
      <c r="D484" s="5">
        <v>35752</v>
      </c>
      <c r="E484" s="5">
        <v>35780</v>
      </c>
      <c r="F484" s="5">
        <v>35761</v>
      </c>
      <c r="G484">
        <v>1</v>
      </c>
      <c r="H484" s="1">
        <v>3.52</v>
      </c>
      <c r="I484" s="1" t="s">
        <v>179</v>
      </c>
      <c r="J484" s="1" t="s">
        <v>180</v>
      </c>
      <c r="K484" s="1" t="s">
        <v>181</v>
      </c>
      <c r="L484" s="1" t="s">
        <v>59</v>
      </c>
      <c r="M484" s="1" t="s">
        <v>182</v>
      </c>
      <c r="N484" s="1" t="s">
        <v>67</v>
      </c>
      <c r="O4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5" spans="1:15" x14ac:dyDescent="0.25">
      <c r="A485">
        <v>10746</v>
      </c>
      <c r="B485" s="1" t="s">
        <v>86</v>
      </c>
      <c r="C485">
        <v>1</v>
      </c>
      <c r="D485" s="5">
        <v>35753</v>
      </c>
      <c r="E485" s="5">
        <v>35781</v>
      </c>
      <c r="F485" s="5">
        <v>35755</v>
      </c>
      <c r="G485">
        <v>3</v>
      </c>
      <c r="H485" s="1">
        <v>31.43</v>
      </c>
      <c r="I485" s="1" t="s">
        <v>87</v>
      </c>
      <c r="J485" s="1" t="s">
        <v>88</v>
      </c>
      <c r="K485" s="1" t="s">
        <v>89</v>
      </c>
      <c r="L485" s="1" t="s">
        <v>59</v>
      </c>
      <c r="M485" s="1" t="s">
        <v>90</v>
      </c>
      <c r="N485" s="1" t="s">
        <v>91</v>
      </c>
      <c r="O4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6" spans="1:15" x14ac:dyDescent="0.25">
      <c r="A486">
        <v>10747</v>
      </c>
      <c r="B486" s="1" t="s">
        <v>340</v>
      </c>
      <c r="C486">
        <v>6</v>
      </c>
      <c r="D486" s="5">
        <v>35753</v>
      </c>
      <c r="E486" s="5">
        <v>35781</v>
      </c>
      <c r="F486" s="5">
        <v>35760</v>
      </c>
      <c r="G486">
        <v>1</v>
      </c>
      <c r="H486" s="1">
        <v>117.33</v>
      </c>
      <c r="I486" s="1" t="s">
        <v>341</v>
      </c>
      <c r="J486" s="1" t="s">
        <v>342</v>
      </c>
      <c r="K486" s="1" t="s">
        <v>343</v>
      </c>
      <c r="L486" s="1" t="s">
        <v>59</v>
      </c>
      <c r="M486" s="1" t="s">
        <v>344</v>
      </c>
      <c r="N486" s="1" t="s">
        <v>115</v>
      </c>
      <c r="O4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7" spans="1:15" x14ac:dyDescent="0.25">
      <c r="A487">
        <v>10748</v>
      </c>
      <c r="B487" s="1" t="s">
        <v>293</v>
      </c>
      <c r="C487">
        <v>3</v>
      </c>
      <c r="D487" s="5">
        <v>35754</v>
      </c>
      <c r="E487" s="5">
        <v>35782</v>
      </c>
      <c r="F487" s="5">
        <v>35762</v>
      </c>
      <c r="G487">
        <v>1</v>
      </c>
      <c r="H487" s="1">
        <v>232.55</v>
      </c>
      <c r="I487" s="1" t="s">
        <v>294</v>
      </c>
      <c r="J487" s="1" t="s">
        <v>295</v>
      </c>
      <c r="K487" s="1" t="s">
        <v>296</v>
      </c>
      <c r="L487" s="1" t="s">
        <v>297</v>
      </c>
      <c r="M487" s="1" t="s">
        <v>298</v>
      </c>
      <c r="N487" s="1" t="s">
        <v>137</v>
      </c>
      <c r="O4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88" spans="1:15" x14ac:dyDescent="0.25">
      <c r="A488">
        <v>10749</v>
      </c>
      <c r="B488" s="1" t="s">
        <v>279</v>
      </c>
      <c r="C488">
        <v>4</v>
      </c>
      <c r="D488" s="5">
        <v>35754</v>
      </c>
      <c r="E488" s="5">
        <v>35782</v>
      </c>
      <c r="F488" s="5">
        <v>35783</v>
      </c>
      <c r="G488">
        <v>2</v>
      </c>
      <c r="H488" s="1">
        <v>61.53</v>
      </c>
      <c r="I488" s="1" t="s">
        <v>280</v>
      </c>
      <c r="J488" s="1" t="s">
        <v>281</v>
      </c>
      <c r="K488" s="1" t="s">
        <v>282</v>
      </c>
      <c r="L488" s="1" t="s">
        <v>283</v>
      </c>
      <c r="M488" s="1" t="s">
        <v>284</v>
      </c>
      <c r="N488" s="1" t="s">
        <v>234</v>
      </c>
      <c r="O488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489" spans="1:15" x14ac:dyDescent="0.25">
      <c r="A489">
        <v>10750</v>
      </c>
      <c r="B489" s="1" t="s">
        <v>149</v>
      </c>
      <c r="C489">
        <v>9</v>
      </c>
      <c r="D489" s="5">
        <v>35755</v>
      </c>
      <c r="E489" s="5">
        <v>35783</v>
      </c>
      <c r="F489" s="5">
        <v>35758</v>
      </c>
      <c r="G489">
        <v>1</v>
      </c>
      <c r="H489" s="1">
        <v>79.3</v>
      </c>
      <c r="I489" s="1" t="s">
        <v>150</v>
      </c>
      <c r="J489" s="1" t="s">
        <v>151</v>
      </c>
      <c r="K489" s="1" t="s">
        <v>152</v>
      </c>
      <c r="L489" s="1" t="s">
        <v>59</v>
      </c>
      <c r="M489" s="1" t="s">
        <v>153</v>
      </c>
      <c r="N489" s="1" t="s">
        <v>154</v>
      </c>
      <c r="O4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0" spans="1:15" x14ac:dyDescent="0.25">
      <c r="A490">
        <v>10751</v>
      </c>
      <c r="B490" s="1" t="s">
        <v>92</v>
      </c>
      <c r="C490">
        <v>3</v>
      </c>
      <c r="D490" s="5">
        <v>35758</v>
      </c>
      <c r="E490" s="5">
        <v>35786</v>
      </c>
      <c r="F490" s="5">
        <v>35767</v>
      </c>
      <c r="G490">
        <v>3</v>
      </c>
      <c r="H490" s="1">
        <v>130.79</v>
      </c>
      <c r="I490" s="1" t="s">
        <v>93</v>
      </c>
      <c r="J490" s="1" t="s">
        <v>94</v>
      </c>
      <c r="K490" s="1" t="s">
        <v>95</v>
      </c>
      <c r="L490" s="1" t="s">
        <v>59</v>
      </c>
      <c r="M490" s="1" t="s">
        <v>96</v>
      </c>
      <c r="N490" s="1" t="s">
        <v>91</v>
      </c>
      <c r="O4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1" spans="1:15" x14ac:dyDescent="0.25">
      <c r="A491">
        <v>10752</v>
      </c>
      <c r="B491" s="1" t="s">
        <v>455</v>
      </c>
      <c r="C491">
        <v>2</v>
      </c>
      <c r="D491" s="5">
        <v>35758</v>
      </c>
      <c r="E491" s="5">
        <v>35786</v>
      </c>
      <c r="F491" s="5">
        <v>35762</v>
      </c>
      <c r="G491">
        <v>3</v>
      </c>
      <c r="H491" s="1">
        <v>1.39</v>
      </c>
      <c r="I491" s="1" t="s">
        <v>456</v>
      </c>
      <c r="J491" s="1" t="s">
        <v>457</v>
      </c>
      <c r="K491" s="1" t="s">
        <v>232</v>
      </c>
      <c r="L491" s="1" t="s">
        <v>59</v>
      </c>
      <c r="M491" s="1" t="s">
        <v>458</v>
      </c>
      <c r="N491" s="1" t="s">
        <v>234</v>
      </c>
      <c r="O4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2" spans="1:15" x14ac:dyDescent="0.25">
      <c r="A492">
        <v>10753</v>
      </c>
      <c r="B492" s="1" t="s">
        <v>422</v>
      </c>
      <c r="C492">
        <v>3</v>
      </c>
      <c r="D492" s="5">
        <v>35759</v>
      </c>
      <c r="E492" s="5">
        <v>35787</v>
      </c>
      <c r="F492" s="5">
        <v>35761</v>
      </c>
      <c r="G492">
        <v>1</v>
      </c>
      <c r="H492" s="1">
        <v>7.7</v>
      </c>
      <c r="I492" s="1" t="s">
        <v>423</v>
      </c>
      <c r="J492" s="1" t="s">
        <v>424</v>
      </c>
      <c r="K492" s="1" t="s">
        <v>425</v>
      </c>
      <c r="L492" s="1" t="s">
        <v>59</v>
      </c>
      <c r="M492" s="1" t="s">
        <v>426</v>
      </c>
      <c r="N492" s="1" t="s">
        <v>188</v>
      </c>
      <c r="O4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3" spans="1:15" x14ac:dyDescent="0.25">
      <c r="A493">
        <v>10754</v>
      </c>
      <c r="B493" s="1" t="s">
        <v>183</v>
      </c>
      <c r="C493">
        <v>6</v>
      </c>
      <c r="D493" s="5">
        <v>35759</v>
      </c>
      <c r="E493" s="5">
        <v>35787</v>
      </c>
      <c r="F493" s="5">
        <v>35761</v>
      </c>
      <c r="G493">
        <v>3</v>
      </c>
      <c r="H493" s="1">
        <v>2.38</v>
      </c>
      <c r="I493" s="1" t="s">
        <v>184</v>
      </c>
      <c r="J493" s="1" t="s">
        <v>185</v>
      </c>
      <c r="K493" s="1" t="s">
        <v>186</v>
      </c>
      <c r="L493" s="1" t="s">
        <v>59</v>
      </c>
      <c r="M493" s="1" t="s">
        <v>187</v>
      </c>
      <c r="N493" s="1" t="s">
        <v>188</v>
      </c>
      <c r="O4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4" spans="1:15" x14ac:dyDescent="0.25">
      <c r="A494">
        <v>10755</v>
      </c>
      <c r="B494" s="1" t="s">
        <v>309</v>
      </c>
      <c r="C494">
        <v>4</v>
      </c>
      <c r="D494" s="5">
        <v>35760</v>
      </c>
      <c r="E494" s="5">
        <v>35788</v>
      </c>
      <c r="F494" s="5">
        <v>35762</v>
      </c>
      <c r="G494">
        <v>2</v>
      </c>
      <c r="H494" s="1">
        <v>16.71</v>
      </c>
      <c r="I494" s="1" t="s">
        <v>310</v>
      </c>
      <c r="J494" s="1" t="s">
        <v>311</v>
      </c>
      <c r="K494" s="1" t="s">
        <v>312</v>
      </c>
      <c r="L494" s="1" t="s">
        <v>59</v>
      </c>
      <c r="M494" s="1" t="s">
        <v>313</v>
      </c>
      <c r="N494" s="1" t="s">
        <v>61</v>
      </c>
      <c r="O4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5" spans="1:15" x14ac:dyDescent="0.25">
      <c r="A495">
        <v>10756</v>
      </c>
      <c r="B495" s="1" t="s">
        <v>172</v>
      </c>
      <c r="C495">
        <v>8</v>
      </c>
      <c r="D495" s="5">
        <v>35761</v>
      </c>
      <c r="E495" s="5">
        <v>35789</v>
      </c>
      <c r="F495" s="5">
        <v>35766</v>
      </c>
      <c r="G495">
        <v>2</v>
      </c>
      <c r="H495" s="1">
        <v>73.209999999999994</v>
      </c>
      <c r="I495" s="1" t="s">
        <v>173</v>
      </c>
      <c r="J495" s="1" t="s">
        <v>174</v>
      </c>
      <c r="K495" s="1" t="s">
        <v>175</v>
      </c>
      <c r="L495" s="1" t="s">
        <v>176</v>
      </c>
      <c r="M495" s="1" t="s">
        <v>177</v>
      </c>
      <c r="N495" s="1" t="s">
        <v>137</v>
      </c>
      <c r="O4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6" spans="1:15" x14ac:dyDescent="0.25">
      <c r="A496">
        <v>10757</v>
      </c>
      <c r="B496" s="1" t="s">
        <v>293</v>
      </c>
      <c r="C496">
        <v>6</v>
      </c>
      <c r="D496" s="5">
        <v>35761</v>
      </c>
      <c r="E496" s="5">
        <v>35789</v>
      </c>
      <c r="F496" s="5">
        <v>35779</v>
      </c>
      <c r="G496">
        <v>1</v>
      </c>
      <c r="H496" s="1">
        <v>8.19</v>
      </c>
      <c r="I496" s="1" t="s">
        <v>294</v>
      </c>
      <c r="J496" s="1" t="s">
        <v>295</v>
      </c>
      <c r="K496" s="1" t="s">
        <v>296</v>
      </c>
      <c r="L496" s="1" t="s">
        <v>297</v>
      </c>
      <c r="M496" s="1" t="s">
        <v>298</v>
      </c>
      <c r="N496" s="1" t="s">
        <v>137</v>
      </c>
      <c r="O4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7" spans="1:15" x14ac:dyDescent="0.25">
      <c r="A497">
        <v>10758</v>
      </c>
      <c r="B497" s="1" t="s">
        <v>92</v>
      </c>
      <c r="C497">
        <v>3</v>
      </c>
      <c r="D497" s="5">
        <v>35762</v>
      </c>
      <c r="E497" s="5">
        <v>35790</v>
      </c>
      <c r="F497" s="5">
        <v>35768</v>
      </c>
      <c r="G497">
        <v>3</v>
      </c>
      <c r="H497" s="1">
        <v>138.16999999999999</v>
      </c>
      <c r="I497" s="1" t="s">
        <v>93</v>
      </c>
      <c r="J497" s="1" t="s">
        <v>94</v>
      </c>
      <c r="K497" s="1" t="s">
        <v>95</v>
      </c>
      <c r="L497" s="1" t="s">
        <v>59</v>
      </c>
      <c r="M497" s="1" t="s">
        <v>96</v>
      </c>
      <c r="N497" s="1" t="s">
        <v>91</v>
      </c>
      <c r="O49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8" spans="1:15" x14ac:dyDescent="0.25">
      <c r="A498">
        <v>10759</v>
      </c>
      <c r="B498" s="1" t="s">
        <v>266</v>
      </c>
      <c r="C498">
        <v>3</v>
      </c>
      <c r="D498" s="5">
        <v>35762</v>
      </c>
      <c r="E498" s="5">
        <v>35790</v>
      </c>
      <c r="F498" s="5">
        <v>35776</v>
      </c>
      <c r="G498">
        <v>3</v>
      </c>
      <c r="H498" s="1">
        <v>11.99</v>
      </c>
      <c r="I498" s="1" t="s">
        <v>267</v>
      </c>
      <c r="J498" s="1" t="s">
        <v>268</v>
      </c>
      <c r="K498" s="1" t="s">
        <v>119</v>
      </c>
      <c r="L498" s="1" t="s">
        <v>59</v>
      </c>
      <c r="M498" s="1" t="s">
        <v>269</v>
      </c>
      <c r="N498" s="1" t="s">
        <v>121</v>
      </c>
      <c r="O4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499" spans="1:15" x14ac:dyDescent="0.25">
      <c r="A499">
        <v>10760</v>
      </c>
      <c r="B499" s="1" t="s">
        <v>467</v>
      </c>
      <c r="C499">
        <v>4</v>
      </c>
      <c r="D499" s="5">
        <v>35765</v>
      </c>
      <c r="E499" s="5">
        <v>35793</v>
      </c>
      <c r="F499" s="5">
        <v>35774</v>
      </c>
      <c r="G499">
        <v>1</v>
      </c>
      <c r="H499" s="1">
        <v>155.63999999999999</v>
      </c>
      <c r="I499" s="1" t="s">
        <v>468</v>
      </c>
      <c r="J499" s="1" t="s">
        <v>469</v>
      </c>
      <c r="K499" s="1" t="s">
        <v>470</v>
      </c>
      <c r="L499" s="1" t="s">
        <v>59</v>
      </c>
      <c r="M499" s="1" t="s">
        <v>471</v>
      </c>
      <c r="N499" s="1" t="s">
        <v>85</v>
      </c>
      <c r="O49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0" spans="1:15" x14ac:dyDescent="0.25">
      <c r="A500">
        <v>10761</v>
      </c>
      <c r="B500" s="1" t="s">
        <v>131</v>
      </c>
      <c r="C500">
        <v>5</v>
      </c>
      <c r="D500" s="5">
        <v>35766</v>
      </c>
      <c r="E500" s="5">
        <v>35794</v>
      </c>
      <c r="F500" s="5">
        <v>35772</v>
      </c>
      <c r="G500">
        <v>2</v>
      </c>
      <c r="H500" s="1">
        <v>18.66</v>
      </c>
      <c r="I500" s="1" t="s">
        <v>132</v>
      </c>
      <c r="J500" s="1" t="s">
        <v>133</v>
      </c>
      <c r="K500" s="1" t="s">
        <v>134</v>
      </c>
      <c r="L500" s="1" t="s">
        <v>135</v>
      </c>
      <c r="M500" s="1" t="s">
        <v>136</v>
      </c>
      <c r="N500" s="1" t="s">
        <v>137</v>
      </c>
      <c r="O5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1" spans="1:15" x14ac:dyDescent="0.25">
      <c r="A501">
        <v>10762</v>
      </c>
      <c r="B501" s="1" t="s">
        <v>138</v>
      </c>
      <c r="C501">
        <v>3</v>
      </c>
      <c r="D501" s="5">
        <v>35766</v>
      </c>
      <c r="E501" s="5">
        <v>35794</v>
      </c>
      <c r="F501" s="5">
        <v>35773</v>
      </c>
      <c r="G501">
        <v>1</v>
      </c>
      <c r="H501" s="1">
        <v>328.74</v>
      </c>
      <c r="I501" s="1" t="s">
        <v>139</v>
      </c>
      <c r="J501" s="1" t="s">
        <v>140</v>
      </c>
      <c r="K501" s="1" t="s">
        <v>141</v>
      </c>
      <c r="L501" s="1" t="s">
        <v>59</v>
      </c>
      <c r="M501" s="1" t="s">
        <v>142</v>
      </c>
      <c r="N501" s="1" t="s">
        <v>143</v>
      </c>
      <c r="O5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2" spans="1:15" x14ac:dyDescent="0.25">
      <c r="A502">
        <v>10763</v>
      </c>
      <c r="B502" s="1" t="s">
        <v>411</v>
      </c>
      <c r="C502">
        <v>3</v>
      </c>
      <c r="D502" s="5">
        <v>35767</v>
      </c>
      <c r="E502" s="5">
        <v>35795</v>
      </c>
      <c r="F502" s="5">
        <v>35772</v>
      </c>
      <c r="G502">
        <v>3</v>
      </c>
      <c r="H502" s="1">
        <v>37.35</v>
      </c>
      <c r="I502" s="1" t="s">
        <v>412</v>
      </c>
      <c r="J502" s="1" t="s">
        <v>413</v>
      </c>
      <c r="K502" s="1" t="s">
        <v>414</v>
      </c>
      <c r="L502" s="1" t="s">
        <v>59</v>
      </c>
      <c r="M502" s="1" t="s">
        <v>415</v>
      </c>
      <c r="N502" s="1" t="s">
        <v>61</v>
      </c>
      <c r="O5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3" spans="1:15" x14ac:dyDescent="0.25">
      <c r="A503">
        <v>10764</v>
      </c>
      <c r="B503" s="1" t="s">
        <v>110</v>
      </c>
      <c r="C503">
        <v>6</v>
      </c>
      <c r="D503" s="5">
        <v>35767</v>
      </c>
      <c r="E503" s="5">
        <v>35795</v>
      </c>
      <c r="F503" s="5">
        <v>35772</v>
      </c>
      <c r="G503">
        <v>3</v>
      </c>
      <c r="H503" s="1">
        <v>145.44999999999999</v>
      </c>
      <c r="I503" s="1" t="s">
        <v>111</v>
      </c>
      <c r="J503" s="1" t="s">
        <v>112</v>
      </c>
      <c r="K503" s="1" t="s">
        <v>113</v>
      </c>
      <c r="L503" s="1" t="s">
        <v>59</v>
      </c>
      <c r="M503" s="1" t="s">
        <v>114</v>
      </c>
      <c r="N503" s="1" t="s">
        <v>115</v>
      </c>
      <c r="O5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4" spans="1:15" x14ac:dyDescent="0.25">
      <c r="A504">
        <v>10765</v>
      </c>
      <c r="B504" s="1" t="s">
        <v>178</v>
      </c>
      <c r="C504">
        <v>3</v>
      </c>
      <c r="D504" s="5">
        <v>35768</v>
      </c>
      <c r="E504" s="5">
        <v>35796</v>
      </c>
      <c r="F504" s="5">
        <v>35773</v>
      </c>
      <c r="G504">
        <v>3</v>
      </c>
      <c r="H504" s="1">
        <v>42.74</v>
      </c>
      <c r="I504" s="1" t="s">
        <v>179</v>
      </c>
      <c r="J504" s="1" t="s">
        <v>180</v>
      </c>
      <c r="K504" s="1" t="s">
        <v>181</v>
      </c>
      <c r="L504" s="1" t="s">
        <v>59</v>
      </c>
      <c r="M504" s="1" t="s">
        <v>182</v>
      </c>
      <c r="N504" s="1" t="s">
        <v>67</v>
      </c>
      <c r="O50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5" spans="1:15" x14ac:dyDescent="0.25">
      <c r="A505">
        <v>10766</v>
      </c>
      <c r="B505" s="1" t="s">
        <v>122</v>
      </c>
      <c r="C505">
        <v>4</v>
      </c>
      <c r="D505" s="5">
        <v>35769</v>
      </c>
      <c r="E505" s="5">
        <v>35797</v>
      </c>
      <c r="F505" s="5">
        <v>35773</v>
      </c>
      <c r="G505">
        <v>1</v>
      </c>
      <c r="H505" s="1">
        <v>157.55000000000001</v>
      </c>
      <c r="I505" s="1" t="s">
        <v>123</v>
      </c>
      <c r="J505" s="1" t="s">
        <v>124</v>
      </c>
      <c r="K505" s="1" t="s">
        <v>125</v>
      </c>
      <c r="L505" s="1" t="s">
        <v>59</v>
      </c>
      <c r="M505" s="1" t="s">
        <v>126</v>
      </c>
      <c r="N505" s="1" t="s">
        <v>67</v>
      </c>
      <c r="O5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6" spans="1:15" x14ac:dyDescent="0.25">
      <c r="A506">
        <v>10767</v>
      </c>
      <c r="B506" s="1" t="s">
        <v>80</v>
      </c>
      <c r="C506">
        <v>4</v>
      </c>
      <c r="D506" s="5">
        <v>35769</v>
      </c>
      <c r="E506" s="5">
        <v>35797</v>
      </c>
      <c r="F506" s="5">
        <v>35779</v>
      </c>
      <c r="G506">
        <v>3</v>
      </c>
      <c r="H506" s="1">
        <v>1.59</v>
      </c>
      <c r="I506" s="1" t="s">
        <v>81</v>
      </c>
      <c r="J506" s="1" t="s">
        <v>82</v>
      </c>
      <c r="K506" s="1" t="s">
        <v>83</v>
      </c>
      <c r="L506" s="1" t="s">
        <v>59</v>
      </c>
      <c r="M506" s="1" t="s">
        <v>84</v>
      </c>
      <c r="N506" s="1" t="s">
        <v>85</v>
      </c>
      <c r="O50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7" spans="1:15" x14ac:dyDescent="0.25">
      <c r="A507">
        <v>10768</v>
      </c>
      <c r="B507" s="1" t="s">
        <v>345</v>
      </c>
      <c r="C507">
        <v>3</v>
      </c>
      <c r="D507" s="5">
        <v>35772</v>
      </c>
      <c r="E507" s="5">
        <v>35800</v>
      </c>
      <c r="F507" s="5">
        <v>35779</v>
      </c>
      <c r="G507">
        <v>2</v>
      </c>
      <c r="H507" s="1">
        <v>146.32</v>
      </c>
      <c r="I507" s="1" t="s">
        <v>346</v>
      </c>
      <c r="J507" s="1" t="s">
        <v>347</v>
      </c>
      <c r="K507" s="1" t="s">
        <v>348</v>
      </c>
      <c r="L507" s="1" t="s">
        <v>349</v>
      </c>
      <c r="M507" s="1" t="s">
        <v>350</v>
      </c>
      <c r="N507" s="1" t="s">
        <v>234</v>
      </c>
      <c r="O50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8" spans="1:15" x14ac:dyDescent="0.25">
      <c r="A508">
        <v>10769</v>
      </c>
      <c r="B508" s="1" t="s">
        <v>373</v>
      </c>
      <c r="C508">
        <v>3</v>
      </c>
      <c r="D508" s="5">
        <v>35772</v>
      </c>
      <c r="E508" s="5">
        <v>35800</v>
      </c>
      <c r="F508" s="5">
        <v>35776</v>
      </c>
      <c r="G508">
        <v>1</v>
      </c>
      <c r="H508" s="1">
        <v>65.06</v>
      </c>
      <c r="I508" s="1" t="s">
        <v>374</v>
      </c>
      <c r="J508" s="1" t="s">
        <v>375</v>
      </c>
      <c r="K508" s="1" t="s">
        <v>376</v>
      </c>
      <c r="L508" s="1" t="s">
        <v>59</v>
      </c>
      <c r="M508" s="1" t="s">
        <v>377</v>
      </c>
      <c r="N508" s="1" t="s">
        <v>330</v>
      </c>
      <c r="O5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09" spans="1:15" x14ac:dyDescent="0.25">
      <c r="A509">
        <v>10770</v>
      </c>
      <c r="B509" s="1" t="s">
        <v>68</v>
      </c>
      <c r="C509">
        <v>8</v>
      </c>
      <c r="D509" s="5">
        <v>35773</v>
      </c>
      <c r="E509" s="5">
        <v>35801</v>
      </c>
      <c r="F509" s="5">
        <v>35781</v>
      </c>
      <c r="G509">
        <v>3</v>
      </c>
      <c r="H509" s="1">
        <v>5.32</v>
      </c>
      <c r="I509" s="1" t="s">
        <v>69</v>
      </c>
      <c r="J509" s="1" t="s">
        <v>70</v>
      </c>
      <c r="K509" s="1" t="s">
        <v>71</v>
      </c>
      <c r="L509" s="1" t="s">
        <v>72</v>
      </c>
      <c r="M509" s="1" t="s">
        <v>73</v>
      </c>
      <c r="N509" s="1" t="s">
        <v>74</v>
      </c>
      <c r="O5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0" spans="1:15" x14ac:dyDescent="0.25">
      <c r="A510">
        <v>10771</v>
      </c>
      <c r="B510" s="1" t="s">
        <v>110</v>
      </c>
      <c r="C510">
        <v>9</v>
      </c>
      <c r="D510" s="5">
        <v>35774</v>
      </c>
      <c r="E510" s="5">
        <v>35802</v>
      </c>
      <c r="F510" s="5">
        <v>35797</v>
      </c>
      <c r="G510">
        <v>2</v>
      </c>
      <c r="H510" s="1">
        <v>11.19</v>
      </c>
      <c r="I510" s="1" t="s">
        <v>111</v>
      </c>
      <c r="J510" s="1" t="s">
        <v>112</v>
      </c>
      <c r="K510" s="1" t="s">
        <v>113</v>
      </c>
      <c r="L510" s="1" t="s">
        <v>59</v>
      </c>
      <c r="M510" s="1" t="s">
        <v>114</v>
      </c>
      <c r="N510" s="1" t="s">
        <v>115</v>
      </c>
      <c r="O5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1" spans="1:15" x14ac:dyDescent="0.25">
      <c r="A511">
        <v>10772</v>
      </c>
      <c r="B511" s="1" t="s">
        <v>203</v>
      </c>
      <c r="C511">
        <v>3</v>
      </c>
      <c r="D511" s="5">
        <v>35774</v>
      </c>
      <c r="E511" s="5">
        <v>35802</v>
      </c>
      <c r="F511" s="5">
        <v>35783</v>
      </c>
      <c r="G511">
        <v>2</v>
      </c>
      <c r="H511" s="1">
        <v>91.28</v>
      </c>
      <c r="I511" s="1" t="s">
        <v>204</v>
      </c>
      <c r="J511" s="1" t="s">
        <v>205</v>
      </c>
      <c r="K511" s="1" t="s">
        <v>206</v>
      </c>
      <c r="L511" s="1" t="s">
        <v>59</v>
      </c>
      <c r="M511" s="1" t="s">
        <v>207</v>
      </c>
      <c r="N511" s="1" t="s">
        <v>67</v>
      </c>
      <c r="O5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2" spans="1:15" x14ac:dyDescent="0.25">
      <c r="A512">
        <v>10773</v>
      </c>
      <c r="B512" s="1" t="s">
        <v>110</v>
      </c>
      <c r="C512">
        <v>1</v>
      </c>
      <c r="D512" s="5">
        <v>35775</v>
      </c>
      <c r="E512" s="5">
        <v>35803</v>
      </c>
      <c r="F512" s="5">
        <v>35780</v>
      </c>
      <c r="G512">
        <v>3</v>
      </c>
      <c r="H512" s="1">
        <v>96.43</v>
      </c>
      <c r="I512" s="1" t="s">
        <v>111</v>
      </c>
      <c r="J512" s="1" t="s">
        <v>112</v>
      </c>
      <c r="K512" s="1" t="s">
        <v>113</v>
      </c>
      <c r="L512" s="1" t="s">
        <v>59</v>
      </c>
      <c r="M512" s="1" t="s">
        <v>114</v>
      </c>
      <c r="N512" s="1" t="s">
        <v>115</v>
      </c>
      <c r="O5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3" spans="1:15" x14ac:dyDescent="0.25">
      <c r="A513">
        <v>10774</v>
      </c>
      <c r="B513" s="1" t="s">
        <v>138</v>
      </c>
      <c r="C513">
        <v>4</v>
      </c>
      <c r="D513" s="5">
        <v>35775</v>
      </c>
      <c r="E513" s="5">
        <v>35789</v>
      </c>
      <c r="F513" s="5">
        <v>35776</v>
      </c>
      <c r="G513">
        <v>1</v>
      </c>
      <c r="H513" s="1">
        <v>48.2</v>
      </c>
      <c r="I513" s="1" t="s">
        <v>139</v>
      </c>
      <c r="J513" s="1" t="s">
        <v>140</v>
      </c>
      <c r="K513" s="1" t="s">
        <v>141</v>
      </c>
      <c r="L513" s="1" t="s">
        <v>59</v>
      </c>
      <c r="M513" s="1" t="s">
        <v>142</v>
      </c>
      <c r="N513" s="1" t="s">
        <v>143</v>
      </c>
      <c r="O5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4" spans="1:15" x14ac:dyDescent="0.25">
      <c r="A514">
        <v>10775</v>
      </c>
      <c r="B514" s="1" t="s">
        <v>488</v>
      </c>
      <c r="C514">
        <v>7</v>
      </c>
      <c r="D514" s="5">
        <v>35776</v>
      </c>
      <c r="E514" s="5">
        <v>35804</v>
      </c>
      <c r="F514" s="5">
        <v>35790</v>
      </c>
      <c r="G514">
        <v>1</v>
      </c>
      <c r="H514" s="1">
        <v>20.25</v>
      </c>
      <c r="I514" s="1" t="s">
        <v>489</v>
      </c>
      <c r="J514" s="1" t="s">
        <v>490</v>
      </c>
      <c r="K514" s="1" t="s">
        <v>491</v>
      </c>
      <c r="L514" s="1" t="s">
        <v>492</v>
      </c>
      <c r="M514" s="1" t="s">
        <v>493</v>
      </c>
      <c r="N514" s="1" t="s">
        <v>137</v>
      </c>
      <c r="O5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5" spans="1:15" x14ac:dyDescent="0.25">
      <c r="A515">
        <v>10776</v>
      </c>
      <c r="B515" s="1" t="s">
        <v>110</v>
      </c>
      <c r="C515">
        <v>1</v>
      </c>
      <c r="D515" s="5">
        <v>35779</v>
      </c>
      <c r="E515" s="5">
        <v>35807</v>
      </c>
      <c r="F515" s="5">
        <v>35782</v>
      </c>
      <c r="G515">
        <v>3</v>
      </c>
      <c r="H515" s="1">
        <v>351.53</v>
      </c>
      <c r="I515" s="1" t="s">
        <v>111</v>
      </c>
      <c r="J515" s="1" t="s">
        <v>112</v>
      </c>
      <c r="K515" s="1" t="s">
        <v>113</v>
      </c>
      <c r="L515" s="1" t="s">
        <v>59</v>
      </c>
      <c r="M515" s="1" t="s">
        <v>114</v>
      </c>
      <c r="N515" s="1" t="s">
        <v>115</v>
      </c>
      <c r="O5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6" spans="1:15" x14ac:dyDescent="0.25">
      <c r="A516">
        <v>10777</v>
      </c>
      <c r="B516" s="1" t="s">
        <v>427</v>
      </c>
      <c r="C516">
        <v>7</v>
      </c>
      <c r="D516" s="5">
        <v>35779</v>
      </c>
      <c r="E516" s="5">
        <v>35793</v>
      </c>
      <c r="F516" s="5">
        <v>35816</v>
      </c>
      <c r="G516">
        <v>2</v>
      </c>
      <c r="H516" s="1">
        <v>3.01</v>
      </c>
      <c r="I516" s="1" t="s">
        <v>428</v>
      </c>
      <c r="J516" s="1" t="s">
        <v>429</v>
      </c>
      <c r="K516" s="1" t="s">
        <v>430</v>
      </c>
      <c r="L516" s="1" t="s">
        <v>101</v>
      </c>
      <c r="M516" s="1" t="s">
        <v>431</v>
      </c>
      <c r="N516" s="1" t="s">
        <v>74</v>
      </c>
      <c r="O51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17" spans="1:15" x14ac:dyDescent="0.25">
      <c r="A517">
        <v>10778</v>
      </c>
      <c r="B517" s="1" t="s">
        <v>198</v>
      </c>
      <c r="C517">
        <v>3</v>
      </c>
      <c r="D517" s="5">
        <v>35780</v>
      </c>
      <c r="E517" s="5">
        <v>35808</v>
      </c>
      <c r="F517" s="5">
        <v>35788</v>
      </c>
      <c r="G517">
        <v>1</v>
      </c>
      <c r="H517" s="1">
        <v>6.79</v>
      </c>
      <c r="I517" s="1" t="s">
        <v>199</v>
      </c>
      <c r="J517" s="1" t="s">
        <v>200</v>
      </c>
      <c r="K517" s="1" t="s">
        <v>201</v>
      </c>
      <c r="L517" s="1" t="s">
        <v>59</v>
      </c>
      <c r="M517" s="1" t="s">
        <v>202</v>
      </c>
      <c r="N517" s="1" t="s">
        <v>143</v>
      </c>
      <c r="O5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18" spans="1:15" x14ac:dyDescent="0.25">
      <c r="A518">
        <v>10779</v>
      </c>
      <c r="B518" s="1" t="s">
        <v>193</v>
      </c>
      <c r="C518">
        <v>3</v>
      </c>
      <c r="D518" s="5">
        <v>35780</v>
      </c>
      <c r="E518" s="5">
        <v>35808</v>
      </c>
      <c r="F518" s="5">
        <v>35809</v>
      </c>
      <c r="G518">
        <v>2</v>
      </c>
      <c r="H518" s="1">
        <v>58.13</v>
      </c>
      <c r="I518" s="1" t="s">
        <v>194</v>
      </c>
      <c r="J518" s="1" t="s">
        <v>195</v>
      </c>
      <c r="K518" s="1" t="s">
        <v>196</v>
      </c>
      <c r="L518" s="1" t="s">
        <v>59</v>
      </c>
      <c r="M518" s="1" t="s">
        <v>197</v>
      </c>
      <c r="N518" s="1" t="s">
        <v>67</v>
      </c>
      <c r="O518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19" spans="1:15" x14ac:dyDescent="0.25">
      <c r="A519">
        <v>10780</v>
      </c>
      <c r="B519" s="1" t="s">
        <v>214</v>
      </c>
      <c r="C519">
        <v>2</v>
      </c>
      <c r="D519" s="5">
        <v>35780</v>
      </c>
      <c r="E519" s="5">
        <v>35794</v>
      </c>
      <c r="F519" s="5">
        <v>35789</v>
      </c>
      <c r="G519">
        <v>1</v>
      </c>
      <c r="H519" s="1">
        <v>42.13</v>
      </c>
      <c r="I519" s="1" t="s">
        <v>215</v>
      </c>
      <c r="J519" s="1" t="s">
        <v>216</v>
      </c>
      <c r="K519" s="1" t="s">
        <v>217</v>
      </c>
      <c r="L519" s="1" t="s">
        <v>218</v>
      </c>
      <c r="M519" s="1" t="s">
        <v>219</v>
      </c>
      <c r="N519" s="1" t="s">
        <v>109</v>
      </c>
      <c r="O5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0" spans="1:15" x14ac:dyDescent="0.25">
      <c r="A520">
        <v>10781</v>
      </c>
      <c r="B520" s="1" t="s">
        <v>149</v>
      </c>
      <c r="C520">
        <v>2</v>
      </c>
      <c r="D520" s="5">
        <v>35781</v>
      </c>
      <c r="E520" s="5">
        <v>35809</v>
      </c>
      <c r="F520" s="5">
        <v>35783</v>
      </c>
      <c r="G520">
        <v>3</v>
      </c>
      <c r="H520" s="1">
        <v>73.16</v>
      </c>
      <c r="I520" s="1" t="s">
        <v>150</v>
      </c>
      <c r="J520" s="1" t="s">
        <v>151</v>
      </c>
      <c r="K520" s="1" t="s">
        <v>152</v>
      </c>
      <c r="L520" s="1" t="s">
        <v>59</v>
      </c>
      <c r="M520" s="1" t="s">
        <v>153</v>
      </c>
      <c r="N520" s="1" t="s">
        <v>154</v>
      </c>
      <c r="O5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1" spans="1:15" x14ac:dyDescent="0.25">
      <c r="A521">
        <v>10782</v>
      </c>
      <c r="B521" s="1" t="s">
        <v>459</v>
      </c>
      <c r="C521">
        <v>9</v>
      </c>
      <c r="D521" s="5">
        <v>35781</v>
      </c>
      <c r="E521" s="5">
        <v>35809</v>
      </c>
      <c r="F521" s="5">
        <v>35786</v>
      </c>
      <c r="G521">
        <v>3</v>
      </c>
      <c r="H521" s="1">
        <v>1.1000000000000001</v>
      </c>
      <c r="I521" s="1" t="s">
        <v>460</v>
      </c>
      <c r="J521" s="1" t="s">
        <v>461</v>
      </c>
      <c r="K521" s="1" t="s">
        <v>419</v>
      </c>
      <c r="L521" s="1" t="s">
        <v>59</v>
      </c>
      <c r="M521" s="1" t="s">
        <v>420</v>
      </c>
      <c r="N521" s="1" t="s">
        <v>421</v>
      </c>
      <c r="O5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2" spans="1:15" x14ac:dyDescent="0.25">
      <c r="A522">
        <v>10783</v>
      </c>
      <c r="B522" s="1" t="s">
        <v>68</v>
      </c>
      <c r="C522">
        <v>4</v>
      </c>
      <c r="D522" s="5">
        <v>35782</v>
      </c>
      <c r="E522" s="5">
        <v>35810</v>
      </c>
      <c r="F522" s="5">
        <v>35783</v>
      </c>
      <c r="G522">
        <v>2</v>
      </c>
      <c r="H522" s="1">
        <v>124.98</v>
      </c>
      <c r="I522" s="1" t="s">
        <v>69</v>
      </c>
      <c r="J522" s="1" t="s">
        <v>70</v>
      </c>
      <c r="K522" s="1" t="s">
        <v>71</v>
      </c>
      <c r="L522" s="1" t="s">
        <v>72</v>
      </c>
      <c r="M522" s="1" t="s">
        <v>73</v>
      </c>
      <c r="N522" s="1" t="s">
        <v>74</v>
      </c>
      <c r="O5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3" spans="1:15" x14ac:dyDescent="0.25">
      <c r="A523">
        <v>10784</v>
      </c>
      <c r="B523" s="1" t="s">
        <v>183</v>
      </c>
      <c r="C523">
        <v>4</v>
      </c>
      <c r="D523" s="5">
        <v>35782</v>
      </c>
      <c r="E523" s="5">
        <v>35810</v>
      </c>
      <c r="F523" s="5">
        <v>35786</v>
      </c>
      <c r="G523">
        <v>3</v>
      </c>
      <c r="H523" s="1">
        <v>70.09</v>
      </c>
      <c r="I523" s="1" t="s">
        <v>184</v>
      </c>
      <c r="J523" s="1" t="s">
        <v>185</v>
      </c>
      <c r="K523" s="1" t="s">
        <v>186</v>
      </c>
      <c r="L523" s="1" t="s">
        <v>59</v>
      </c>
      <c r="M523" s="1" t="s">
        <v>187</v>
      </c>
      <c r="N523" s="1" t="s">
        <v>188</v>
      </c>
      <c r="O5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4" spans="1:15" x14ac:dyDescent="0.25">
      <c r="A524">
        <v>10785</v>
      </c>
      <c r="B524" s="1" t="s">
        <v>160</v>
      </c>
      <c r="C524">
        <v>1</v>
      </c>
      <c r="D524" s="5">
        <v>35782</v>
      </c>
      <c r="E524" s="5">
        <v>35810</v>
      </c>
      <c r="F524" s="5">
        <v>35788</v>
      </c>
      <c r="G524">
        <v>3</v>
      </c>
      <c r="H524" s="1">
        <v>1.51</v>
      </c>
      <c r="I524" s="1" t="s">
        <v>161</v>
      </c>
      <c r="J524" s="1" t="s">
        <v>162</v>
      </c>
      <c r="K524" s="1" t="s">
        <v>163</v>
      </c>
      <c r="L524" s="1" t="s">
        <v>164</v>
      </c>
      <c r="M524" s="1" t="s">
        <v>165</v>
      </c>
      <c r="N524" s="1" t="s">
        <v>109</v>
      </c>
      <c r="O5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5" spans="1:15" x14ac:dyDescent="0.25">
      <c r="A525">
        <v>10786</v>
      </c>
      <c r="B525" s="1" t="s">
        <v>378</v>
      </c>
      <c r="C525">
        <v>8</v>
      </c>
      <c r="D525" s="5">
        <v>35783</v>
      </c>
      <c r="E525" s="5">
        <v>35811</v>
      </c>
      <c r="F525" s="5">
        <v>35787</v>
      </c>
      <c r="G525">
        <v>1</v>
      </c>
      <c r="H525" s="1">
        <v>110.87</v>
      </c>
      <c r="I525" s="1" t="s">
        <v>379</v>
      </c>
      <c r="J525" s="1" t="s">
        <v>380</v>
      </c>
      <c r="K525" s="1" t="s">
        <v>238</v>
      </c>
      <c r="L525" s="1" t="s">
        <v>101</v>
      </c>
      <c r="M525" s="1" t="s">
        <v>381</v>
      </c>
      <c r="N525" s="1" t="s">
        <v>74</v>
      </c>
      <c r="O5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6" spans="1:15" x14ac:dyDescent="0.25">
      <c r="A526">
        <v>10787</v>
      </c>
      <c r="B526" s="1" t="s">
        <v>335</v>
      </c>
      <c r="C526">
        <v>2</v>
      </c>
      <c r="D526" s="5">
        <v>35783</v>
      </c>
      <c r="E526" s="5">
        <v>35797</v>
      </c>
      <c r="F526" s="5">
        <v>35790</v>
      </c>
      <c r="G526">
        <v>1</v>
      </c>
      <c r="H526" s="1">
        <v>249.93</v>
      </c>
      <c r="I526" s="1" t="s">
        <v>336</v>
      </c>
      <c r="J526" s="1" t="s">
        <v>337</v>
      </c>
      <c r="K526" s="1" t="s">
        <v>338</v>
      </c>
      <c r="L526" s="1" t="s">
        <v>59</v>
      </c>
      <c r="M526" s="1" t="s">
        <v>339</v>
      </c>
      <c r="N526" s="1" t="s">
        <v>61</v>
      </c>
      <c r="O5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7" spans="1:15" x14ac:dyDescent="0.25">
      <c r="A527">
        <v>10788</v>
      </c>
      <c r="B527" s="1" t="s">
        <v>178</v>
      </c>
      <c r="C527">
        <v>1</v>
      </c>
      <c r="D527" s="5">
        <v>35786</v>
      </c>
      <c r="E527" s="5">
        <v>35814</v>
      </c>
      <c r="F527" s="5">
        <v>35814</v>
      </c>
      <c r="G527">
        <v>2</v>
      </c>
      <c r="H527" s="1">
        <v>42.7</v>
      </c>
      <c r="I527" s="1" t="s">
        <v>179</v>
      </c>
      <c r="J527" s="1" t="s">
        <v>180</v>
      </c>
      <c r="K527" s="1" t="s">
        <v>181</v>
      </c>
      <c r="L527" s="1" t="s">
        <v>59</v>
      </c>
      <c r="M527" s="1" t="s">
        <v>182</v>
      </c>
      <c r="N527" s="1" t="s">
        <v>67</v>
      </c>
      <c r="O527" s="1" t="str">
        <f>IF(northwind_orders[[#This Row],[required_date]]-northwind_orders[[#This Row],[shipped_date]]&gt;0,"Faster",IF(northwind_orders[[#This Row],[required_date]]-northwind_orders[[#This Row],[shipped_date]]=0,"In Time","Slower"))</f>
        <v>In Time</v>
      </c>
    </row>
    <row r="528" spans="1:15" x14ac:dyDescent="0.25">
      <c r="A528">
        <v>10789</v>
      </c>
      <c r="B528" s="1" t="s">
        <v>411</v>
      </c>
      <c r="C528">
        <v>1</v>
      </c>
      <c r="D528" s="5">
        <v>35786</v>
      </c>
      <c r="E528" s="5">
        <v>35814</v>
      </c>
      <c r="F528" s="5">
        <v>35795</v>
      </c>
      <c r="G528">
        <v>2</v>
      </c>
      <c r="H528" s="1">
        <v>100.6</v>
      </c>
      <c r="I528" s="1" t="s">
        <v>412</v>
      </c>
      <c r="J528" s="1" t="s">
        <v>413</v>
      </c>
      <c r="K528" s="1" t="s">
        <v>414</v>
      </c>
      <c r="L528" s="1" t="s">
        <v>59</v>
      </c>
      <c r="M528" s="1" t="s">
        <v>415</v>
      </c>
      <c r="N528" s="1" t="s">
        <v>61</v>
      </c>
      <c r="O5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29" spans="1:15" x14ac:dyDescent="0.25">
      <c r="A529">
        <v>10790</v>
      </c>
      <c r="B529" s="1" t="s">
        <v>427</v>
      </c>
      <c r="C529">
        <v>6</v>
      </c>
      <c r="D529" s="5">
        <v>35786</v>
      </c>
      <c r="E529" s="5">
        <v>35814</v>
      </c>
      <c r="F529" s="5">
        <v>35790</v>
      </c>
      <c r="G529">
        <v>1</v>
      </c>
      <c r="H529" s="1">
        <v>28.23</v>
      </c>
      <c r="I529" s="1" t="s">
        <v>428</v>
      </c>
      <c r="J529" s="1" t="s">
        <v>429</v>
      </c>
      <c r="K529" s="1" t="s">
        <v>430</v>
      </c>
      <c r="L529" s="1" t="s">
        <v>101</v>
      </c>
      <c r="M529" s="1" t="s">
        <v>431</v>
      </c>
      <c r="N529" s="1" t="s">
        <v>74</v>
      </c>
      <c r="O5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0" spans="1:15" x14ac:dyDescent="0.25">
      <c r="A530">
        <v>10791</v>
      </c>
      <c r="B530" s="1" t="s">
        <v>155</v>
      </c>
      <c r="C530">
        <v>6</v>
      </c>
      <c r="D530" s="5">
        <v>35787</v>
      </c>
      <c r="E530" s="5">
        <v>35815</v>
      </c>
      <c r="F530" s="5">
        <v>35796</v>
      </c>
      <c r="G530">
        <v>2</v>
      </c>
      <c r="H530" s="1">
        <v>16.850000000000001</v>
      </c>
      <c r="I530" s="1" t="s">
        <v>156</v>
      </c>
      <c r="J530" s="1" t="s">
        <v>157</v>
      </c>
      <c r="K530" s="1" t="s">
        <v>158</v>
      </c>
      <c r="L530" s="1" t="s">
        <v>59</v>
      </c>
      <c r="M530" s="1" t="s">
        <v>159</v>
      </c>
      <c r="N530" s="1" t="s">
        <v>67</v>
      </c>
      <c r="O5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1" spans="1:15" x14ac:dyDescent="0.25">
      <c r="A531">
        <v>10792</v>
      </c>
      <c r="B531" s="1" t="s">
        <v>382</v>
      </c>
      <c r="C531">
        <v>1</v>
      </c>
      <c r="D531" s="5">
        <v>35787</v>
      </c>
      <c r="E531" s="5">
        <v>35815</v>
      </c>
      <c r="F531" s="5">
        <v>35795</v>
      </c>
      <c r="G531">
        <v>3</v>
      </c>
      <c r="H531" s="1">
        <v>23.79</v>
      </c>
      <c r="I531" s="1" t="s">
        <v>383</v>
      </c>
      <c r="J531" s="1" t="s">
        <v>384</v>
      </c>
      <c r="K531" s="1" t="s">
        <v>385</v>
      </c>
      <c r="L531" s="1" t="s">
        <v>59</v>
      </c>
      <c r="M531" s="1" t="s">
        <v>386</v>
      </c>
      <c r="N531" s="1" t="s">
        <v>387</v>
      </c>
      <c r="O5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2" spans="1:15" x14ac:dyDescent="0.25">
      <c r="A532">
        <v>10793</v>
      </c>
      <c r="B532" s="1" t="s">
        <v>345</v>
      </c>
      <c r="C532">
        <v>3</v>
      </c>
      <c r="D532" s="5">
        <v>35788</v>
      </c>
      <c r="E532" s="5">
        <v>35816</v>
      </c>
      <c r="F532" s="5">
        <v>35803</v>
      </c>
      <c r="G532">
        <v>3</v>
      </c>
      <c r="H532" s="1">
        <v>4.5199999999999996</v>
      </c>
      <c r="I532" s="1" t="s">
        <v>346</v>
      </c>
      <c r="J532" s="1" t="s">
        <v>347</v>
      </c>
      <c r="K532" s="1" t="s">
        <v>348</v>
      </c>
      <c r="L532" s="1" t="s">
        <v>349</v>
      </c>
      <c r="M532" s="1" t="s">
        <v>350</v>
      </c>
      <c r="N532" s="1" t="s">
        <v>234</v>
      </c>
      <c r="O5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3" spans="1:15" x14ac:dyDescent="0.25">
      <c r="A533">
        <v>10794</v>
      </c>
      <c r="B533" s="1" t="s">
        <v>127</v>
      </c>
      <c r="C533">
        <v>6</v>
      </c>
      <c r="D533" s="5">
        <v>35788</v>
      </c>
      <c r="E533" s="5">
        <v>35816</v>
      </c>
      <c r="F533" s="5">
        <v>35797</v>
      </c>
      <c r="G533">
        <v>1</v>
      </c>
      <c r="H533" s="1">
        <v>21.49</v>
      </c>
      <c r="I533" s="1" t="s">
        <v>128</v>
      </c>
      <c r="J533" s="1" t="s">
        <v>129</v>
      </c>
      <c r="K533" s="1" t="s">
        <v>71</v>
      </c>
      <c r="L533" s="1" t="s">
        <v>72</v>
      </c>
      <c r="M533" s="1" t="s">
        <v>130</v>
      </c>
      <c r="N533" s="1" t="s">
        <v>74</v>
      </c>
      <c r="O5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4" spans="1:15" x14ac:dyDescent="0.25">
      <c r="A534">
        <v>10795</v>
      </c>
      <c r="B534" s="1" t="s">
        <v>110</v>
      </c>
      <c r="C534">
        <v>8</v>
      </c>
      <c r="D534" s="5">
        <v>35788</v>
      </c>
      <c r="E534" s="5">
        <v>35816</v>
      </c>
      <c r="F534" s="5">
        <v>35815</v>
      </c>
      <c r="G534">
        <v>2</v>
      </c>
      <c r="H534" s="1">
        <v>126.66</v>
      </c>
      <c r="I534" s="1" t="s">
        <v>111</v>
      </c>
      <c r="J534" s="1" t="s">
        <v>112</v>
      </c>
      <c r="K534" s="1" t="s">
        <v>113</v>
      </c>
      <c r="L534" s="1" t="s">
        <v>59</v>
      </c>
      <c r="M534" s="1" t="s">
        <v>114</v>
      </c>
      <c r="N534" s="1" t="s">
        <v>115</v>
      </c>
      <c r="O53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5" spans="1:15" x14ac:dyDescent="0.25">
      <c r="A535">
        <v>10796</v>
      </c>
      <c r="B535" s="1" t="s">
        <v>103</v>
      </c>
      <c r="C535">
        <v>3</v>
      </c>
      <c r="D535" s="5">
        <v>35789</v>
      </c>
      <c r="E535" s="5">
        <v>35817</v>
      </c>
      <c r="F535" s="5">
        <v>35809</v>
      </c>
      <c r="G535">
        <v>1</v>
      </c>
      <c r="H535" s="1">
        <v>26.52</v>
      </c>
      <c r="I535" s="1" t="s">
        <v>104</v>
      </c>
      <c r="J535" s="1" t="s">
        <v>105</v>
      </c>
      <c r="K535" s="1" t="s">
        <v>106</v>
      </c>
      <c r="L535" s="1" t="s">
        <v>107</v>
      </c>
      <c r="M535" s="1" t="s">
        <v>108</v>
      </c>
      <c r="N535" s="1" t="s">
        <v>109</v>
      </c>
      <c r="O5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6" spans="1:15" x14ac:dyDescent="0.25">
      <c r="A536">
        <v>10797</v>
      </c>
      <c r="B536" s="1" t="s">
        <v>355</v>
      </c>
      <c r="C536">
        <v>7</v>
      </c>
      <c r="D536" s="5">
        <v>35789</v>
      </c>
      <c r="E536" s="5">
        <v>35817</v>
      </c>
      <c r="F536" s="5">
        <v>35800</v>
      </c>
      <c r="G536">
        <v>2</v>
      </c>
      <c r="H536" s="1">
        <v>33.35</v>
      </c>
      <c r="I536" s="1" t="s">
        <v>356</v>
      </c>
      <c r="J536" s="1" t="s">
        <v>357</v>
      </c>
      <c r="K536" s="1" t="s">
        <v>358</v>
      </c>
      <c r="L536" s="1" t="s">
        <v>59</v>
      </c>
      <c r="M536" s="1" t="s">
        <v>359</v>
      </c>
      <c r="N536" s="1" t="s">
        <v>67</v>
      </c>
      <c r="O5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7" spans="1:15" x14ac:dyDescent="0.25">
      <c r="A537">
        <v>10798</v>
      </c>
      <c r="B537" s="1" t="s">
        <v>279</v>
      </c>
      <c r="C537">
        <v>2</v>
      </c>
      <c r="D537" s="5">
        <v>35790</v>
      </c>
      <c r="E537" s="5">
        <v>35818</v>
      </c>
      <c r="F537" s="5">
        <v>35800</v>
      </c>
      <c r="G537">
        <v>1</v>
      </c>
      <c r="H537" s="1">
        <v>2.33</v>
      </c>
      <c r="I537" s="1" t="s">
        <v>280</v>
      </c>
      <c r="J537" s="1" t="s">
        <v>281</v>
      </c>
      <c r="K537" s="1" t="s">
        <v>282</v>
      </c>
      <c r="L537" s="1" t="s">
        <v>283</v>
      </c>
      <c r="M537" s="1" t="s">
        <v>284</v>
      </c>
      <c r="N537" s="1" t="s">
        <v>234</v>
      </c>
      <c r="O5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8" spans="1:15" x14ac:dyDescent="0.25">
      <c r="A538">
        <v>10799</v>
      </c>
      <c r="B538" s="1" t="s">
        <v>288</v>
      </c>
      <c r="C538">
        <v>9</v>
      </c>
      <c r="D538" s="5">
        <v>35790</v>
      </c>
      <c r="E538" s="5">
        <v>35832</v>
      </c>
      <c r="F538" s="5">
        <v>35800</v>
      </c>
      <c r="G538">
        <v>3</v>
      </c>
      <c r="H538" s="1">
        <v>30.76</v>
      </c>
      <c r="I538" s="1" t="s">
        <v>289</v>
      </c>
      <c r="J538" s="1" t="s">
        <v>290</v>
      </c>
      <c r="K538" s="1" t="s">
        <v>291</v>
      </c>
      <c r="L538" s="1" t="s">
        <v>59</v>
      </c>
      <c r="M538" s="1" t="s">
        <v>292</v>
      </c>
      <c r="N538" s="1" t="s">
        <v>67</v>
      </c>
      <c r="O5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39" spans="1:15" x14ac:dyDescent="0.25">
      <c r="A539">
        <v>10800</v>
      </c>
      <c r="B539" s="1" t="s">
        <v>351</v>
      </c>
      <c r="C539">
        <v>1</v>
      </c>
      <c r="D539" s="5">
        <v>35790</v>
      </c>
      <c r="E539" s="5">
        <v>35818</v>
      </c>
      <c r="F539" s="5">
        <v>35800</v>
      </c>
      <c r="G539">
        <v>3</v>
      </c>
      <c r="H539" s="1">
        <v>137.44</v>
      </c>
      <c r="I539" s="1" t="s">
        <v>352</v>
      </c>
      <c r="J539" s="1" t="s">
        <v>353</v>
      </c>
      <c r="K539" s="1" t="s">
        <v>232</v>
      </c>
      <c r="L539" s="1" t="s">
        <v>59</v>
      </c>
      <c r="M539" s="1" t="s">
        <v>354</v>
      </c>
      <c r="N539" s="1" t="s">
        <v>234</v>
      </c>
      <c r="O5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0" spans="1:15" x14ac:dyDescent="0.25">
      <c r="A540">
        <v>10801</v>
      </c>
      <c r="B540" s="1" t="s">
        <v>299</v>
      </c>
      <c r="C540">
        <v>4</v>
      </c>
      <c r="D540" s="5">
        <v>35793</v>
      </c>
      <c r="E540" s="5">
        <v>35821</v>
      </c>
      <c r="F540" s="5">
        <v>35795</v>
      </c>
      <c r="G540">
        <v>2</v>
      </c>
      <c r="H540" s="1">
        <v>97.09</v>
      </c>
      <c r="I540" s="1" t="s">
        <v>300</v>
      </c>
      <c r="J540" s="1" t="s">
        <v>301</v>
      </c>
      <c r="K540" s="1" t="s">
        <v>211</v>
      </c>
      <c r="L540" s="1" t="s">
        <v>59</v>
      </c>
      <c r="M540" s="1" t="s">
        <v>302</v>
      </c>
      <c r="N540" s="1" t="s">
        <v>213</v>
      </c>
      <c r="O5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1" spans="1:15" x14ac:dyDescent="0.25">
      <c r="A541">
        <v>10802</v>
      </c>
      <c r="B541" s="1" t="s">
        <v>325</v>
      </c>
      <c r="C541">
        <v>4</v>
      </c>
      <c r="D541" s="5">
        <v>35793</v>
      </c>
      <c r="E541" s="5">
        <v>35821</v>
      </c>
      <c r="F541" s="5">
        <v>35797</v>
      </c>
      <c r="G541">
        <v>2</v>
      </c>
      <c r="H541" s="1">
        <v>257.26</v>
      </c>
      <c r="I541" s="1" t="s">
        <v>326</v>
      </c>
      <c r="J541" s="1" t="s">
        <v>327</v>
      </c>
      <c r="K541" s="1" t="s">
        <v>328</v>
      </c>
      <c r="L541" s="1" t="s">
        <v>59</v>
      </c>
      <c r="M541" s="1" t="s">
        <v>329</v>
      </c>
      <c r="N541" s="1" t="s">
        <v>330</v>
      </c>
      <c r="O5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2" spans="1:15" x14ac:dyDescent="0.25">
      <c r="A542">
        <v>10803</v>
      </c>
      <c r="B542" s="1" t="s">
        <v>97</v>
      </c>
      <c r="C542">
        <v>4</v>
      </c>
      <c r="D542" s="5">
        <v>35794</v>
      </c>
      <c r="E542" s="5">
        <v>35822</v>
      </c>
      <c r="F542" s="5">
        <v>35801</v>
      </c>
      <c r="G542">
        <v>1</v>
      </c>
      <c r="H542" s="1">
        <v>55.23</v>
      </c>
      <c r="I542" s="1" t="s">
        <v>98</v>
      </c>
      <c r="J542" s="1" t="s">
        <v>99</v>
      </c>
      <c r="K542" s="1" t="s">
        <v>100</v>
      </c>
      <c r="L542" s="1" t="s">
        <v>101</v>
      </c>
      <c r="M542" s="1" t="s">
        <v>102</v>
      </c>
      <c r="N542" s="1" t="s">
        <v>74</v>
      </c>
      <c r="O5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3" spans="1:15" x14ac:dyDescent="0.25">
      <c r="A543">
        <v>10804</v>
      </c>
      <c r="B543" s="1" t="s">
        <v>351</v>
      </c>
      <c r="C543">
        <v>6</v>
      </c>
      <c r="D543" s="5">
        <v>35794</v>
      </c>
      <c r="E543" s="5">
        <v>35822</v>
      </c>
      <c r="F543" s="5">
        <v>35802</v>
      </c>
      <c r="G543">
        <v>2</v>
      </c>
      <c r="H543" s="1">
        <v>27.33</v>
      </c>
      <c r="I543" s="1" t="s">
        <v>352</v>
      </c>
      <c r="J543" s="1" t="s">
        <v>353</v>
      </c>
      <c r="K543" s="1" t="s">
        <v>232</v>
      </c>
      <c r="L543" s="1" t="s">
        <v>59</v>
      </c>
      <c r="M543" s="1" t="s">
        <v>354</v>
      </c>
      <c r="N543" s="1" t="s">
        <v>234</v>
      </c>
      <c r="O5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4" spans="1:15" x14ac:dyDescent="0.25">
      <c r="A544">
        <v>10805</v>
      </c>
      <c r="B544" s="1" t="s">
        <v>270</v>
      </c>
      <c r="C544">
        <v>2</v>
      </c>
      <c r="D544" s="5">
        <v>35794</v>
      </c>
      <c r="E544" s="5">
        <v>35822</v>
      </c>
      <c r="F544" s="5">
        <v>35804</v>
      </c>
      <c r="G544">
        <v>3</v>
      </c>
      <c r="H544" s="1">
        <v>237.34</v>
      </c>
      <c r="I544" s="1" t="s">
        <v>271</v>
      </c>
      <c r="J544" s="1" t="s">
        <v>272</v>
      </c>
      <c r="K544" s="1" t="s">
        <v>263</v>
      </c>
      <c r="L544" s="1" t="s">
        <v>264</v>
      </c>
      <c r="M544" s="1" t="s">
        <v>273</v>
      </c>
      <c r="N544" s="1" t="s">
        <v>137</v>
      </c>
      <c r="O5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5" spans="1:15" x14ac:dyDescent="0.25">
      <c r="A545">
        <v>10806</v>
      </c>
      <c r="B545" s="1" t="s">
        <v>75</v>
      </c>
      <c r="C545">
        <v>3</v>
      </c>
      <c r="D545" s="5">
        <v>35795</v>
      </c>
      <c r="E545" s="5">
        <v>35823</v>
      </c>
      <c r="F545" s="5">
        <v>35800</v>
      </c>
      <c r="G545">
        <v>2</v>
      </c>
      <c r="H545" s="1">
        <v>22.11</v>
      </c>
      <c r="I545" s="1" t="s">
        <v>76</v>
      </c>
      <c r="J545" s="1" t="s">
        <v>77</v>
      </c>
      <c r="K545" s="1" t="s">
        <v>78</v>
      </c>
      <c r="L545" s="1" t="s">
        <v>59</v>
      </c>
      <c r="M545" s="1" t="s">
        <v>79</v>
      </c>
      <c r="N545" s="1" t="s">
        <v>61</v>
      </c>
      <c r="O5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6" spans="1:15" x14ac:dyDescent="0.25">
      <c r="A546">
        <v>10807</v>
      </c>
      <c r="B546" s="1" t="s">
        <v>422</v>
      </c>
      <c r="C546">
        <v>4</v>
      </c>
      <c r="D546" s="5">
        <v>35795</v>
      </c>
      <c r="E546" s="5">
        <v>35823</v>
      </c>
      <c r="F546" s="5">
        <v>35825</v>
      </c>
      <c r="G546">
        <v>1</v>
      </c>
      <c r="H546" s="1">
        <v>1.36</v>
      </c>
      <c r="I546" s="1" t="s">
        <v>423</v>
      </c>
      <c r="J546" s="1" t="s">
        <v>424</v>
      </c>
      <c r="K546" s="1" t="s">
        <v>425</v>
      </c>
      <c r="L546" s="1" t="s">
        <v>59</v>
      </c>
      <c r="M546" s="1" t="s">
        <v>426</v>
      </c>
      <c r="N546" s="1" t="s">
        <v>188</v>
      </c>
      <c r="O54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47" spans="1:15" x14ac:dyDescent="0.25">
      <c r="A547">
        <v>10808</v>
      </c>
      <c r="B547" s="1" t="s">
        <v>254</v>
      </c>
      <c r="C547">
        <v>2</v>
      </c>
      <c r="D547" s="5">
        <v>35796</v>
      </c>
      <c r="E547" s="5">
        <v>35824</v>
      </c>
      <c r="F547" s="5">
        <v>35804</v>
      </c>
      <c r="G547">
        <v>3</v>
      </c>
      <c r="H547" s="1">
        <v>45.53</v>
      </c>
      <c r="I547" s="1" t="s">
        <v>255</v>
      </c>
      <c r="J547" s="1" t="s">
        <v>256</v>
      </c>
      <c r="K547" s="1" t="s">
        <v>257</v>
      </c>
      <c r="L547" s="1" t="s">
        <v>258</v>
      </c>
      <c r="M547" s="1" t="s">
        <v>259</v>
      </c>
      <c r="N547" s="1" t="s">
        <v>137</v>
      </c>
      <c r="O5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8" spans="1:15" x14ac:dyDescent="0.25">
      <c r="A548">
        <v>10809</v>
      </c>
      <c r="B548" s="1" t="s">
        <v>97</v>
      </c>
      <c r="C548">
        <v>7</v>
      </c>
      <c r="D548" s="5">
        <v>35796</v>
      </c>
      <c r="E548" s="5">
        <v>35824</v>
      </c>
      <c r="F548" s="5">
        <v>35802</v>
      </c>
      <c r="G548">
        <v>1</v>
      </c>
      <c r="H548" s="1">
        <v>4.87</v>
      </c>
      <c r="I548" s="1" t="s">
        <v>98</v>
      </c>
      <c r="J548" s="1" t="s">
        <v>99</v>
      </c>
      <c r="K548" s="1" t="s">
        <v>100</v>
      </c>
      <c r="L548" s="1" t="s">
        <v>101</v>
      </c>
      <c r="M548" s="1" t="s">
        <v>102</v>
      </c>
      <c r="N548" s="1" t="s">
        <v>74</v>
      </c>
      <c r="O5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49" spans="1:15" x14ac:dyDescent="0.25">
      <c r="A549">
        <v>10810</v>
      </c>
      <c r="B549" s="1" t="s">
        <v>445</v>
      </c>
      <c r="C549">
        <v>2</v>
      </c>
      <c r="D549" s="5">
        <v>35796</v>
      </c>
      <c r="E549" s="5">
        <v>35824</v>
      </c>
      <c r="F549" s="5">
        <v>35802</v>
      </c>
      <c r="G549">
        <v>3</v>
      </c>
      <c r="H549" s="1">
        <v>4.33</v>
      </c>
      <c r="I549" s="1" t="s">
        <v>446</v>
      </c>
      <c r="J549" s="1" t="s">
        <v>447</v>
      </c>
      <c r="K549" s="1" t="s">
        <v>448</v>
      </c>
      <c r="L549" s="1" t="s">
        <v>403</v>
      </c>
      <c r="M549" s="1" t="s">
        <v>449</v>
      </c>
      <c r="N549" s="1" t="s">
        <v>320</v>
      </c>
      <c r="O5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0" spans="1:15" x14ac:dyDescent="0.25">
      <c r="A550">
        <v>10811</v>
      </c>
      <c r="B550" s="1" t="s">
        <v>405</v>
      </c>
      <c r="C550">
        <v>8</v>
      </c>
      <c r="D550" s="5">
        <v>35797</v>
      </c>
      <c r="E550" s="5">
        <v>35825</v>
      </c>
      <c r="F550" s="5">
        <v>35803</v>
      </c>
      <c r="G550">
        <v>1</v>
      </c>
      <c r="H550" s="1">
        <v>31.22</v>
      </c>
      <c r="I550" s="1" t="s">
        <v>406</v>
      </c>
      <c r="J550" s="1" t="s">
        <v>407</v>
      </c>
      <c r="K550" s="1" t="s">
        <v>408</v>
      </c>
      <c r="L550" s="1" t="s">
        <v>409</v>
      </c>
      <c r="M550" s="1" t="s">
        <v>410</v>
      </c>
      <c r="N550" s="1" t="s">
        <v>109</v>
      </c>
      <c r="O5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1" spans="1:15" x14ac:dyDescent="0.25">
      <c r="A551">
        <v>10812</v>
      </c>
      <c r="B551" s="1" t="s">
        <v>224</v>
      </c>
      <c r="C551">
        <v>5</v>
      </c>
      <c r="D551" s="5">
        <v>35797</v>
      </c>
      <c r="E551" s="5">
        <v>35825</v>
      </c>
      <c r="F551" s="5">
        <v>35807</v>
      </c>
      <c r="G551">
        <v>1</v>
      </c>
      <c r="H551" s="1">
        <v>59.78</v>
      </c>
      <c r="I551" s="1" t="s">
        <v>225</v>
      </c>
      <c r="J551" s="1" t="s">
        <v>226</v>
      </c>
      <c r="K551" s="1" t="s">
        <v>227</v>
      </c>
      <c r="L551" s="1" t="s">
        <v>59</v>
      </c>
      <c r="M551" s="1" t="s">
        <v>228</v>
      </c>
      <c r="N551" s="1" t="s">
        <v>188</v>
      </c>
      <c r="O5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2" spans="1:15" x14ac:dyDescent="0.25">
      <c r="A552">
        <v>10813</v>
      </c>
      <c r="B552" s="1" t="s">
        <v>220</v>
      </c>
      <c r="C552">
        <v>1</v>
      </c>
      <c r="D552" s="5">
        <v>35800</v>
      </c>
      <c r="E552" s="5">
        <v>35828</v>
      </c>
      <c r="F552" s="5">
        <v>35804</v>
      </c>
      <c r="G552">
        <v>1</v>
      </c>
      <c r="H552" s="1">
        <v>47.38</v>
      </c>
      <c r="I552" s="1" t="s">
        <v>221</v>
      </c>
      <c r="J552" s="1" t="s">
        <v>222</v>
      </c>
      <c r="K552" s="1" t="s">
        <v>71</v>
      </c>
      <c r="L552" s="1" t="s">
        <v>72</v>
      </c>
      <c r="M552" s="1" t="s">
        <v>223</v>
      </c>
      <c r="N552" s="1" t="s">
        <v>74</v>
      </c>
      <c r="O5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3" spans="1:15" x14ac:dyDescent="0.25">
      <c r="A553">
        <v>10814</v>
      </c>
      <c r="B553" s="1" t="s">
        <v>75</v>
      </c>
      <c r="C553">
        <v>3</v>
      </c>
      <c r="D553" s="5">
        <v>35800</v>
      </c>
      <c r="E553" s="5">
        <v>35828</v>
      </c>
      <c r="F553" s="5">
        <v>35809</v>
      </c>
      <c r="G553">
        <v>3</v>
      </c>
      <c r="H553" s="1">
        <v>130.94</v>
      </c>
      <c r="I553" s="1" t="s">
        <v>76</v>
      </c>
      <c r="J553" s="1" t="s">
        <v>77</v>
      </c>
      <c r="K553" s="1" t="s">
        <v>78</v>
      </c>
      <c r="L553" s="1" t="s">
        <v>59</v>
      </c>
      <c r="M553" s="1" t="s">
        <v>79</v>
      </c>
      <c r="N553" s="1" t="s">
        <v>61</v>
      </c>
      <c r="O5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4" spans="1:15" x14ac:dyDescent="0.25">
      <c r="A554">
        <v>10815</v>
      </c>
      <c r="B554" s="1" t="s">
        <v>293</v>
      </c>
      <c r="C554">
        <v>2</v>
      </c>
      <c r="D554" s="5">
        <v>35800</v>
      </c>
      <c r="E554" s="5">
        <v>35828</v>
      </c>
      <c r="F554" s="5">
        <v>35809</v>
      </c>
      <c r="G554">
        <v>3</v>
      </c>
      <c r="H554" s="1">
        <v>14.62</v>
      </c>
      <c r="I554" s="1" t="s">
        <v>294</v>
      </c>
      <c r="J554" s="1" t="s">
        <v>295</v>
      </c>
      <c r="K554" s="1" t="s">
        <v>296</v>
      </c>
      <c r="L554" s="1" t="s">
        <v>297</v>
      </c>
      <c r="M554" s="1" t="s">
        <v>298</v>
      </c>
      <c r="N554" s="1" t="s">
        <v>137</v>
      </c>
      <c r="O5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5" spans="1:15" x14ac:dyDescent="0.25">
      <c r="A555">
        <v>10816</v>
      </c>
      <c r="B555" s="1" t="s">
        <v>462</v>
      </c>
      <c r="C555">
        <v>4</v>
      </c>
      <c r="D555" s="5">
        <v>35801</v>
      </c>
      <c r="E555" s="5">
        <v>35829</v>
      </c>
      <c r="F555" s="5">
        <v>35830</v>
      </c>
      <c r="G555">
        <v>2</v>
      </c>
      <c r="H555" s="1">
        <v>719.78</v>
      </c>
      <c r="I555" s="1" t="s">
        <v>463</v>
      </c>
      <c r="J555" s="1" t="s">
        <v>464</v>
      </c>
      <c r="K555" s="1" t="s">
        <v>465</v>
      </c>
      <c r="L555" s="1" t="s">
        <v>264</v>
      </c>
      <c r="M555" s="1" t="s">
        <v>466</v>
      </c>
      <c r="N555" s="1" t="s">
        <v>137</v>
      </c>
      <c r="O555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56" spans="1:15" x14ac:dyDescent="0.25">
      <c r="A556">
        <v>10817</v>
      </c>
      <c r="B556" s="1" t="s">
        <v>288</v>
      </c>
      <c r="C556">
        <v>3</v>
      </c>
      <c r="D556" s="5">
        <v>35801</v>
      </c>
      <c r="E556" s="5">
        <v>35815</v>
      </c>
      <c r="F556" s="5">
        <v>35808</v>
      </c>
      <c r="G556">
        <v>2</v>
      </c>
      <c r="H556" s="1">
        <v>306.07</v>
      </c>
      <c r="I556" s="1" t="s">
        <v>289</v>
      </c>
      <c r="J556" s="1" t="s">
        <v>290</v>
      </c>
      <c r="K556" s="1" t="s">
        <v>291</v>
      </c>
      <c r="L556" s="1" t="s">
        <v>59</v>
      </c>
      <c r="M556" s="1" t="s">
        <v>292</v>
      </c>
      <c r="N556" s="1" t="s">
        <v>67</v>
      </c>
      <c r="O5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7" spans="1:15" x14ac:dyDescent="0.25">
      <c r="A557">
        <v>10818</v>
      </c>
      <c r="B557" s="1" t="s">
        <v>183</v>
      </c>
      <c r="C557">
        <v>7</v>
      </c>
      <c r="D557" s="5">
        <v>35802</v>
      </c>
      <c r="E557" s="5">
        <v>35830</v>
      </c>
      <c r="F557" s="5">
        <v>35807</v>
      </c>
      <c r="G557">
        <v>3</v>
      </c>
      <c r="H557" s="1">
        <v>65.48</v>
      </c>
      <c r="I557" s="1" t="s">
        <v>184</v>
      </c>
      <c r="J557" s="1" t="s">
        <v>185</v>
      </c>
      <c r="K557" s="1" t="s">
        <v>186</v>
      </c>
      <c r="L557" s="1" t="s">
        <v>59</v>
      </c>
      <c r="M557" s="1" t="s">
        <v>187</v>
      </c>
      <c r="N557" s="1" t="s">
        <v>188</v>
      </c>
      <c r="O5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8" spans="1:15" x14ac:dyDescent="0.25">
      <c r="A558">
        <v>10819</v>
      </c>
      <c r="B558" s="1" t="s">
        <v>459</v>
      </c>
      <c r="C558">
        <v>2</v>
      </c>
      <c r="D558" s="5">
        <v>35802</v>
      </c>
      <c r="E558" s="5">
        <v>35830</v>
      </c>
      <c r="F558" s="5">
        <v>35811</v>
      </c>
      <c r="G558">
        <v>3</v>
      </c>
      <c r="H558" s="1">
        <v>19.760000000000002</v>
      </c>
      <c r="I558" s="1" t="s">
        <v>460</v>
      </c>
      <c r="J558" s="1" t="s">
        <v>461</v>
      </c>
      <c r="K558" s="1" t="s">
        <v>419</v>
      </c>
      <c r="L558" s="1" t="s">
        <v>59</v>
      </c>
      <c r="M558" s="1" t="s">
        <v>420</v>
      </c>
      <c r="N558" s="1" t="s">
        <v>421</v>
      </c>
      <c r="O5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59" spans="1:15" x14ac:dyDescent="0.25">
      <c r="A559">
        <v>10820</v>
      </c>
      <c r="B559" s="1" t="s">
        <v>131</v>
      </c>
      <c r="C559">
        <v>3</v>
      </c>
      <c r="D559" s="5">
        <v>35802</v>
      </c>
      <c r="E559" s="5">
        <v>35830</v>
      </c>
      <c r="F559" s="5">
        <v>35808</v>
      </c>
      <c r="G559">
        <v>2</v>
      </c>
      <c r="H559" s="1">
        <v>37.520000000000003</v>
      </c>
      <c r="I559" s="1" t="s">
        <v>132</v>
      </c>
      <c r="J559" s="1" t="s">
        <v>133</v>
      </c>
      <c r="K559" s="1" t="s">
        <v>134</v>
      </c>
      <c r="L559" s="1" t="s">
        <v>135</v>
      </c>
      <c r="M559" s="1" t="s">
        <v>136</v>
      </c>
      <c r="N559" s="1" t="s">
        <v>137</v>
      </c>
      <c r="O5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0" spans="1:15" x14ac:dyDescent="0.25">
      <c r="A560">
        <v>10821</v>
      </c>
      <c r="B560" s="1" t="s">
        <v>172</v>
      </c>
      <c r="C560">
        <v>1</v>
      </c>
      <c r="D560" s="5">
        <v>35803</v>
      </c>
      <c r="E560" s="5">
        <v>35831</v>
      </c>
      <c r="F560" s="5">
        <v>35810</v>
      </c>
      <c r="G560">
        <v>1</v>
      </c>
      <c r="H560" s="1">
        <v>36.68</v>
      </c>
      <c r="I560" s="1" t="s">
        <v>173</v>
      </c>
      <c r="J560" s="1" t="s">
        <v>174</v>
      </c>
      <c r="K560" s="1" t="s">
        <v>175</v>
      </c>
      <c r="L560" s="1" t="s">
        <v>176</v>
      </c>
      <c r="M560" s="1" t="s">
        <v>177</v>
      </c>
      <c r="N560" s="1" t="s">
        <v>137</v>
      </c>
      <c r="O5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1" spans="1:15" x14ac:dyDescent="0.25">
      <c r="A561">
        <v>10822</v>
      </c>
      <c r="B561" s="1" t="s">
        <v>472</v>
      </c>
      <c r="C561">
        <v>6</v>
      </c>
      <c r="D561" s="5">
        <v>35803</v>
      </c>
      <c r="E561" s="5">
        <v>35831</v>
      </c>
      <c r="F561" s="5">
        <v>35811</v>
      </c>
      <c r="G561">
        <v>3</v>
      </c>
      <c r="H561" s="1" t="s">
        <v>32</v>
      </c>
      <c r="I561" s="1" t="s">
        <v>473</v>
      </c>
      <c r="J561" s="1" t="s">
        <v>474</v>
      </c>
      <c r="K561" s="1" t="s">
        <v>475</v>
      </c>
      <c r="L561" s="1" t="s">
        <v>170</v>
      </c>
      <c r="M561" s="1" t="s">
        <v>476</v>
      </c>
      <c r="N561" s="1" t="s">
        <v>137</v>
      </c>
      <c r="O5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2" spans="1:15" x14ac:dyDescent="0.25">
      <c r="A562">
        <v>10823</v>
      </c>
      <c r="B562" s="1" t="s">
        <v>214</v>
      </c>
      <c r="C562">
        <v>5</v>
      </c>
      <c r="D562" s="5">
        <v>35804</v>
      </c>
      <c r="E562" s="5">
        <v>35832</v>
      </c>
      <c r="F562" s="5">
        <v>35808</v>
      </c>
      <c r="G562">
        <v>2</v>
      </c>
      <c r="H562" s="1">
        <v>163.97</v>
      </c>
      <c r="I562" s="1" t="s">
        <v>215</v>
      </c>
      <c r="J562" s="1" t="s">
        <v>216</v>
      </c>
      <c r="K562" s="1" t="s">
        <v>217</v>
      </c>
      <c r="L562" s="1" t="s">
        <v>218</v>
      </c>
      <c r="M562" s="1" t="s">
        <v>219</v>
      </c>
      <c r="N562" s="1" t="s">
        <v>109</v>
      </c>
      <c r="O5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3" spans="1:15" x14ac:dyDescent="0.25">
      <c r="A563">
        <v>10824</v>
      </c>
      <c r="B563" s="1" t="s">
        <v>138</v>
      </c>
      <c r="C563">
        <v>8</v>
      </c>
      <c r="D563" s="5">
        <v>35804</v>
      </c>
      <c r="E563" s="5">
        <v>35832</v>
      </c>
      <c r="F563" s="5">
        <v>35825</v>
      </c>
      <c r="G563">
        <v>1</v>
      </c>
      <c r="H563" s="1">
        <v>1.23</v>
      </c>
      <c r="I563" s="1" t="s">
        <v>139</v>
      </c>
      <c r="J563" s="1" t="s">
        <v>140</v>
      </c>
      <c r="K563" s="1" t="s">
        <v>141</v>
      </c>
      <c r="L563" s="1" t="s">
        <v>59</v>
      </c>
      <c r="M563" s="1" t="s">
        <v>142</v>
      </c>
      <c r="N563" s="1" t="s">
        <v>143</v>
      </c>
      <c r="O5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4" spans="1:15" x14ac:dyDescent="0.25">
      <c r="A564">
        <v>10825</v>
      </c>
      <c r="B564" s="1" t="s">
        <v>355</v>
      </c>
      <c r="C564">
        <v>1</v>
      </c>
      <c r="D564" s="5">
        <v>35804</v>
      </c>
      <c r="E564" s="5">
        <v>35832</v>
      </c>
      <c r="F564" s="5">
        <v>35809</v>
      </c>
      <c r="G564">
        <v>1</v>
      </c>
      <c r="H564" s="1">
        <v>79.25</v>
      </c>
      <c r="I564" s="1" t="s">
        <v>356</v>
      </c>
      <c r="J564" s="1" t="s">
        <v>357</v>
      </c>
      <c r="K564" s="1" t="s">
        <v>358</v>
      </c>
      <c r="L564" s="1" t="s">
        <v>59</v>
      </c>
      <c r="M564" s="1" t="s">
        <v>359</v>
      </c>
      <c r="N564" s="1" t="s">
        <v>67</v>
      </c>
      <c r="O5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5" spans="1:15" x14ac:dyDescent="0.25">
      <c r="A565">
        <v>10826</v>
      </c>
      <c r="B565" s="1" t="s">
        <v>144</v>
      </c>
      <c r="C565">
        <v>6</v>
      </c>
      <c r="D565" s="5">
        <v>35807</v>
      </c>
      <c r="E565" s="5">
        <v>35835</v>
      </c>
      <c r="F565" s="5">
        <v>35832</v>
      </c>
      <c r="G565">
        <v>1</v>
      </c>
      <c r="H565" s="1">
        <v>7.09</v>
      </c>
      <c r="I565" s="1" t="s">
        <v>145</v>
      </c>
      <c r="J565" s="1" t="s">
        <v>146</v>
      </c>
      <c r="K565" s="1" t="s">
        <v>147</v>
      </c>
      <c r="L565" s="1" t="s">
        <v>59</v>
      </c>
      <c r="M565" s="1" t="s">
        <v>148</v>
      </c>
      <c r="N565" s="1" t="s">
        <v>61</v>
      </c>
      <c r="O5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6" spans="1:15" x14ac:dyDescent="0.25">
      <c r="A566">
        <v>10827</v>
      </c>
      <c r="B566" s="1" t="s">
        <v>309</v>
      </c>
      <c r="C566">
        <v>1</v>
      </c>
      <c r="D566" s="5">
        <v>35807</v>
      </c>
      <c r="E566" s="5">
        <v>35821</v>
      </c>
      <c r="F566" s="5">
        <v>35832</v>
      </c>
      <c r="G566">
        <v>2</v>
      </c>
      <c r="H566" s="1">
        <v>63.54</v>
      </c>
      <c r="I566" s="1" t="s">
        <v>310</v>
      </c>
      <c r="J566" s="1" t="s">
        <v>311</v>
      </c>
      <c r="K566" s="1" t="s">
        <v>312</v>
      </c>
      <c r="L566" s="1" t="s">
        <v>59</v>
      </c>
      <c r="M566" s="1" t="s">
        <v>313</v>
      </c>
      <c r="N566" s="1" t="s">
        <v>61</v>
      </c>
      <c r="O56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67" spans="1:15" x14ac:dyDescent="0.25">
      <c r="A567">
        <v>10828</v>
      </c>
      <c r="B567" s="1" t="s">
        <v>436</v>
      </c>
      <c r="C567">
        <v>9</v>
      </c>
      <c r="D567" s="5">
        <v>35808</v>
      </c>
      <c r="E567" s="5">
        <v>35822</v>
      </c>
      <c r="F567" s="5">
        <v>35830</v>
      </c>
      <c r="G567">
        <v>1</v>
      </c>
      <c r="H567" s="1">
        <v>90.85</v>
      </c>
      <c r="I567" s="1" t="s">
        <v>437</v>
      </c>
      <c r="J567" s="1" t="s">
        <v>438</v>
      </c>
      <c r="K567" s="1" t="s">
        <v>419</v>
      </c>
      <c r="L567" s="1" t="s">
        <v>59</v>
      </c>
      <c r="M567" s="1" t="s">
        <v>420</v>
      </c>
      <c r="N567" s="1" t="s">
        <v>421</v>
      </c>
      <c r="O567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68" spans="1:15" x14ac:dyDescent="0.25">
      <c r="A568">
        <v>10829</v>
      </c>
      <c r="B568" s="1" t="s">
        <v>279</v>
      </c>
      <c r="C568">
        <v>9</v>
      </c>
      <c r="D568" s="5">
        <v>35808</v>
      </c>
      <c r="E568" s="5">
        <v>35836</v>
      </c>
      <c r="F568" s="5">
        <v>35818</v>
      </c>
      <c r="G568">
        <v>1</v>
      </c>
      <c r="H568" s="1">
        <v>154.72</v>
      </c>
      <c r="I568" s="1" t="s">
        <v>280</v>
      </c>
      <c r="J568" s="1" t="s">
        <v>281</v>
      </c>
      <c r="K568" s="1" t="s">
        <v>282</v>
      </c>
      <c r="L568" s="1" t="s">
        <v>283</v>
      </c>
      <c r="M568" s="1" t="s">
        <v>284</v>
      </c>
      <c r="N568" s="1" t="s">
        <v>234</v>
      </c>
      <c r="O5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69" spans="1:15" x14ac:dyDescent="0.25">
      <c r="A569">
        <v>10830</v>
      </c>
      <c r="B569" s="1" t="s">
        <v>240</v>
      </c>
      <c r="C569">
        <v>4</v>
      </c>
      <c r="D569" s="5">
        <v>35808</v>
      </c>
      <c r="E569" s="5">
        <v>35850</v>
      </c>
      <c r="F569" s="5">
        <v>35816</v>
      </c>
      <c r="G569">
        <v>2</v>
      </c>
      <c r="H569" s="1">
        <v>81.83</v>
      </c>
      <c r="I569" s="1" t="s">
        <v>241</v>
      </c>
      <c r="J569" s="1" t="s">
        <v>242</v>
      </c>
      <c r="K569" s="1" t="s">
        <v>238</v>
      </c>
      <c r="L569" s="1" t="s">
        <v>101</v>
      </c>
      <c r="M569" s="1" t="s">
        <v>243</v>
      </c>
      <c r="N569" s="1" t="s">
        <v>74</v>
      </c>
      <c r="O5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0" spans="1:15" x14ac:dyDescent="0.25">
      <c r="A570">
        <v>10831</v>
      </c>
      <c r="B570" s="1" t="s">
        <v>393</v>
      </c>
      <c r="C570">
        <v>3</v>
      </c>
      <c r="D570" s="5">
        <v>35809</v>
      </c>
      <c r="E570" s="5">
        <v>35837</v>
      </c>
      <c r="F570" s="5">
        <v>35818</v>
      </c>
      <c r="G570">
        <v>2</v>
      </c>
      <c r="H570" s="1">
        <v>72.19</v>
      </c>
      <c r="I570" s="1" t="s">
        <v>394</v>
      </c>
      <c r="J570" s="1" t="s">
        <v>395</v>
      </c>
      <c r="K570" s="1" t="s">
        <v>396</v>
      </c>
      <c r="L570" s="1" t="s">
        <v>59</v>
      </c>
      <c r="M570" s="1" t="s">
        <v>397</v>
      </c>
      <c r="N570" s="1" t="s">
        <v>398</v>
      </c>
      <c r="O5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1" spans="1:15" x14ac:dyDescent="0.25">
      <c r="A571">
        <v>10832</v>
      </c>
      <c r="B571" s="1" t="s">
        <v>335</v>
      </c>
      <c r="C571">
        <v>2</v>
      </c>
      <c r="D571" s="5">
        <v>35809</v>
      </c>
      <c r="E571" s="5">
        <v>35837</v>
      </c>
      <c r="F571" s="5">
        <v>35814</v>
      </c>
      <c r="G571">
        <v>2</v>
      </c>
      <c r="H571" s="1">
        <v>43.26</v>
      </c>
      <c r="I571" s="1" t="s">
        <v>336</v>
      </c>
      <c r="J571" s="1" t="s">
        <v>337</v>
      </c>
      <c r="K571" s="1" t="s">
        <v>338</v>
      </c>
      <c r="L571" s="1" t="s">
        <v>59</v>
      </c>
      <c r="M571" s="1" t="s">
        <v>339</v>
      </c>
      <c r="N571" s="1" t="s">
        <v>61</v>
      </c>
      <c r="O5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2" spans="1:15" x14ac:dyDescent="0.25">
      <c r="A572">
        <v>10833</v>
      </c>
      <c r="B572" s="1" t="s">
        <v>122</v>
      </c>
      <c r="C572">
        <v>6</v>
      </c>
      <c r="D572" s="5">
        <v>35810</v>
      </c>
      <c r="E572" s="5">
        <v>35838</v>
      </c>
      <c r="F572" s="5">
        <v>35818</v>
      </c>
      <c r="G572">
        <v>2</v>
      </c>
      <c r="H572" s="1">
        <v>71.489999999999995</v>
      </c>
      <c r="I572" s="1" t="s">
        <v>123</v>
      </c>
      <c r="J572" s="1" t="s">
        <v>124</v>
      </c>
      <c r="K572" s="1" t="s">
        <v>125</v>
      </c>
      <c r="L572" s="1" t="s">
        <v>59</v>
      </c>
      <c r="M572" s="1" t="s">
        <v>126</v>
      </c>
      <c r="N572" s="1" t="s">
        <v>67</v>
      </c>
      <c r="O57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3" spans="1:15" x14ac:dyDescent="0.25">
      <c r="A573">
        <v>10834</v>
      </c>
      <c r="B573" s="1" t="s">
        <v>240</v>
      </c>
      <c r="C573">
        <v>1</v>
      </c>
      <c r="D573" s="5">
        <v>35810</v>
      </c>
      <c r="E573" s="5">
        <v>35838</v>
      </c>
      <c r="F573" s="5">
        <v>35814</v>
      </c>
      <c r="G573">
        <v>3</v>
      </c>
      <c r="H573" s="1">
        <v>29.78</v>
      </c>
      <c r="I573" s="1" t="s">
        <v>241</v>
      </c>
      <c r="J573" s="1" t="s">
        <v>242</v>
      </c>
      <c r="K573" s="1" t="s">
        <v>238</v>
      </c>
      <c r="L573" s="1" t="s">
        <v>101</v>
      </c>
      <c r="M573" s="1" t="s">
        <v>243</v>
      </c>
      <c r="N573" s="1" t="s">
        <v>74</v>
      </c>
      <c r="O5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4" spans="1:15" x14ac:dyDescent="0.25">
      <c r="A574">
        <v>10835</v>
      </c>
      <c r="B574" s="1" t="s">
        <v>494</v>
      </c>
      <c r="C574">
        <v>1</v>
      </c>
      <c r="D574" s="5">
        <v>35810</v>
      </c>
      <c r="E574" s="5">
        <v>35838</v>
      </c>
      <c r="F574" s="5">
        <v>35816</v>
      </c>
      <c r="G574">
        <v>3</v>
      </c>
      <c r="H574" s="1">
        <v>69.53</v>
      </c>
      <c r="I574" s="1" t="s">
        <v>502</v>
      </c>
      <c r="J574" s="1" t="s">
        <v>496</v>
      </c>
      <c r="K574" s="1" t="s">
        <v>497</v>
      </c>
      <c r="L574" s="1" t="s">
        <v>59</v>
      </c>
      <c r="M574" s="1" t="s">
        <v>498</v>
      </c>
      <c r="N574" s="1" t="s">
        <v>67</v>
      </c>
      <c r="O5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5" spans="1:15" x14ac:dyDescent="0.25">
      <c r="A575">
        <v>10836</v>
      </c>
      <c r="B575" s="1" t="s">
        <v>110</v>
      </c>
      <c r="C575">
        <v>7</v>
      </c>
      <c r="D575" s="5">
        <v>35811</v>
      </c>
      <c r="E575" s="5">
        <v>35839</v>
      </c>
      <c r="F575" s="5">
        <v>35816</v>
      </c>
      <c r="G575">
        <v>1</v>
      </c>
      <c r="H575" s="1">
        <v>411.88</v>
      </c>
      <c r="I575" s="1" t="s">
        <v>111</v>
      </c>
      <c r="J575" s="1" t="s">
        <v>112</v>
      </c>
      <c r="K575" s="1" t="s">
        <v>113</v>
      </c>
      <c r="L575" s="1" t="s">
        <v>59</v>
      </c>
      <c r="M575" s="1" t="s">
        <v>114</v>
      </c>
      <c r="N575" s="1" t="s">
        <v>115</v>
      </c>
      <c r="O5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6" spans="1:15" x14ac:dyDescent="0.25">
      <c r="A576">
        <v>10837</v>
      </c>
      <c r="B576" s="1" t="s">
        <v>198</v>
      </c>
      <c r="C576">
        <v>9</v>
      </c>
      <c r="D576" s="5">
        <v>35811</v>
      </c>
      <c r="E576" s="5">
        <v>35839</v>
      </c>
      <c r="F576" s="5">
        <v>35818</v>
      </c>
      <c r="G576">
        <v>3</v>
      </c>
      <c r="H576" s="1">
        <v>13.32</v>
      </c>
      <c r="I576" s="1" t="s">
        <v>199</v>
      </c>
      <c r="J576" s="1" t="s">
        <v>200</v>
      </c>
      <c r="K576" s="1" t="s">
        <v>201</v>
      </c>
      <c r="L576" s="1" t="s">
        <v>59</v>
      </c>
      <c r="M576" s="1" t="s">
        <v>202</v>
      </c>
      <c r="N576" s="1" t="s">
        <v>143</v>
      </c>
      <c r="O5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7" spans="1:15" x14ac:dyDescent="0.25">
      <c r="A577">
        <v>10838</v>
      </c>
      <c r="B577" s="1" t="s">
        <v>405</v>
      </c>
      <c r="C577">
        <v>3</v>
      </c>
      <c r="D577" s="5">
        <v>35814</v>
      </c>
      <c r="E577" s="5">
        <v>35842</v>
      </c>
      <c r="F577" s="5">
        <v>35818</v>
      </c>
      <c r="G577">
        <v>3</v>
      </c>
      <c r="H577" s="1">
        <v>59.28</v>
      </c>
      <c r="I577" s="1" t="s">
        <v>406</v>
      </c>
      <c r="J577" s="1" t="s">
        <v>407</v>
      </c>
      <c r="K577" s="1" t="s">
        <v>408</v>
      </c>
      <c r="L577" s="1" t="s">
        <v>409</v>
      </c>
      <c r="M577" s="1" t="s">
        <v>410</v>
      </c>
      <c r="N577" s="1" t="s">
        <v>109</v>
      </c>
      <c r="O5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8" spans="1:15" x14ac:dyDescent="0.25">
      <c r="A578">
        <v>10839</v>
      </c>
      <c r="B578" s="1" t="s">
        <v>240</v>
      </c>
      <c r="C578">
        <v>3</v>
      </c>
      <c r="D578" s="5">
        <v>35814</v>
      </c>
      <c r="E578" s="5">
        <v>35842</v>
      </c>
      <c r="F578" s="5">
        <v>35817</v>
      </c>
      <c r="G578">
        <v>3</v>
      </c>
      <c r="H578" s="1">
        <v>35.43</v>
      </c>
      <c r="I578" s="1" t="s">
        <v>241</v>
      </c>
      <c r="J578" s="1" t="s">
        <v>242</v>
      </c>
      <c r="K578" s="1" t="s">
        <v>238</v>
      </c>
      <c r="L578" s="1" t="s">
        <v>101</v>
      </c>
      <c r="M578" s="1" t="s">
        <v>243</v>
      </c>
      <c r="N578" s="1" t="s">
        <v>74</v>
      </c>
      <c r="O5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79" spans="1:15" x14ac:dyDescent="0.25">
      <c r="A579">
        <v>10840</v>
      </c>
      <c r="B579" s="1" t="s">
        <v>405</v>
      </c>
      <c r="C579">
        <v>4</v>
      </c>
      <c r="D579" s="5">
        <v>35814</v>
      </c>
      <c r="E579" s="5">
        <v>35856</v>
      </c>
      <c r="F579" s="5">
        <v>35842</v>
      </c>
      <c r="G579">
        <v>2</v>
      </c>
      <c r="H579" s="1">
        <v>2.71</v>
      </c>
      <c r="I579" s="1" t="s">
        <v>406</v>
      </c>
      <c r="J579" s="1" t="s">
        <v>407</v>
      </c>
      <c r="K579" s="1" t="s">
        <v>408</v>
      </c>
      <c r="L579" s="1" t="s">
        <v>409</v>
      </c>
      <c r="M579" s="1" t="s">
        <v>410</v>
      </c>
      <c r="N579" s="1" t="s">
        <v>109</v>
      </c>
      <c r="O5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0" spans="1:15" x14ac:dyDescent="0.25">
      <c r="A580">
        <v>10841</v>
      </c>
      <c r="B580" s="1" t="s">
        <v>80</v>
      </c>
      <c r="C580">
        <v>5</v>
      </c>
      <c r="D580" s="5">
        <v>35815</v>
      </c>
      <c r="E580" s="5">
        <v>35843</v>
      </c>
      <c r="F580" s="5">
        <v>35824</v>
      </c>
      <c r="G580">
        <v>2</v>
      </c>
      <c r="H580" s="1">
        <v>424.3</v>
      </c>
      <c r="I580" s="1" t="s">
        <v>81</v>
      </c>
      <c r="J580" s="1" t="s">
        <v>82</v>
      </c>
      <c r="K580" s="1" t="s">
        <v>83</v>
      </c>
      <c r="L580" s="1" t="s">
        <v>59</v>
      </c>
      <c r="M580" s="1" t="s">
        <v>84</v>
      </c>
      <c r="N580" s="1" t="s">
        <v>85</v>
      </c>
      <c r="O5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1" spans="1:15" x14ac:dyDescent="0.25">
      <c r="A581">
        <v>10842</v>
      </c>
      <c r="B581" s="1" t="s">
        <v>189</v>
      </c>
      <c r="C581">
        <v>1</v>
      </c>
      <c r="D581" s="5">
        <v>35815</v>
      </c>
      <c r="E581" s="5">
        <v>35843</v>
      </c>
      <c r="F581" s="5">
        <v>35824</v>
      </c>
      <c r="G581">
        <v>3</v>
      </c>
      <c r="H581" s="1">
        <v>54.42</v>
      </c>
      <c r="I581" s="1" t="s">
        <v>190</v>
      </c>
      <c r="J581" s="1" t="s">
        <v>191</v>
      </c>
      <c r="K581" s="1" t="s">
        <v>119</v>
      </c>
      <c r="L581" s="1" t="s">
        <v>59</v>
      </c>
      <c r="M581" s="1" t="s">
        <v>192</v>
      </c>
      <c r="N581" s="1" t="s">
        <v>121</v>
      </c>
      <c r="O5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2" spans="1:15" x14ac:dyDescent="0.25">
      <c r="A582">
        <v>10843</v>
      </c>
      <c r="B582" s="1" t="s">
        <v>75</v>
      </c>
      <c r="C582">
        <v>4</v>
      </c>
      <c r="D582" s="5">
        <v>35816</v>
      </c>
      <c r="E582" s="5">
        <v>35844</v>
      </c>
      <c r="F582" s="5">
        <v>35821</v>
      </c>
      <c r="G582">
        <v>2</v>
      </c>
      <c r="H582" s="1">
        <v>9.26</v>
      </c>
      <c r="I582" s="1" t="s">
        <v>76</v>
      </c>
      <c r="J582" s="1" t="s">
        <v>77</v>
      </c>
      <c r="K582" s="1" t="s">
        <v>78</v>
      </c>
      <c r="L582" s="1" t="s">
        <v>59</v>
      </c>
      <c r="M582" s="1" t="s">
        <v>79</v>
      </c>
      <c r="N582" s="1" t="s">
        <v>61</v>
      </c>
      <c r="O5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3" spans="1:15" x14ac:dyDescent="0.25">
      <c r="A583">
        <v>10844</v>
      </c>
      <c r="B583" s="1" t="s">
        <v>340</v>
      </c>
      <c r="C583">
        <v>8</v>
      </c>
      <c r="D583" s="5">
        <v>35816</v>
      </c>
      <c r="E583" s="5">
        <v>35844</v>
      </c>
      <c r="F583" s="5">
        <v>35821</v>
      </c>
      <c r="G583">
        <v>2</v>
      </c>
      <c r="H583" s="1">
        <v>25.22</v>
      </c>
      <c r="I583" s="1" t="s">
        <v>341</v>
      </c>
      <c r="J583" s="1" t="s">
        <v>342</v>
      </c>
      <c r="K583" s="1" t="s">
        <v>343</v>
      </c>
      <c r="L583" s="1" t="s">
        <v>59</v>
      </c>
      <c r="M583" s="1" t="s">
        <v>344</v>
      </c>
      <c r="N583" s="1" t="s">
        <v>115</v>
      </c>
      <c r="O5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4" spans="1:15" x14ac:dyDescent="0.25">
      <c r="A584">
        <v>10845</v>
      </c>
      <c r="B584" s="1" t="s">
        <v>178</v>
      </c>
      <c r="C584">
        <v>8</v>
      </c>
      <c r="D584" s="5">
        <v>35816</v>
      </c>
      <c r="E584" s="5">
        <v>35830</v>
      </c>
      <c r="F584" s="5">
        <v>35825</v>
      </c>
      <c r="G584">
        <v>1</v>
      </c>
      <c r="H584" s="1">
        <v>212.98</v>
      </c>
      <c r="I584" s="1" t="s">
        <v>179</v>
      </c>
      <c r="J584" s="1" t="s">
        <v>180</v>
      </c>
      <c r="K584" s="1" t="s">
        <v>181</v>
      </c>
      <c r="L584" s="1" t="s">
        <v>59</v>
      </c>
      <c r="M584" s="1" t="s">
        <v>182</v>
      </c>
      <c r="N584" s="1" t="s">
        <v>67</v>
      </c>
      <c r="O5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5" spans="1:15" x14ac:dyDescent="0.25">
      <c r="A585">
        <v>10846</v>
      </c>
      <c r="B585" s="1" t="s">
        <v>80</v>
      </c>
      <c r="C585">
        <v>2</v>
      </c>
      <c r="D585" s="5">
        <v>35817</v>
      </c>
      <c r="E585" s="5">
        <v>35859</v>
      </c>
      <c r="F585" s="5">
        <v>35818</v>
      </c>
      <c r="G585">
        <v>3</v>
      </c>
      <c r="H585" s="1">
        <v>56.46</v>
      </c>
      <c r="I585" s="1" t="s">
        <v>81</v>
      </c>
      <c r="J585" s="1" t="s">
        <v>82</v>
      </c>
      <c r="K585" s="1" t="s">
        <v>83</v>
      </c>
      <c r="L585" s="1" t="s">
        <v>59</v>
      </c>
      <c r="M585" s="1" t="s">
        <v>84</v>
      </c>
      <c r="N585" s="1" t="s">
        <v>85</v>
      </c>
      <c r="O5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6" spans="1:15" x14ac:dyDescent="0.25">
      <c r="A586">
        <v>10847</v>
      </c>
      <c r="B586" s="1" t="s">
        <v>293</v>
      </c>
      <c r="C586">
        <v>4</v>
      </c>
      <c r="D586" s="5">
        <v>35817</v>
      </c>
      <c r="E586" s="5">
        <v>35831</v>
      </c>
      <c r="F586" s="5">
        <v>35836</v>
      </c>
      <c r="G586">
        <v>3</v>
      </c>
      <c r="H586" s="1">
        <v>487.57</v>
      </c>
      <c r="I586" s="1" t="s">
        <v>294</v>
      </c>
      <c r="J586" s="1" t="s">
        <v>295</v>
      </c>
      <c r="K586" s="1" t="s">
        <v>296</v>
      </c>
      <c r="L586" s="1" t="s">
        <v>297</v>
      </c>
      <c r="M586" s="1" t="s">
        <v>298</v>
      </c>
      <c r="N586" s="1" t="s">
        <v>137</v>
      </c>
      <c r="O586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587" spans="1:15" x14ac:dyDescent="0.25">
      <c r="A587">
        <v>10848</v>
      </c>
      <c r="B587" s="1" t="s">
        <v>432</v>
      </c>
      <c r="C587">
        <v>7</v>
      </c>
      <c r="D587" s="5">
        <v>35818</v>
      </c>
      <c r="E587" s="5">
        <v>35846</v>
      </c>
      <c r="F587" s="5">
        <v>35824</v>
      </c>
      <c r="G587">
        <v>2</v>
      </c>
      <c r="H587" s="1">
        <v>38.24</v>
      </c>
      <c r="I587" s="1" t="s">
        <v>433</v>
      </c>
      <c r="J587" s="1" t="s">
        <v>434</v>
      </c>
      <c r="K587" s="1" t="s">
        <v>232</v>
      </c>
      <c r="L587" s="1" t="s">
        <v>59</v>
      </c>
      <c r="M587" s="1" t="s">
        <v>435</v>
      </c>
      <c r="N587" s="1" t="s">
        <v>234</v>
      </c>
      <c r="O5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8" spans="1:15" x14ac:dyDescent="0.25">
      <c r="A588">
        <v>10849</v>
      </c>
      <c r="B588" s="1" t="s">
        <v>288</v>
      </c>
      <c r="C588">
        <v>9</v>
      </c>
      <c r="D588" s="5">
        <v>35818</v>
      </c>
      <c r="E588" s="5">
        <v>35846</v>
      </c>
      <c r="F588" s="5">
        <v>35825</v>
      </c>
      <c r="G588">
        <v>2</v>
      </c>
      <c r="H588" s="1">
        <v>0.56000000000000005</v>
      </c>
      <c r="I588" s="1" t="s">
        <v>289</v>
      </c>
      <c r="J588" s="1" t="s">
        <v>290</v>
      </c>
      <c r="K588" s="1" t="s">
        <v>291</v>
      </c>
      <c r="L588" s="1" t="s">
        <v>59</v>
      </c>
      <c r="M588" s="1" t="s">
        <v>292</v>
      </c>
      <c r="N588" s="1" t="s">
        <v>67</v>
      </c>
      <c r="O5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89" spans="1:15" x14ac:dyDescent="0.25">
      <c r="A589">
        <v>10850</v>
      </c>
      <c r="B589" s="1" t="s">
        <v>75</v>
      </c>
      <c r="C589">
        <v>1</v>
      </c>
      <c r="D589" s="5">
        <v>35818</v>
      </c>
      <c r="E589" s="5">
        <v>35860</v>
      </c>
      <c r="F589" s="5">
        <v>35825</v>
      </c>
      <c r="G589">
        <v>1</v>
      </c>
      <c r="H589" s="1">
        <v>49.19</v>
      </c>
      <c r="I589" s="1" t="s">
        <v>76</v>
      </c>
      <c r="J589" s="1" t="s">
        <v>77</v>
      </c>
      <c r="K589" s="1" t="s">
        <v>78</v>
      </c>
      <c r="L589" s="1" t="s">
        <v>59</v>
      </c>
      <c r="M589" s="1" t="s">
        <v>79</v>
      </c>
      <c r="N589" s="1" t="s">
        <v>61</v>
      </c>
      <c r="O5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0" spans="1:15" x14ac:dyDescent="0.25">
      <c r="A590">
        <v>10851</v>
      </c>
      <c r="B590" s="1" t="s">
        <v>220</v>
      </c>
      <c r="C590">
        <v>5</v>
      </c>
      <c r="D590" s="5">
        <v>35821</v>
      </c>
      <c r="E590" s="5">
        <v>35849</v>
      </c>
      <c r="F590" s="5">
        <v>35828</v>
      </c>
      <c r="G590">
        <v>1</v>
      </c>
      <c r="H590" s="1">
        <v>160.55000000000001</v>
      </c>
      <c r="I590" s="1" t="s">
        <v>221</v>
      </c>
      <c r="J590" s="1" t="s">
        <v>222</v>
      </c>
      <c r="K590" s="1" t="s">
        <v>71</v>
      </c>
      <c r="L590" s="1" t="s">
        <v>72</v>
      </c>
      <c r="M590" s="1" t="s">
        <v>223</v>
      </c>
      <c r="N590" s="1" t="s">
        <v>74</v>
      </c>
      <c r="O5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1" spans="1:15" x14ac:dyDescent="0.25">
      <c r="A591">
        <v>10852</v>
      </c>
      <c r="B591" s="1" t="s">
        <v>131</v>
      </c>
      <c r="C591">
        <v>8</v>
      </c>
      <c r="D591" s="5">
        <v>35821</v>
      </c>
      <c r="E591" s="5">
        <v>35835</v>
      </c>
      <c r="F591" s="5">
        <v>35825</v>
      </c>
      <c r="G591">
        <v>1</v>
      </c>
      <c r="H591" s="1">
        <v>174.05</v>
      </c>
      <c r="I591" s="1" t="s">
        <v>132</v>
      </c>
      <c r="J591" s="1" t="s">
        <v>133</v>
      </c>
      <c r="K591" s="1" t="s">
        <v>134</v>
      </c>
      <c r="L591" s="1" t="s">
        <v>135</v>
      </c>
      <c r="M591" s="1" t="s">
        <v>136</v>
      </c>
      <c r="N591" s="1" t="s">
        <v>137</v>
      </c>
      <c r="O5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2" spans="1:15" x14ac:dyDescent="0.25">
      <c r="A592">
        <v>10853</v>
      </c>
      <c r="B592" s="1" t="s">
        <v>450</v>
      </c>
      <c r="C592">
        <v>9</v>
      </c>
      <c r="D592" s="5">
        <v>35822</v>
      </c>
      <c r="E592" s="5">
        <v>35850</v>
      </c>
      <c r="F592" s="5">
        <v>35829</v>
      </c>
      <c r="G592">
        <v>2</v>
      </c>
      <c r="H592" s="1">
        <v>53.83</v>
      </c>
      <c r="I592" s="1" t="s">
        <v>451</v>
      </c>
      <c r="J592" s="1" t="s">
        <v>452</v>
      </c>
      <c r="K592" s="1" t="s">
        <v>453</v>
      </c>
      <c r="L592" s="1" t="s">
        <v>59</v>
      </c>
      <c r="M592" s="1" t="s">
        <v>454</v>
      </c>
      <c r="N592" s="1" t="s">
        <v>67</v>
      </c>
      <c r="O5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3" spans="1:15" x14ac:dyDescent="0.25">
      <c r="A593">
        <v>10854</v>
      </c>
      <c r="B593" s="1" t="s">
        <v>110</v>
      </c>
      <c r="C593">
        <v>3</v>
      </c>
      <c r="D593" s="5">
        <v>35822</v>
      </c>
      <c r="E593" s="5">
        <v>35850</v>
      </c>
      <c r="F593" s="5">
        <v>35831</v>
      </c>
      <c r="G593">
        <v>2</v>
      </c>
      <c r="H593" s="1">
        <v>100.22</v>
      </c>
      <c r="I593" s="1" t="s">
        <v>111</v>
      </c>
      <c r="J593" s="1" t="s">
        <v>112</v>
      </c>
      <c r="K593" s="1" t="s">
        <v>113</v>
      </c>
      <c r="L593" s="1" t="s">
        <v>59</v>
      </c>
      <c r="M593" s="1" t="s">
        <v>114</v>
      </c>
      <c r="N593" s="1" t="s">
        <v>115</v>
      </c>
      <c r="O5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4" spans="1:15" x14ac:dyDescent="0.25">
      <c r="A594">
        <v>10855</v>
      </c>
      <c r="B594" s="1" t="s">
        <v>254</v>
      </c>
      <c r="C594">
        <v>3</v>
      </c>
      <c r="D594" s="5">
        <v>35822</v>
      </c>
      <c r="E594" s="5">
        <v>35850</v>
      </c>
      <c r="F594" s="5">
        <v>35830</v>
      </c>
      <c r="G594">
        <v>1</v>
      </c>
      <c r="H594" s="1">
        <v>170.97</v>
      </c>
      <c r="I594" s="1" t="s">
        <v>255</v>
      </c>
      <c r="J594" s="1" t="s">
        <v>256</v>
      </c>
      <c r="K594" s="1" t="s">
        <v>257</v>
      </c>
      <c r="L594" s="1" t="s">
        <v>258</v>
      </c>
      <c r="M594" s="1" t="s">
        <v>259</v>
      </c>
      <c r="N594" s="1" t="s">
        <v>137</v>
      </c>
      <c r="O5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5" spans="1:15" x14ac:dyDescent="0.25">
      <c r="A595">
        <v>10856</v>
      </c>
      <c r="B595" s="1" t="s">
        <v>364</v>
      </c>
      <c r="C595">
        <v>3</v>
      </c>
      <c r="D595" s="5">
        <v>35823</v>
      </c>
      <c r="E595" s="5">
        <v>35851</v>
      </c>
      <c r="F595" s="5">
        <v>35836</v>
      </c>
      <c r="G595">
        <v>2</v>
      </c>
      <c r="H595" s="1">
        <v>58.43</v>
      </c>
      <c r="I595" s="1" t="s">
        <v>365</v>
      </c>
      <c r="J595" s="1" t="s">
        <v>366</v>
      </c>
      <c r="K595" s="1" t="s">
        <v>119</v>
      </c>
      <c r="L595" s="1" t="s">
        <v>59</v>
      </c>
      <c r="M595" s="1" t="s">
        <v>367</v>
      </c>
      <c r="N595" s="1" t="s">
        <v>121</v>
      </c>
      <c r="O5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6" spans="1:15" x14ac:dyDescent="0.25">
      <c r="A596">
        <v>10857</v>
      </c>
      <c r="B596" s="1" t="s">
        <v>198</v>
      </c>
      <c r="C596">
        <v>8</v>
      </c>
      <c r="D596" s="5">
        <v>35823</v>
      </c>
      <c r="E596" s="5">
        <v>35851</v>
      </c>
      <c r="F596" s="5">
        <v>35832</v>
      </c>
      <c r="G596">
        <v>2</v>
      </c>
      <c r="H596" s="1">
        <v>188.85</v>
      </c>
      <c r="I596" s="1" t="s">
        <v>199</v>
      </c>
      <c r="J596" s="1" t="s">
        <v>200</v>
      </c>
      <c r="K596" s="1" t="s">
        <v>201</v>
      </c>
      <c r="L596" s="1" t="s">
        <v>59</v>
      </c>
      <c r="M596" s="1" t="s">
        <v>202</v>
      </c>
      <c r="N596" s="1" t="s">
        <v>143</v>
      </c>
      <c r="O5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7" spans="1:15" x14ac:dyDescent="0.25">
      <c r="A597">
        <v>10858</v>
      </c>
      <c r="B597" s="1" t="s">
        <v>508</v>
      </c>
      <c r="C597">
        <v>2</v>
      </c>
      <c r="D597" s="5">
        <v>35824</v>
      </c>
      <c r="E597" s="5">
        <v>35852</v>
      </c>
      <c r="F597" s="5">
        <v>35829</v>
      </c>
      <c r="G597">
        <v>1</v>
      </c>
      <c r="H597" s="1">
        <v>52.51</v>
      </c>
      <c r="I597" s="1" t="s">
        <v>509</v>
      </c>
      <c r="J597" s="1" t="s">
        <v>510</v>
      </c>
      <c r="K597" s="1" t="s">
        <v>511</v>
      </c>
      <c r="L597" s="1" t="s">
        <v>59</v>
      </c>
      <c r="M597" s="1" t="s">
        <v>512</v>
      </c>
      <c r="N597" s="1" t="s">
        <v>61</v>
      </c>
      <c r="O59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8" spans="1:15" x14ac:dyDescent="0.25">
      <c r="A598">
        <v>10859</v>
      </c>
      <c r="B598" s="1" t="s">
        <v>155</v>
      </c>
      <c r="C598">
        <v>1</v>
      </c>
      <c r="D598" s="5">
        <v>35824</v>
      </c>
      <c r="E598" s="5">
        <v>35852</v>
      </c>
      <c r="F598" s="5">
        <v>35828</v>
      </c>
      <c r="G598">
        <v>2</v>
      </c>
      <c r="H598" s="1">
        <v>76.099999999999994</v>
      </c>
      <c r="I598" s="1" t="s">
        <v>156</v>
      </c>
      <c r="J598" s="1" t="s">
        <v>157</v>
      </c>
      <c r="K598" s="1" t="s">
        <v>158</v>
      </c>
      <c r="L598" s="1" t="s">
        <v>59</v>
      </c>
      <c r="M598" s="1" t="s">
        <v>159</v>
      </c>
      <c r="N598" s="1" t="s">
        <v>67</v>
      </c>
      <c r="O5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599" spans="1:15" x14ac:dyDescent="0.25">
      <c r="A599">
        <v>10860</v>
      </c>
      <c r="B599" s="1" t="s">
        <v>499</v>
      </c>
      <c r="C599">
        <v>3</v>
      </c>
      <c r="D599" s="5">
        <v>35824</v>
      </c>
      <c r="E599" s="5">
        <v>35852</v>
      </c>
      <c r="F599" s="5">
        <v>35830</v>
      </c>
      <c r="G599">
        <v>3</v>
      </c>
      <c r="H599" s="1">
        <v>19.260000000000002</v>
      </c>
      <c r="I599" s="1" t="s">
        <v>500</v>
      </c>
      <c r="J599" s="1" t="s">
        <v>501</v>
      </c>
      <c r="K599" s="1" t="s">
        <v>277</v>
      </c>
      <c r="L599" s="1" t="s">
        <v>59</v>
      </c>
      <c r="M599" s="1" t="s">
        <v>278</v>
      </c>
      <c r="N599" s="1" t="s">
        <v>61</v>
      </c>
      <c r="O59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0" spans="1:15" x14ac:dyDescent="0.25">
      <c r="A600">
        <v>10861</v>
      </c>
      <c r="B600" s="1" t="s">
        <v>166</v>
      </c>
      <c r="C600">
        <v>4</v>
      </c>
      <c r="D600" s="5">
        <v>35825</v>
      </c>
      <c r="E600" s="5">
        <v>35853</v>
      </c>
      <c r="F600" s="5">
        <v>35843</v>
      </c>
      <c r="G600">
        <v>2</v>
      </c>
      <c r="H600" s="1">
        <v>14.93</v>
      </c>
      <c r="I600" s="1" t="s">
        <v>167</v>
      </c>
      <c r="J600" s="1" t="s">
        <v>168</v>
      </c>
      <c r="K600" s="1" t="s">
        <v>169</v>
      </c>
      <c r="L600" s="1" t="s">
        <v>170</v>
      </c>
      <c r="M600" s="1" t="s">
        <v>171</v>
      </c>
      <c r="N600" s="1" t="s">
        <v>137</v>
      </c>
      <c r="O6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1" spans="1:15" x14ac:dyDescent="0.25">
      <c r="A601">
        <v>10862</v>
      </c>
      <c r="B601" s="1" t="s">
        <v>203</v>
      </c>
      <c r="C601">
        <v>8</v>
      </c>
      <c r="D601" s="5">
        <v>35825</v>
      </c>
      <c r="E601" s="5">
        <v>35867</v>
      </c>
      <c r="F601" s="5">
        <v>35828</v>
      </c>
      <c r="G601">
        <v>2</v>
      </c>
      <c r="H601" s="1">
        <v>53.23</v>
      </c>
      <c r="I601" s="1" t="s">
        <v>204</v>
      </c>
      <c r="J601" s="1" t="s">
        <v>205</v>
      </c>
      <c r="K601" s="1" t="s">
        <v>206</v>
      </c>
      <c r="L601" s="1" t="s">
        <v>59</v>
      </c>
      <c r="M601" s="1" t="s">
        <v>207</v>
      </c>
      <c r="N601" s="1" t="s">
        <v>67</v>
      </c>
      <c r="O6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2" spans="1:15" x14ac:dyDescent="0.25">
      <c r="A602">
        <v>10863</v>
      </c>
      <c r="B602" s="1" t="s">
        <v>103</v>
      </c>
      <c r="C602">
        <v>4</v>
      </c>
      <c r="D602" s="5">
        <v>35828</v>
      </c>
      <c r="E602" s="5">
        <v>35856</v>
      </c>
      <c r="F602" s="5">
        <v>35843</v>
      </c>
      <c r="G602">
        <v>2</v>
      </c>
      <c r="H602" s="1">
        <v>30.26</v>
      </c>
      <c r="I602" s="1" t="s">
        <v>104</v>
      </c>
      <c r="J602" s="1" t="s">
        <v>105</v>
      </c>
      <c r="K602" s="1" t="s">
        <v>106</v>
      </c>
      <c r="L602" s="1" t="s">
        <v>107</v>
      </c>
      <c r="M602" s="1" t="s">
        <v>108</v>
      </c>
      <c r="N602" s="1" t="s">
        <v>109</v>
      </c>
      <c r="O6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3" spans="1:15" x14ac:dyDescent="0.25">
      <c r="A603">
        <v>10864</v>
      </c>
      <c r="B603" s="1" t="s">
        <v>345</v>
      </c>
      <c r="C603">
        <v>4</v>
      </c>
      <c r="D603" s="5">
        <v>35828</v>
      </c>
      <c r="E603" s="5">
        <v>35856</v>
      </c>
      <c r="F603" s="5">
        <v>35835</v>
      </c>
      <c r="G603">
        <v>2</v>
      </c>
      <c r="H603" s="1">
        <v>3.04</v>
      </c>
      <c r="I603" s="1" t="s">
        <v>346</v>
      </c>
      <c r="J603" s="1" t="s">
        <v>347</v>
      </c>
      <c r="K603" s="1" t="s">
        <v>348</v>
      </c>
      <c r="L603" s="1" t="s">
        <v>349</v>
      </c>
      <c r="M603" s="1" t="s">
        <v>350</v>
      </c>
      <c r="N603" s="1" t="s">
        <v>234</v>
      </c>
      <c r="O6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4" spans="1:15" x14ac:dyDescent="0.25">
      <c r="A604">
        <v>10865</v>
      </c>
      <c r="B604" s="1" t="s">
        <v>178</v>
      </c>
      <c r="C604">
        <v>2</v>
      </c>
      <c r="D604" s="5">
        <v>35828</v>
      </c>
      <c r="E604" s="5">
        <v>35842</v>
      </c>
      <c r="F604" s="5">
        <v>35838</v>
      </c>
      <c r="G604">
        <v>1</v>
      </c>
      <c r="H604" s="1">
        <v>348.14</v>
      </c>
      <c r="I604" s="1" t="s">
        <v>179</v>
      </c>
      <c r="J604" s="1" t="s">
        <v>180</v>
      </c>
      <c r="K604" s="1" t="s">
        <v>181</v>
      </c>
      <c r="L604" s="1" t="s">
        <v>59</v>
      </c>
      <c r="M604" s="1" t="s">
        <v>182</v>
      </c>
      <c r="N604" s="1" t="s">
        <v>67</v>
      </c>
      <c r="O60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5" spans="1:15" x14ac:dyDescent="0.25">
      <c r="A605">
        <v>10866</v>
      </c>
      <c r="B605" s="1" t="s">
        <v>198</v>
      </c>
      <c r="C605">
        <v>5</v>
      </c>
      <c r="D605" s="5">
        <v>35829</v>
      </c>
      <c r="E605" s="5">
        <v>35857</v>
      </c>
      <c r="F605" s="5">
        <v>35838</v>
      </c>
      <c r="G605">
        <v>1</v>
      </c>
      <c r="H605" s="1">
        <v>109.11</v>
      </c>
      <c r="I605" s="1" t="s">
        <v>199</v>
      </c>
      <c r="J605" s="1" t="s">
        <v>200</v>
      </c>
      <c r="K605" s="1" t="s">
        <v>201</v>
      </c>
      <c r="L605" s="1" t="s">
        <v>59</v>
      </c>
      <c r="M605" s="1" t="s">
        <v>202</v>
      </c>
      <c r="N605" s="1" t="s">
        <v>143</v>
      </c>
      <c r="O6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6" spans="1:15" x14ac:dyDescent="0.25">
      <c r="A606">
        <v>10867</v>
      </c>
      <c r="B606" s="1" t="s">
        <v>260</v>
      </c>
      <c r="C606">
        <v>6</v>
      </c>
      <c r="D606" s="5">
        <v>35829</v>
      </c>
      <c r="E606" s="5">
        <v>35871</v>
      </c>
      <c r="F606" s="5">
        <v>35837</v>
      </c>
      <c r="G606">
        <v>1</v>
      </c>
      <c r="H606" s="1">
        <v>1.93</v>
      </c>
      <c r="I606" s="1" t="s">
        <v>261</v>
      </c>
      <c r="J606" s="1" t="s">
        <v>262</v>
      </c>
      <c r="K606" s="1" t="s">
        <v>263</v>
      </c>
      <c r="L606" s="1" t="s">
        <v>264</v>
      </c>
      <c r="M606" s="1" t="s">
        <v>265</v>
      </c>
      <c r="N606" s="1" t="s">
        <v>137</v>
      </c>
      <c r="O60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7" spans="1:15" x14ac:dyDescent="0.25">
      <c r="A607">
        <v>10868</v>
      </c>
      <c r="B607" s="1" t="s">
        <v>378</v>
      </c>
      <c r="C607">
        <v>7</v>
      </c>
      <c r="D607" s="5">
        <v>35830</v>
      </c>
      <c r="E607" s="5">
        <v>35858</v>
      </c>
      <c r="F607" s="5">
        <v>35849</v>
      </c>
      <c r="G607">
        <v>2</v>
      </c>
      <c r="H607" s="1">
        <v>191.27</v>
      </c>
      <c r="I607" s="1" t="s">
        <v>379</v>
      </c>
      <c r="J607" s="1" t="s">
        <v>380</v>
      </c>
      <c r="K607" s="1" t="s">
        <v>238</v>
      </c>
      <c r="L607" s="1" t="s">
        <v>101</v>
      </c>
      <c r="M607" s="1" t="s">
        <v>381</v>
      </c>
      <c r="N607" s="1" t="s">
        <v>74</v>
      </c>
      <c r="O60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8" spans="1:15" x14ac:dyDescent="0.25">
      <c r="A608">
        <v>10869</v>
      </c>
      <c r="B608" s="1" t="s">
        <v>351</v>
      </c>
      <c r="C608">
        <v>5</v>
      </c>
      <c r="D608" s="5">
        <v>35830</v>
      </c>
      <c r="E608" s="5">
        <v>35858</v>
      </c>
      <c r="F608" s="5">
        <v>35835</v>
      </c>
      <c r="G608">
        <v>1</v>
      </c>
      <c r="H608" s="1">
        <v>143.28</v>
      </c>
      <c r="I608" s="1" t="s">
        <v>352</v>
      </c>
      <c r="J608" s="1" t="s">
        <v>353</v>
      </c>
      <c r="K608" s="1" t="s">
        <v>232</v>
      </c>
      <c r="L608" s="1" t="s">
        <v>59</v>
      </c>
      <c r="M608" s="1" t="s">
        <v>354</v>
      </c>
      <c r="N608" s="1" t="s">
        <v>234</v>
      </c>
      <c r="O6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09" spans="1:15" x14ac:dyDescent="0.25">
      <c r="A609">
        <v>10870</v>
      </c>
      <c r="B609" s="1" t="s">
        <v>382</v>
      </c>
      <c r="C609">
        <v>5</v>
      </c>
      <c r="D609" s="5">
        <v>35830</v>
      </c>
      <c r="E609" s="5">
        <v>35858</v>
      </c>
      <c r="F609" s="5">
        <v>35839</v>
      </c>
      <c r="G609">
        <v>3</v>
      </c>
      <c r="H609" s="1">
        <v>12.04</v>
      </c>
      <c r="I609" s="1" t="s">
        <v>383</v>
      </c>
      <c r="J609" s="1" t="s">
        <v>384</v>
      </c>
      <c r="K609" s="1" t="s">
        <v>385</v>
      </c>
      <c r="L609" s="1" t="s">
        <v>59</v>
      </c>
      <c r="M609" s="1" t="s">
        <v>386</v>
      </c>
      <c r="N609" s="1" t="s">
        <v>387</v>
      </c>
      <c r="O6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0" spans="1:15" x14ac:dyDescent="0.25">
      <c r="A610">
        <v>10871</v>
      </c>
      <c r="B610" s="1" t="s">
        <v>309</v>
      </c>
      <c r="C610">
        <v>9</v>
      </c>
      <c r="D610" s="5">
        <v>35831</v>
      </c>
      <c r="E610" s="5">
        <v>35859</v>
      </c>
      <c r="F610" s="5">
        <v>35836</v>
      </c>
      <c r="G610">
        <v>2</v>
      </c>
      <c r="H610" s="1">
        <v>112.27</v>
      </c>
      <c r="I610" s="1" t="s">
        <v>310</v>
      </c>
      <c r="J610" s="1" t="s">
        <v>311</v>
      </c>
      <c r="K610" s="1" t="s">
        <v>312</v>
      </c>
      <c r="L610" s="1" t="s">
        <v>59</v>
      </c>
      <c r="M610" s="1" t="s">
        <v>313</v>
      </c>
      <c r="N610" s="1" t="s">
        <v>61</v>
      </c>
      <c r="O6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1" spans="1:15" x14ac:dyDescent="0.25">
      <c r="A611">
        <v>10872</v>
      </c>
      <c r="B611" s="1" t="s">
        <v>249</v>
      </c>
      <c r="C611">
        <v>5</v>
      </c>
      <c r="D611" s="5">
        <v>35831</v>
      </c>
      <c r="E611" s="5">
        <v>35859</v>
      </c>
      <c r="F611" s="5">
        <v>35835</v>
      </c>
      <c r="G611">
        <v>2</v>
      </c>
      <c r="H611" s="1">
        <v>175.32</v>
      </c>
      <c r="I611" s="1" t="s">
        <v>250</v>
      </c>
      <c r="J611" s="1" t="s">
        <v>251</v>
      </c>
      <c r="K611" s="1" t="s">
        <v>252</v>
      </c>
      <c r="L611" s="1" t="s">
        <v>59</v>
      </c>
      <c r="M611" s="1" t="s">
        <v>253</v>
      </c>
      <c r="N611" s="1" t="s">
        <v>213</v>
      </c>
      <c r="O6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2" spans="1:15" x14ac:dyDescent="0.25">
      <c r="A612">
        <v>10873</v>
      </c>
      <c r="B612" s="1" t="s">
        <v>483</v>
      </c>
      <c r="C612">
        <v>4</v>
      </c>
      <c r="D612" s="5">
        <v>35832</v>
      </c>
      <c r="E612" s="5">
        <v>35860</v>
      </c>
      <c r="F612" s="5">
        <v>35835</v>
      </c>
      <c r="G612">
        <v>1</v>
      </c>
      <c r="H612" s="1">
        <v>0.82</v>
      </c>
      <c r="I612" s="1" t="s">
        <v>484</v>
      </c>
      <c r="J612" s="1" t="s">
        <v>485</v>
      </c>
      <c r="K612" s="1" t="s">
        <v>486</v>
      </c>
      <c r="L612" s="1" t="s">
        <v>59</v>
      </c>
      <c r="M612" s="1" t="s">
        <v>487</v>
      </c>
      <c r="N612" s="1" t="s">
        <v>154</v>
      </c>
      <c r="O6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3" spans="1:15" x14ac:dyDescent="0.25">
      <c r="A613">
        <v>10874</v>
      </c>
      <c r="B613" s="1" t="s">
        <v>249</v>
      </c>
      <c r="C613">
        <v>5</v>
      </c>
      <c r="D613" s="5">
        <v>35832</v>
      </c>
      <c r="E613" s="5">
        <v>35860</v>
      </c>
      <c r="F613" s="5">
        <v>35837</v>
      </c>
      <c r="G613">
        <v>2</v>
      </c>
      <c r="H613" s="1">
        <v>19.579999999999998</v>
      </c>
      <c r="I613" s="1" t="s">
        <v>250</v>
      </c>
      <c r="J613" s="1" t="s">
        <v>251</v>
      </c>
      <c r="K613" s="1" t="s">
        <v>252</v>
      </c>
      <c r="L613" s="1" t="s">
        <v>59</v>
      </c>
      <c r="M613" s="1" t="s">
        <v>253</v>
      </c>
      <c r="N613" s="1" t="s">
        <v>213</v>
      </c>
      <c r="O6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4" spans="1:15" x14ac:dyDescent="0.25">
      <c r="A614">
        <v>10875</v>
      </c>
      <c r="B614" s="1" t="s">
        <v>198</v>
      </c>
      <c r="C614">
        <v>4</v>
      </c>
      <c r="D614" s="5">
        <v>35832</v>
      </c>
      <c r="E614" s="5">
        <v>35860</v>
      </c>
      <c r="F614" s="5">
        <v>35857</v>
      </c>
      <c r="G614">
        <v>2</v>
      </c>
      <c r="H614" s="1">
        <v>32.369999999999997</v>
      </c>
      <c r="I614" s="1" t="s">
        <v>199</v>
      </c>
      <c r="J614" s="1" t="s">
        <v>200</v>
      </c>
      <c r="K614" s="1" t="s">
        <v>201</v>
      </c>
      <c r="L614" s="1" t="s">
        <v>59</v>
      </c>
      <c r="M614" s="1" t="s">
        <v>202</v>
      </c>
      <c r="N614" s="1" t="s">
        <v>143</v>
      </c>
      <c r="O6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5" spans="1:15" x14ac:dyDescent="0.25">
      <c r="A615">
        <v>10876</v>
      </c>
      <c r="B615" s="1" t="s">
        <v>309</v>
      </c>
      <c r="C615">
        <v>7</v>
      </c>
      <c r="D615" s="5">
        <v>35835</v>
      </c>
      <c r="E615" s="5">
        <v>35863</v>
      </c>
      <c r="F615" s="5">
        <v>35838</v>
      </c>
      <c r="G615">
        <v>3</v>
      </c>
      <c r="H615" s="1">
        <v>60.42</v>
      </c>
      <c r="I615" s="1" t="s">
        <v>310</v>
      </c>
      <c r="J615" s="1" t="s">
        <v>311</v>
      </c>
      <c r="K615" s="1" t="s">
        <v>312</v>
      </c>
      <c r="L615" s="1" t="s">
        <v>59</v>
      </c>
      <c r="M615" s="1" t="s">
        <v>313</v>
      </c>
      <c r="N615" s="1" t="s">
        <v>61</v>
      </c>
      <c r="O61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6" spans="1:15" x14ac:dyDescent="0.25">
      <c r="A616">
        <v>10877</v>
      </c>
      <c r="B616" s="1" t="s">
        <v>220</v>
      </c>
      <c r="C616">
        <v>1</v>
      </c>
      <c r="D616" s="5">
        <v>35835</v>
      </c>
      <c r="E616" s="5">
        <v>35863</v>
      </c>
      <c r="F616" s="5">
        <v>35845</v>
      </c>
      <c r="G616">
        <v>1</v>
      </c>
      <c r="H616" s="1">
        <v>38.06</v>
      </c>
      <c r="I616" s="1" t="s">
        <v>221</v>
      </c>
      <c r="J616" s="1" t="s">
        <v>222</v>
      </c>
      <c r="K616" s="1" t="s">
        <v>71</v>
      </c>
      <c r="L616" s="1" t="s">
        <v>72</v>
      </c>
      <c r="M616" s="1" t="s">
        <v>223</v>
      </c>
      <c r="N616" s="1" t="s">
        <v>74</v>
      </c>
      <c r="O6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7" spans="1:15" x14ac:dyDescent="0.25">
      <c r="A617">
        <v>10878</v>
      </c>
      <c r="B617" s="1" t="s">
        <v>178</v>
      </c>
      <c r="C617">
        <v>4</v>
      </c>
      <c r="D617" s="5">
        <v>35836</v>
      </c>
      <c r="E617" s="5">
        <v>35864</v>
      </c>
      <c r="F617" s="5">
        <v>35838</v>
      </c>
      <c r="G617">
        <v>1</v>
      </c>
      <c r="H617" s="1">
        <v>46.69</v>
      </c>
      <c r="I617" s="1" t="s">
        <v>179</v>
      </c>
      <c r="J617" s="1" t="s">
        <v>180</v>
      </c>
      <c r="K617" s="1" t="s">
        <v>181</v>
      </c>
      <c r="L617" s="1" t="s">
        <v>59</v>
      </c>
      <c r="M617" s="1" t="s">
        <v>182</v>
      </c>
      <c r="N617" s="1" t="s">
        <v>67</v>
      </c>
      <c r="O6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8" spans="1:15" x14ac:dyDescent="0.25">
      <c r="A618">
        <v>10879</v>
      </c>
      <c r="B618" s="1" t="s">
        <v>483</v>
      </c>
      <c r="C618">
        <v>3</v>
      </c>
      <c r="D618" s="5">
        <v>35836</v>
      </c>
      <c r="E618" s="5">
        <v>35864</v>
      </c>
      <c r="F618" s="5">
        <v>35838</v>
      </c>
      <c r="G618">
        <v>3</v>
      </c>
      <c r="H618" s="1">
        <v>8.5</v>
      </c>
      <c r="I618" s="1" t="s">
        <v>484</v>
      </c>
      <c r="J618" s="1" t="s">
        <v>485</v>
      </c>
      <c r="K618" s="1" t="s">
        <v>486</v>
      </c>
      <c r="L618" s="1" t="s">
        <v>59</v>
      </c>
      <c r="M618" s="1" t="s">
        <v>487</v>
      </c>
      <c r="N618" s="1" t="s">
        <v>154</v>
      </c>
      <c r="O61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19" spans="1:15" x14ac:dyDescent="0.25">
      <c r="A619">
        <v>10880</v>
      </c>
      <c r="B619" s="1" t="s">
        <v>138</v>
      </c>
      <c r="C619">
        <v>7</v>
      </c>
      <c r="D619" s="5">
        <v>35836</v>
      </c>
      <c r="E619" s="5">
        <v>35878</v>
      </c>
      <c r="F619" s="5">
        <v>35844</v>
      </c>
      <c r="G619">
        <v>1</v>
      </c>
      <c r="H619" s="1">
        <v>88.01</v>
      </c>
      <c r="I619" s="1" t="s">
        <v>139</v>
      </c>
      <c r="J619" s="1" t="s">
        <v>140</v>
      </c>
      <c r="K619" s="1" t="s">
        <v>141</v>
      </c>
      <c r="L619" s="1" t="s">
        <v>59</v>
      </c>
      <c r="M619" s="1" t="s">
        <v>142</v>
      </c>
      <c r="N619" s="1" t="s">
        <v>143</v>
      </c>
      <c r="O6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0" spans="1:15" x14ac:dyDescent="0.25">
      <c r="A620">
        <v>10881</v>
      </c>
      <c r="B620" s="1" t="s">
        <v>459</v>
      </c>
      <c r="C620">
        <v>4</v>
      </c>
      <c r="D620" s="5">
        <v>35837</v>
      </c>
      <c r="E620" s="5">
        <v>35865</v>
      </c>
      <c r="F620" s="5">
        <v>35844</v>
      </c>
      <c r="G620">
        <v>1</v>
      </c>
      <c r="H620" s="1">
        <v>2.84</v>
      </c>
      <c r="I620" s="1" t="s">
        <v>460</v>
      </c>
      <c r="J620" s="1" t="s">
        <v>461</v>
      </c>
      <c r="K620" s="1" t="s">
        <v>419</v>
      </c>
      <c r="L620" s="1" t="s">
        <v>59</v>
      </c>
      <c r="M620" s="1" t="s">
        <v>420</v>
      </c>
      <c r="N620" s="1" t="s">
        <v>421</v>
      </c>
      <c r="O6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1" spans="1:15" x14ac:dyDescent="0.25">
      <c r="A621">
        <v>10882</v>
      </c>
      <c r="B621" s="1" t="s">
        <v>293</v>
      </c>
      <c r="C621">
        <v>4</v>
      </c>
      <c r="D621" s="5">
        <v>35837</v>
      </c>
      <c r="E621" s="5">
        <v>35865</v>
      </c>
      <c r="F621" s="5">
        <v>35846</v>
      </c>
      <c r="G621">
        <v>3</v>
      </c>
      <c r="H621" s="1">
        <v>23.1</v>
      </c>
      <c r="I621" s="1" t="s">
        <v>294</v>
      </c>
      <c r="J621" s="1" t="s">
        <v>295</v>
      </c>
      <c r="K621" s="1" t="s">
        <v>296</v>
      </c>
      <c r="L621" s="1" t="s">
        <v>297</v>
      </c>
      <c r="M621" s="1" t="s">
        <v>298</v>
      </c>
      <c r="N621" s="1" t="s">
        <v>137</v>
      </c>
      <c r="O6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2" spans="1:15" x14ac:dyDescent="0.25">
      <c r="A622">
        <v>10883</v>
      </c>
      <c r="B622" s="1" t="s">
        <v>260</v>
      </c>
      <c r="C622">
        <v>8</v>
      </c>
      <c r="D622" s="5">
        <v>35838</v>
      </c>
      <c r="E622" s="5">
        <v>35866</v>
      </c>
      <c r="F622" s="5">
        <v>35846</v>
      </c>
      <c r="G622">
        <v>3</v>
      </c>
      <c r="H622" s="1">
        <v>0.53</v>
      </c>
      <c r="I622" s="1" t="s">
        <v>261</v>
      </c>
      <c r="J622" s="1" t="s">
        <v>262</v>
      </c>
      <c r="K622" s="1" t="s">
        <v>263</v>
      </c>
      <c r="L622" s="1" t="s">
        <v>264</v>
      </c>
      <c r="M622" s="1" t="s">
        <v>265</v>
      </c>
      <c r="N622" s="1" t="s">
        <v>137</v>
      </c>
      <c r="O6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3" spans="1:15" x14ac:dyDescent="0.25">
      <c r="A623">
        <v>10884</v>
      </c>
      <c r="B623" s="1" t="s">
        <v>477</v>
      </c>
      <c r="C623">
        <v>4</v>
      </c>
      <c r="D623" s="5">
        <v>35838</v>
      </c>
      <c r="E623" s="5">
        <v>35866</v>
      </c>
      <c r="F623" s="5">
        <v>35839</v>
      </c>
      <c r="G623">
        <v>2</v>
      </c>
      <c r="H623" s="1">
        <v>90.97</v>
      </c>
      <c r="I623" s="1" t="s">
        <v>478</v>
      </c>
      <c r="J623" s="1" t="s">
        <v>479</v>
      </c>
      <c r="K623" s="1" t="s">
        <v>480</v>
      </c>
      <c r="L623" s="1" t="s">
        <v>481</v>
      </c>
      <c r="M623" s="1" t="s">
        <v>482</v>
      </c>
      <c r="N623" s="1" t="s">
        <v>137</v>
      </c>
      <c r="O6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4" spans="1:15" x14ac:dyDescent="0.25">
      <c r="A624">
        <v>10885</v>
      </c>
      <c r="B624" s="1" t="s">
        <v>80</v>
      </c>
      <c r="C624">
        <v>6</v>
      </c>
      <c r="D624" s="5">
        <v>35838</v>
      </c>
      <c r="E624" s="5">
        <v>35866</v>
      </c>
      <c r="F624" s="5">
        <v>35844</v>
      </c>
      <c r="G624">
        <v>3</v>
      </c>
      <c r="H624" s="1">
        <v>5.64</v>
      </c>
      <c r="I624" s="1" t="s">
        <v>81</v>
      </c>
      <c r="J624" s="1" t="s">
        <v>82</v>
      </c>
      <c r="K624" s="1" t="s">
        <v>83</v>
      </c>
      <c r="L624" s="1" t="s">
        <v>59</v>
      </c>
      <c r="M624" s="1" t="s">
        <v>84</v>
      </c>
      <c r="N624" s="1" t="s">
        <v>85</v>
      </c>
      <c r="O6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5" spans="1:15" x14ac:dyDescent="0.25">
      <c r="A625">
        <v>10886</v>
      </c>
      <c r="B625" s="1" t="s">
        <v>68</v>
      </c>
      <c r="C625">
        <v>1</v>
      </c>
      <c r="D625" s="5">
        <v>35839</v>
      </c>
      <c r="E625" s="5">
        <v>35867</v>
      </c>
      <c r="F625" s="5">
        <v>35856</v>
      </c>
      <c r="G625">
        <v>1</v>
      </c>
      <c r="H625" s="1">
        <v>4.99</v>
      </c>
      <c r="I625" s="1" t="s">
        <v>69</v>
      </c>
      <c r="J625" s="1" t="s">
        <v>70</v>
      </c>
      <c r="K625" s="1" t="s">
        <v>71</v>
      </c>
      <c r="L625" s="1" t="s">
        <v>72</v>
      </c>
      <c r="M625" s="1" t="s">
        <v>73</v>
      </c>
      <c r="N625" s="1" t="s">
        <v>74</v>
      </c>
      <c r="O6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6" spans="1:15" x14ac:dyDescent="0.25">
      <c r="A626">
        <v>10887</v>
      </c>
      <c r="B626" s="1" t="s">
        <v>368</v>
      </c>
      <c r="C626">
        <v>8</v>
      </c>
      <c r="D626" s="5">
        <v>35839</v>
      </c>
      <c r="E626" s="5">
        <v>35867</v>
      </c>
      <c r="F626" s="5">
        <v>35842</v>
      </c>
      <c r="G626">
        <v>3</v>
      </c>
      <c r="H626" s="1">
        <v>1.25</v>
      </c>
      <c r="I626" s="1" t="s">
        <v>369</v>
      </c>
      <c r="J626" s="1" t="s">
        <v>370</v>
      </c>
      <c r="K626" s="1" t="s">
        <v>371</v>
      </c>
      <c r="L626" s="1" t="s">
        <v>59</v>
      </c>
      <c r="M626" s="1" t="s">
        <v>372</v>
      </c>
      <c r="N626" s="1" t="s">
        <v>213</v>
      </c>
      <c r="O6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7" spans="1:15" x14ac:dyDescent="0.25">
      <c r="A627">
        <v>10888</v>
      </c>
      <c r="B627" s="1" t="s">
        <v>249</v>
      </c>
      <c r="C627">
        <v>1</v>
      </c>
      <c r="D627" s="5">
        <v>35842</v>
      </c>
      <c r="E627" s="5">
        <v>35870</v>
      </c>
      <c r="F627" s="5">
        <v>35849</v>
      </c>
      <c r="G627">
        <v>2</v>
      </c>
      <c r="H627" s="1">
        <v>51.87</v>
      </c>
      <c r="I627" s="1" t="s">
        <v>250</v>
      </c>
      <c r="J627" s="1" t="s">
        <v>251</v>
      </c>
      <c r="K627" s="1" t="s">
        <v>252</v>
      </c>
      <c r="L627" s="1" t="s">
        <v>59</v>
      </c>
      <c r="M627" s="1" t="s">
        <v>253</v>
      </c>
      <c r="N627" s="1" t="s">
        <v>213</v>
      </c>
      <c r="O6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8" spans="1:15" x14ac:dyDescent="0.25">
      <c r="A628">
        <v>10889</v>
      </c>
      <c r="B628" s="1" t="s">
        <v>131</v>
      </c>
      <c r="C628">
        <v>9</v>
      </c>
      <c r="D628" s="5">
        <v>35842</v>
      </c>
      <c r="E628" s="5">
        <v>35870</v>
      </c>
      <c r="F628" s="5">
        <v>35849</v>
      </c>
      <c r="G628">
        <v>3</v>
      </c>
      <c r="H628" s="1">
        <v>280.61</v>
      </c>
      <c r="I628" s="1" t="s">
        <v>132</v>
      </c>
      <c r="J628" s="1" t="s">
        <v>133</v>
      </c>
      <c r="K628" s="1" t="s">
        <v>134</v>
      </c>
      <c r="L628" s="1" t="s">
        <v>135</v>
      </c>
      <c r="M628" s="1" t="s">
        <v>136</v>
      </c>
      <c r="N628" s="1" t="s">
        <v>137</v>
      </c>
      <c r="O6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29" spans="1:15" x14ac:dyDescent="0.25">
      <c r="A629">
        <v>10890</v>
      </c>
      <c r="B629" s="1" t="s">
        <v>274</v>
      </c>
      <c r="C629">
        <v>7</v>
      </c>
      <c r="D629" s="5">
        <v>35842</v>
      </c>
      <c r="E629" s="5">
        <v>35870</v>
      </c>
      <c r="F629" s="5">
        <v>35844</v>
      </c>
      <c r="G629">
        <v>1</v>
      </c>
      <c r="H629" s="1">
        <v>32.76</v>
      </c>
      <c r="I629" s="1" t="s">
        <v>275</v>
      </c>
      <c r="J629" s="1" t="s">
        <v>276</v>
      </c>
      <c r="K629" s="1" t="s">
        <v>277</v>
      </c>
      <c r="L629" s="1" t="s">
        <v>59</v>
      </c>
      <c r="M629" s="1" t="s">
        <v>278</v>
      </c>
      <c r="N629" s="1" t="s">
        <v>61</v>
      </c>
      <c r="O6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0" spans="1:15" x14ac:dyDescent="0.25">
      <c r="A630">
        <v>10891</v>
      </c>
      <c r="B630" s="1" t="s">
        <v>203</v>
      </c>
      <c r="C630">
        <v>7</v>
      </c>
      <c r="D630" s="5">
        <v>35843</v>
      </c>
      <c r="E630" s="5">
        <v>35871</v>
      </c>
      <c r="F630" s="5">
        <v>35845</v>
      </c>
      <c r="G630">
        <v>2</v>
      </c>
      <c r="H630" s="1">
        <v>20.37</v>
      </c>
      <c r="I630" s="1" t="s">
        <v>204</v>
      </c>
      <c r="J630" s="1" t="s">
        <v>205</v>
      </c>
      <c r="K630" s="1" t="s">
        <v>206</v>
      </c>
      <c r="L630" s="1" t="s">
        <v>59</v>
      </c>
      <c r="M630" s="1" t="s">
        <v>207</v>
      </c>
      <c r="N630" s="1" t="s">
        <v>67</v>
      </c>
      <c r="O6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1" spans="1:15" x14ac:dyDescent="0.25">
      <c r="A631">
        <v>10892</v>
      </c>
      <c r="B631" s="1" t="s">
        <v>467</v>
      </c>
      <c r="C631">
        <v>4</v>
      </c>
      <c r="D631" s="5">
        <v>35843</v>
      </c>
      <c r="E631" s="5">
        <v>35871</v>
      </c>
      <c r="F631" s="5">
        <v>35845</v>
      </c>
      <c r="G631">
        <v>2</v>
      </c>
      <c r="H631" s="1">
        <v>120.27</v>
      </c>
      <c r="I631" s="1" t="s">
        <v>468</v>
      </c>
      <c r="J631" s="1" t="s">
        <v>469</v>
      </c>
      <c r="K631" s="1" t="s">
        <v>470</v>
      </c>
      <c r="L631" s="1" t="s">
        <v>59</v>
      </c>
      <c r="M631" s="1" t="s">
        <v>471</v>
      </c>
      <c r="N631" s="1" t="s">
        <v>85</v>
      </c>
      <c r="O6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2" spans="1:15" x14ac:dyDescent="0.25">
      <c r="A632">
        <v>10893</v>
      </c>
      <c r="B632" s="1" t="s">
        <v>288</v>
      </c>
      <c r="C632">
        <v>9</v>
      </c>
      <c r="D632" s="5">
        <v>35844</v>
      </c>
      <c r="E632" s="5">
        <v>35872</v>
      </c>
      <c r="F632" s="5">
        <v>35846</v>
      </c>
      <c r="G632">
        <v>2</v>
      </c>
      <c r="H632" s="1">
        <v>77.78</v>
      </c>
      <c r="I632" s="1" t="s">
        <v>289</v>
      </c>
      <c r="J632" s="1" t="s">
        <v>290</v>
      </c>
      <c r="K632" s="1" t="s">
        <v>291</v>
      </c>
      <c r="L632" s="1" t="s">
        <v>59</v>
      </c>
      <c r="M632" s="1" t="s">
        <v>292</v>
      </c>
      <c r="N632" s="1" t="s">
        <v>67</v>
      </c>
      <c r="O6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3" spans="1:15" x14ac:dyDescent="0.25">
      <c r="A633">
        <v>10894</v>
      </c>
      <c r="B633" s="1" t="s">
        <v>293</v>
      </c>
      <c r="C633">
        <v>1</v>
      </c>
      <c r="D633" s="5">
        <v>35844</v>
      </c>
      <c r="E633" s="5">
        <v>35872</v>
      </c>
      <c r="F633" s="5">
        <v>35846</v>
      </c>
      <c r="G633">
        <v>1</v>
      </c>
      <c r="H633" s="1">
        <v>116.13</v>
      </c>
      <c r="I633" s="1" t="s">
        <v>294</v>
      </c>
      <c r="J633" s="1" t="s">
        <v>295</v>
      </c>
      <c r="K633" s="1" t="s">
        <v>296</v>
      </c>
      <c r="L633" s="1" t="s">
        <v>297</v>
      </c>
      <c r="M633" s="1" t="s">
        <v>298</v>
      </c>
      <c r="N633" s="1" t="s">
        <v>137</v>
      </c>
      <c r="O6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4" spans="1:15" x14ac:dyDescent="0.25">
      <c r="A634">
        <v>10895</v>
      </c>
      <c r="B634" s="1" t="s">
        <v>110</v>
      </c>
      <c r="C634">
        <v>3</v>
      </c>
      <c r="D634" s="5">
        <v>35844</v>
      </c>
      <c r="E634" s="5">
        <v>35872</v>
      </c>
      <c r="F634" s="5">
        <v>35849</v>
      </c>
      <c r="G634">
        <v>1</v>
      </c>
      <c r="H634" s="1">
        <v>162.75</v>
      </c>
      <c r="I634" s="1" t="s">
        <v>111</v>
      </c>
      <c r="J634" s="1" t="s">
        <v>112</v>
      </c>
      <c r="K634" s="1" t="s">
        <v>113</v>
      </c>
      <c r="L634" s="1" t="s">
        <v>59</v>
      </c>
      <c r="M634" s="1" t="s">
        <v>114</v>
      </c>
      <c r="N634" s="1" t="s">
        <v>115</v>
      </c>
      <c r="O63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5" spans="1:15" x14ac:dyDescent="0.25">
      <c r="A635">
        <v>10896</v>
      </c>
      <c r="B635" s="1" t="s">
        <v>467</v>
      </c>
      <c r="C635">
        <v>7</v>
      </c>
      <c r="D635" s="5">
        <v>35845</v>
      </c>
      <c r="E635" s="5">
        <v>35873</v>
      </c>
      <c r="F635" s="5">
        <v>35853</v>
      </c>
      <c r="G635">
        <v>3</v>
      </c>
      <c r="H635" s="1">
        <v>32.450000000000003</v>
      </c>
      <c r="I635" s="1" t="s">
        <v>468</v>
      </c>
      <c r="J635" s="1" t="s">
        <v>469</v>
      </c>
      <c r="K635" s="1" t="s">
        <v>470</v>
      </c>
      <c r="L635" s="1" t="s">
        <v>59</v>
      </c>
      <c r="M635" s="1" t="s">
        <v>471</v>
      </c>
      <c r="N635" s="1" t="s">
        <v>85</v>
      </c>
      <c r="O6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6" spans="1:15" x14ac:dyDescent="0.25">
      <c r="A636">
        <v>10898</v>
      </c>
      <c r="B636" s="1" t="s">
        <v>416</v>
      </c>
      <c r="C636">
        <v>4</v>
      </c>
      <c r="D636" s="5">
        <v>35846</v>
      </c>
      <c r="E636" s="5">
        <v>35874</v>
      </c>
      <c r="F636" s="5">
        <v>35860</v>
      </c>
      <c r="G636">
        <v>2</v>
      </c>
      <c r="H636" s="1">
        <v>1.27</v>
      </c>
      <c r="I636" s="1" t="s">
        <v>417</v>
      </c>
      <c r="J636" s="1" t="s">
        <v>418</v>
      </c>
      <c r="K636" s="1" t="s">
        <v>419</v>
      </c>
      <c r="L636" s="1" t="s">
        <v>59</v>
      </c>
      <c r="M636" s="1" t="s">
        <v>420</v>
      </c>
      <c r="N636" s="1" t="s">
        <v>421</v>
      </c>
      <c r="O6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7" spans="1:15" x14ac:dyDescent="0.25">
      <c r="A637">
        <v>10899</v>
      </c>
      <c r="B637" s="1" t="s">
        <v>214</v>
      </c>
      <c r="C637">
        <v>5</v>
      </c>
      <c r="D637" s="5">
        <v>35846</v>
      </c>
      <c r="E637" s="5">
        <v>35874</v>
      </c>
      <c r="F637" s="5">
        <v>35852</v>
      </c>
      <c r="G637">
        <v>3</v>
      </c>
      <c r="H637" s="1">
        <v>1.21</v>
      </c>
      <c r="I637" s="1" t="s">
        <v>215</v>
      </c>
      <c r="J637" s="1" t="s">
        <v>216</v>
      </c>
      <c r="K637" s="1" t="s">
        <v>217</v>
      </c>
      <c r="L637" s="1" t="s">
        <v>218</v>
      </c>
      <c r="M637" s="1" t="s">
        <v>219</v>
      </c>
      <c r="N637" s="1" t="s">
        <v>109</v>
      </c>
      <c r="O6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8" spans="1:15" x14ac:dyDescent="0.25">
      <c r="A638">
        <v>10900</v>
      </c>
      <c r="B638" s="1" t="s">
        <v>97</v>
      </c>
      <c r="C638">
        <v>1</v>
      </c>
      <c r="D638" s="5">
        <v>35846</v>
      </c>
      <c r="E638" s="5">
        <v>35874</v>
      </c>
      <c r="F638" s="5">
        <v>35858</v>
      </c>
      <c r="G638">
        <v>2</v>
      </c>
      <c r="H638" s="1">
        <v>1.66</v>
      </c>
      <c r="I638" s="1" t="s">
        <v>98</v>
      </c>
      <c r="J638" s="1" t="s">
        <v>99</v>
      </c>
      <c r="K638" s="1" t="s">
        <v>100</v>
      </c>
      <c r="L638" s="1" t="s">
        <v>101</v>
      </c>
      <c r="M638" s="1" t="s">
        <v>102</v>
      </c>
      <c r="N638" s="1" t="s">
        <v>74</v>
      </c>
      <c r="O6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39" spans="1:15" x14ac:dyDescent="0.25">
      <c r="A639">
        <v>10901</v>
      </c>
      <c r="B639" s="1" t="s">
        <v>103</v>
      </c>
      <c r="C639">
        <v>4</v>
      </c>
      <c r="D639" s="5">
        <v>35849</v>
      </c>
      <c r="E639" s="5">
        <v>35877</v>
      </c>
      <c r="F639" s="5">
        <v>35852</v>
      </c>
      <c r="G639">
        <v>1</v>
      </c>
      <c r="H639" s="1">
        <v>62.09</v>
      </c>
      <c r="I639" s="1" t="s">
        <v>104</v>
      </c>
      <c r="J639" s="1" t="s">
        <v>105</v>
      </c>
      <c r="K639" s="1" t="s">
        <v>106</v>
      </c>
      <c r="L639" s="1" t="s">
        <v>107</v>
      </c>
      <c r="M639" s="1" t="s">
        <v>108</v>
      </c>
      <c r="N639" s="1" t="s">
        <v>109</v>
      </c>
      <c r="O6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0" spans="1:15" x14ac:dyDescent="0.25">
      <c r="A640">
        <v>10902</v>
      </c>
      <c r="B640" s="1" t="s">
        <v>138</v>
      </c>
      <c r="C640">
        <v>1</v>
      </c>
      <c r="D640" s="5">
        <v>35849</v>
      </c>
      <c r="E640" s="5">
        <v>35877</v>
      </c>
      <c r="F640" s="5">
        <v>35857</v>
      </c>
      <c r="G640">
        <v>1</v>
      </c>
      <c r="H640" s="1">
        <v>44.15</v>
      </c>
      <c r="I640" s="1" t="s">
        <v>139</v>
      </c>
      <c r="J640" s="1" t="s">
        <v>140</v>
      </c>
      <c r="K640" s="1" t="s">
        <v>141</v>
      </c>
      <c r="L640" s="1" t="s">
        <v>59</v>
      </c>
      <c r="M640" s="1" t="s">
        <v>142</v>
      </c>
      <c r="N640" s="1" t="s">
        <v>143</v>
      </c>
      <c r="O6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1" spans="1:15" x14ac:dyDescent="0.25">
      <c r="A641">
        <v>10903</v>
      </c>
      <c r="B641" s="1" t="s">
        <v>68</v>
      </c>
      <c r="C641">
        <v>3</v>
      </c>
      <c r="D641" s="5">
        <v>35850</v>
      </c>
      <c r="E641" s="5">
        <v>35878</v>
      </c>
      <c r="F641" s="5">
        <v>35858</v>
      </c>
      <c r="G641">
        <v>3</v>
      </c>
      <c r="H641" s="1">
        <v>36.71</v>
      </c>
      <c r="I641" s="1" t="s">
        <v>69</v>
      </c>
      <c r="J641" s="1" t="s">
        <v>70</v>
      </c>
      <c r="K641" s="1" t="s">
        <v>71</v>
      </c>
      <c r="L641" s="1" t="s">
        <v>72</v>
      </c>
      <c r="M641" s="1" t="s">
        <v>73</v>
      </c>
      <c r="N641" s="1" t="s">
        <v>74</v>
      </c>
      <c r="O6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2" spans="1:15" x14ac:dyDescent="0.25">
      <c r="A642">
        <v>10904</v>
      </c>
      <c r="B642" s="1" t="s">
        <v>166</v>
      </c>
      <c r="C642">
        <v>3</v>
      </c>
      <c r="D642" s="5">
        <v>35850</v>
      </c>
      <c r="E642" s="5">
        <v>35878</v>
      </c>
      <c r="F642" s="5">
        <v>35853</v>
      </c>
      <c r="G642">
        <v>3</v>
      </c>
      <c r="H642" s="1">
        <v>162.94999999999999</v>
      </c>
      <c r="I642" s="1" t="s">
        <v>167</v>
      </c>
      <c r="J642" s="1" t="s">
        <v>168</v>
      </c>
      <c r="K642" s="1" t="s">
        <v>169</v>
      </c>
      <c r="L642" s="1" t="s">
        <v>170</v>
      </c>
      <c r="M642" s="1" t="s">
        <v>171</v>
      </c>
      <c r="N642" s="1" t="s">
        <v>137</v>
      </c>
      <c r="O6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3" spans="1:15" x14ac:dyDescent="0.25">
      <c r="A643">
        <v>10905</v>
      </c>
      <c r="B643" s="1" t="s">
        <v>97</v>
      </c>
      <c r="C643">
        <v>9</v>
      </c>
      <c r="D643" s="5">
        <v>35850</v>
      </c>
      <c r="E643" s="5">
        <v>35878</v>
      </c>
      <c r="F643" s="5">
        <v>35860</v>
      </c>
      <c r="G643">
        <v>2</v>
      </c>
      <c r="H643" s="1">
        <v>13.72</v>
      </c>
      <c r="I643" s="1" t="s">
        <v>98</v>
      </c>
      <c r="J643" s="1" t="s">
        <v>99</v>
      </c>
      <c r="K643" s="1" t="s">
        <v>100</v>
      </c>
      <c r="L643" s="1" t="s">
        <v>101</v>
      </c>
      <c r="M643" s="1" t="s">
        <v>102</v>
      </c>
      <c r="N643" s="1" t="s">
        <v>74</v>
      </c>
      <c r="O6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4" spans="1:15" x14ac:dyDescent="0.25">
      <c r="A644">
        <v>10906</v>
      </c>
      <c r="B644" s="1" t="s">
        <v>382</v>
      </c>
      <c r="C644">
        <v>4</v>
      </c>
      <c r="D644" s="5">
        <v>35851</v>
      </c>
      <c r="E644" s="5">
        <v>35865</v>
      </c>
      <c r="F644" s="5">
        <v>35857</v>
      </c>
      <c r="G644">
        <v>3</v>
      </c>
      <c r="H644" s="1">
        <v>26.29</v>
      </c>
      <c r="I644" s="1" t="s">
        <v>383</v>
      </c>
      <c r="J644" s="1" t="s">
        <v>384</v>
      </c>
      <c r="K644" s="1" t="s">
        <v>385</v>
      </c>
      <c r="L644" s="1" t="s">
        <v>59</v>
      </c>
      <c r="M644" s="1" t="s">
        <v>386</v>
      </c>
      <c r="N644" s="1" t="s">
        <v>387</v>
      </c>
      <c r="O6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5" spans="1:15" x14ac:dyDescent="0.25">
      <c r="A645">
        <v>10907</v>
      </c>
      <c r="B645" s="1" t="s">
        <v>503</v>
      </c>
      <c r="C645">
        <v>6</v>
      </c>
      <c r="D645" s="5">
        <v>35851</v>
      </c>
      <c r="E645" s="5">
        <v>35879</v>
      </c>
      <c r="F645" s="5">
        <v>35853</v>
      </c>
      <c r="G645">
        <v>3</v>
      </c>
      <c r="H645" s="1">
        <v>9.19</v>
      </c>
      <c r="I645" s="1" t="s">
        <v>504</v>
      </c>
      <c r="J645" s="1" t="s">
        <v>505</v>
      </c>
      <c r="K645" s="1" t="s">
        <v>506</v>
      </c>
      <c r="L645" s="1" t="s">
        <v>59</v>
      </c>
      <c r="M645" s="1" t="s">
        <v>507</v>
      </c>
      <c r="N645" s="1" t="s">
        <v>61</v>
      </c>
      <c r="O6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6" spans="1:15" x14ac:dyDescent="0.25">
      <c r="A646">
        <v>10908</v>
      </c>
      <c r="B646" s="1" t="s">
        <v>224</v>
      </c>
      <c r="C646">
        <v>4</v>
      </c>
      <c r="D646" s="5">
        <v>35852</v>
      </c>
      <c r="E646" s="5">
        <v>35880</v>
      </c>
      <c r="F646" s="5">
        <v>35860</v>
      </c>
      <c r="G646">
        <v>2</v>
      </c>
      <c r="H646" s="1">
        <v>32.96</v>
      </c>
      <c r="I646" s="1" t="s">
        <v>225</v>
      </c>
      <c r="J646" s="1" t="s">
        <v>226</v>
      </c>
      <c r="K646" s="1" t="s">
        <v>227</v>
      </c>
      <c r="L646" s="1" t="s">
        <v>59</v>
      </c>
      <c r="M646" s="1" t="s">
        <v>228</v>
      </c>
      <c r="N646" s="1" t="s">
        <v>188</v>
      </c>
      <c r="O64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7" spans="1:15" x14ac:dyDescent="0.25">
      <c r="A647">
        <v>10909</v>
      </c>
      <c r="B647" s="1" t="s">
        <v>393</v>
      </c>
      <c r="C647">
        <v>1</v>
      </c>
      <c r="D647" s="5">
        <v>35852</v>
      </c>
      <c r="E647" s="5">
        <v>35880</v>
      </c>
      <c r="F647" s="5">
        <v>35864</v>
      </c>
      <c r="G647">
        <v>2</v>
      </c>
      <c r="H647" s="1">
        <v>53.05</v>
      </c>
      <c r="I647" s="1" t="s">
        <v>394</v>
      </c>
      <c r="J647" s="1" t="s">
        <v>395</v>
      </c>
      <c r="K647" s="1" t="s">
        <v>396</v>
      </c>
      <c r="L647" s="1" t="s">
        <v>59</v>
      </c>
      <c r="M647" s="1" t="s">
        <v>397</v>
      </c>
      <c r="N647" s="1" t="s">
        <v>398</v>
      </c>
      <c r="O6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8" spans="1:15" x14ac:dyDescent="0.25">
      <c r="A648">
        <v>10910</v>
      </c>
      <c r="B648" s="1" t="s">
        <v>483</v>
      </c>
      <c r="C648">
        <v>1</v>
      </c>
      <c r="D648" s="5">
        <v>35852</v>
      </c>
      <c r="E648" s="5">
        <v>35880</v>
      </c>
      <c r="F648" s="5">
        <v>35858</v>
      </c>
      <c r="G648">
        <v>3</v>
      </c>
      <c r="H648" s="1">
        <v>38.11</v>
      </c>
      <c r="I648" s="1" t="s">
        <v>484</v>
      </c>
      <c r="J648" s="1" t="s">
        <v>485</v>
      </c>
      <c r="K648" s="1" t="s">
        <v>486</v>
      </c>
      <c r="L648" s="1" t="s">
        <v>59</v>
      </c>
      <c r="M648" s="1" t="s">
        <v>487</v>
      </c>
      <c r="N648" s="1" t="s">
        <v>154</v>
      </c>
      <c r="O6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49" spans="1:15" x14ac:dyDescent="0.25">
      <c r="A649">
        <v>10911</v>
      </c>
      <c r="B649" s="1" t="s">
        <v>249</v>
      </c>
      <c r="C649">
        <v>3</v>
      </c>
      <c r="D649" s="5">
        <v>35852</v>
      </c>
      <c r="E649" s="5">
        <v>35880</v>
      </c>
      <c r="F649" s="5">
        <v>35859</v>
      </c>
      <c r="G649">
        <v>1</v>
      </c>
      <c r="H649" s="1">
        <v>38.19</v>
      </c>
      <c r="I649" s="1" t="s">
        <v>250</v>
      </c>
      <c r="J649" s="1" t="s">
        <v>251</v>
      </c>
      <c r="K649" s="1" t="s">
        <v>252</v>
      </c>
      <c r="L649" s="1" t="s">
        <v>59</v>
      </c>
      <c r="M649" s="1" t="s">
        <v>253</v>
      </c>
      <c r="N649" s="1" t="s">
        <v>213</v>
      </c>
      <c r="O6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0" spans="1:15" x14ac:dyDescent="0.25">
      <c r="A650">
        <v>10913</v>
      </c>
      <c r="B650" s="1" t="s">
        <v>378</v>
      </c>
      <c r="C650">
        <v>4</v>
      </c>
      <c r="D650" s="5">
        <v>35852</v>
      </c>
      <c r="E650" s="5">
        <v>35880</v>
      </c>
      <c r="F650" s="5">
        <v>35858</v>
      </c>
      <c r="G650">
        <v>1</v>
      </c>
      <c r="H650" s="1">
        <v>33.049999999999997</v>
      </c>
      <c r="I650" s="1" t="s">
        <v>379</v>
      </c>
      <c r="J650" s="1" t="s">
        <v>380</v>
      </c>
      <c r="K650" s="1" t="s">
        <v>238</v>
      </c>
      <c r="L650" s="1" t="s">
        <v>101</v>
      </c>
      <c r="M650" s="1" t="s">
        <v>381</v>
      </c>
      <c r="N650" s="1" t="s">
        <v>74</v>
      </c>
      <c r="O6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1" spans="1:15" x14ac:dyDescent="0.25">
      <c r="A651">
        <v>10914</v>
      </c>
      <c r="B651" s="1" t="s">
        <v>378</v>
      </c>
      <c r="C651">
        <v>6</v>
      </c>
      <c r="D651" s="5">
        <v>35853</v>
      </c>
      <c r="E651" s="5">
        <v>35881</v>
      </c>
      <c r="F651" s="5">
        <v>35856</v>
      </c>
      <c r="G651">
        <v>1</v>
      </c>
      <c r="H651" s="1">
        <v>21.19</v>
      </c>
      <c r="I651" s="1" t="s">
        <v>379</v>
      </c>
      <c r="J651" s="1" t="s">
        <v>380</v>
      </c>
      <c r="K651" s="1" t="s">
        <v>238</v>
      </c>
      <c r="L651" s="1" t="s">
        <v>101</v>
      </c>
      <c r="M651" s="1" t="s">
        <v>381</v>
      </c>
      <c r="N651" s="1" t="s">
        <v>74</v>
      </c>
      <c r="O6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2" spans="1:15" x14ac:dyDescent="0.25">
      <c r="A652">
        <v>10915</v>
      </c>
      <c r="B652" s="1" t="s">
        <v>189</v>
      </c>
      <c r="C652">
        <v>2</v>
      </c>
      <c r="D652" s="5">
        <v>35853</v>
      </c>
      <c r="E652" s="5">
        <v>35881</v>
      </c>
      <c r="F652" s="5">
        <v>35856</v>
      </c>
      <c r="G652">
        <v>2</v>
      </c>
      <c r="H652" s="1">
        <v>3.51</v>
      </c>
      <c r="I652" s="1" t="s">
        <v>190</v>
      </c>
      <c r="J652" s="1" t="s">
        <v>191</v>
      </c>
      <c r="K652" s="1" t="s">
        <v>119</v>
      </c>
      <c r="L652" s="1" t="s">
        <v>59</v>
      </c>
      <c r="M652" s="1" t="s">
        <v>192</v>
      </c>
      <c r="N652" s="1" t="s">
        <v>121</v>
      </c>
      <c r="O6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3" spans="1:15" x14ac:dyDescent="0.25">
      <c r="A653">
        <v>10916</v>
      </c>
      <c r="B653" s="1" t="s">
        <v>436</v>
      </c>
      <c r="C653">
        <v>1</v>
      </c>
      <c r="D653" s="5">
        <v>35853</v>
      </c>
      <c r="E653" s="5">
        <v>35881</v>
      </c>
      <c r="F653" s="5">
        <v>35863</v>
      </c>
      <c r="G653">
        <v>2</v>
      </c>
      <c r="H653" s="1">
        <v>63.77</v>
      </c>
      <c r="I653" s="1" t="s">
        <v>437</v>
      </c>
      <c r="J653" s="1" t="s">
        <v>438</v>
      </c>
      <c r="K653" s="1" t="s">
        <v>419</v>
      </c>
      <c r="L653" s="1" t="s">
        <v>59</v>
      </c>
      <c r="M653" s="1" t="s">
        <v>420</v>
      </c>
      <c r="N653" s="1" t="s">
        <v>421</v>
      </c>
      <c r="O6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4" spans="1:15" x14ac:dyDescent="0.25">
      <c r="A654">
        <v>10917</v>
      </c>
      <c r="B654" s="1" t="s">
        <v>208</v>
      </c>
      <c r="C654">
        <v>4</v>
      </c>
      <c r="D654" s="5">
        <v>35856</v>
      </c>
      <c r="E654" s="5">
        <v>35884</v>
      </c>
      <c r="F654" s="5">
        <v>35865</v>
      </c>
      <c r="G654">
        <v>2</v>
      </c>
      <c r="H654" s="1">
        <v>8.2899999999999991</v>
      </c>
      <c r="I654" s="1" t="s">
        <v>209</v>
      </c>
      <c r="J654" s="1" t="s">
        <v>210</v>
      </c>
      <c r="K654" s="1" t="s">
        <v>211</v>
      </c>
      <c r="L654" s="1" t="s">
        <v>59</v>
      </c>
      <c r="M654" s="1" t="s">
        <v>212</v>
      </c>
      <c r="N654" s="1" t="s">
        <v>213</v>
      </c>
      <c r="O6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5" spans="1:15" x14ac:dyDescent="0.25">
      <c r="A655">
        <v>10918</v>
      </c>
      <c r="B655" s="1" t="s">
        <v>399</v>
      </c>
      <c r="C655">
        <v>3</v>
      </c>
      <c r="D655" s="5">
        <v>35856</v>
      </c>
      <c r="E655" s="5">
        <v>35884</v>
      </c>
      <c r="F655" s="5">
        <v>35865</v>
      </c>
      <c r="G655">
        <v>3</v>
      </c>
      <c r="H655" s="1">
        <v>48.83</v>
      </c>
      <c r="I655" s="1" t="s">
        <v>400</v>
      </c>
      <c r="J655" s="1" t="s">
        <v>401</v>
      </c>
      <c r="K655" s="1" t="s">
        <v>402</v>
      </c>
      <c r="L655" s="1" t="s">
        <v>403</v>
      </c>
      <c r="M655" s="1" t="s">
        <v>404</v>
      </c>
      <c r="N655" s="1" t="s">
        <v>320</v>
      </c>
      <c r="O65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6" spans="1:15" x14ac:dyDescent="0.25">
      <c r="A656">
        <v>10919</v>
      </c>
      <c r="B656" s="1" t="s">
        <v>405</v>
      </c>
      <c r="C656">
        <v>2</v>
      </c>
      <c r="D656" s="5">
        <v>35856</v>
      </c>
      <c r="E656" s="5">
        <v>35884</v>
      </c>
      <c r="F656" s="5">
        <v>35858</v>
      </c>
      <c r="G656">
        <v>2</v>
      </c>
      <c r="H656" s="1">
        <v>19.8</v>
      </c>
      <c r="I656" s="1" t="s">
        <v>406</v>
      </c>
      <c r="J656" s="1" t="s">
        <v>407</v>
      </c>
      <c r="K656" s="1" t="s">
        <v>408</v>
      </c>
      <c r="L656" s="1" t="s">
        <v>409</v>
      </c>
      <c r="M656" s="1" t="s">
        <v>410</v>
      </c>
      <c r="N656" s="1" t="s">
        <v>109</v>
      </c>
      <c r="O6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7" spans="1:15" x14ac:dyDescent="0.25">
      <c r="A657">
        <v>10920</v>
      </c>
      <c r="B657" s="1" t="s">
        <v>345</v>
      </c>
      <c r="C657">
        <v>4</v>
      </c>
      <c r="D657" s="5">
        <v>35857</v>
      </c>
      <c r="E657" s="5">
        <v>35885</v>
      </c>
      <c r="F657" s="5">
        <v>35863</v>
      </c>
      <c r="G657">
        <v>2</v>
      </c>
      <c r="H657" s="1">
        <v>29.61</v>
      </c>
      <c r="I657" s="1" t="s">
        <v>346</v>
      </c>
      <c r="J657" s="1" t="s">
        <v>347</v>
      </c>
      <c r="K657" s="1" t="s">
        <v>348</v>
      </c>
      <c r="L657" s="1" t="s">
        <v>349</v>
      </c>
      <c r="M657" s="1" t="s">
        <v>350</v>
      </c>
      <c r="N657" s="1" t="s">
        <v>234</v>
      </c>
      <c r="O6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8" spans="1:15" x14ac:dyDescent="0.25">
      <c r="A658">
        <v>10921</v>
      </c>
      <c r="B658" s="1" t="s">
        <v>373</v>
      </c>
      <c r="C658">
        <v>1</v>
      </c>
      <c r="D658" s="5">
        <v>35857</v>
      </c>
      <c r="E658" s="5">
        <v>35899</v>
      </c>
      <c r="F658" s="5">
        <v>35863</v>
      </c>
      <c r="G658">
        <v>1</v>
      </c>
      <c r="H658" s="1">
        <v>176.48</v>
      </c>
      <c r="I658" s="1" t="s">
        <v>374</v>
      </c>
      <c r="J658" s="1" t="s">
        <v>375</v>
      </c>
      <c r="K658" s="1" t="s">
        <v>376</v>
      </c>
      <c r="L658" s="1" t="s">
        <v>59</v>
      </c>
      <c r="M658" s="1" t="s">
        <v>377</v>
      </c>
      <c r="N658" s="1" t="s">
        <v>330</v>
      </c>
      <c r="O6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59" spans="1:15" x14ac:dyDescent="0.25">
      <c r="A659">
        <v>10922</v>
      </c>
      <c r="B659" s="1" t="s">
        <v>68</v>
      </c>
      <c r="C659">
        <v>5</v>
      </c>
      <c r="D659" s="5">
        <v>35857</v>
      </c>
      <c r="E659" s="5">
        <v>35885</v>
      </c>
      <c r="F659" s="5">
        <v>35859</v>
      </c>
      <c r="G659">
        <v>3</v>
      </c>
      <c r="H659" s="1">
        <v>62.74</v>
      </c>
      <c r="I659" s="1" t="s">
        <v>69</v>
      </c>
      <c r="J659" s="1" t="s">
        <v>70</v>
      </c>
      <c r="K659" s="1" t="s">
        <v>71</v>
      </c>
      <c r="L659" s="1" t="s">
        <v>72</v>
      </c>
      <c r="M659" s="1" t="s">
        <v>73</v>
      </c>
      <c r="N659" s="1" t="s">
        <v>74</v>
      </c>
      <c r="O6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0" spans="1:15" x14ac:dyDescent="0.25">
      <c r="A660">
        <v>10923</v>
      </c>
      <c r="B660" s="1" t="s">
        <v>335</v>
      </c>
      <c r="C660">
        <v>7</v>
      </c>
      <c r="D660" s="5">
        <v>35857</v>
      </c>
      <c r="E660" s="5">
        <v>35899</v>
      </c>
      <c r="F660" s="5">
        <v>35867</v>
      </c>
      <c r="G660">
        <v>3</v>
      </c>
      <c r="H660" s="1">
        <v>68.260000000000005</v>
      </c>
      <c r="I660" s="1" t="s">
        <v>336</v>
      </c>
      <c r="J660" s="1" t="s">
        <v>337</v>
      </c>
      <c r="K660" s="1" t="s">
        <v>338</v>
      </c>
      <c r="L660" s="1" t="s">
        <v>59</v>
      </c>
      <c r="M660" s="1" t="s">
        <v>339</v>
      </c>
      <c r="N660" s="1" t="s">
        <v>61</v>
      </c>
      <c r="O6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1" spans="1:15" x14ac:dyDescent="0.25">
      <c r="A661">
        <v>10924</v>
      </c>
      <c r="B661" s="1" t="s">
        <v>198</v>
      </c>
      <c r="C661">
        <v>3</v>
      </c>
      <c r="D661" s="5">
        <v>35858</v>
      </c>
      <c r="E661" s="5">
        <v>35886</v>
      </c>
      <c r="F661" s="5">
        <v>35893</v>
      </c>
      <c r="G661">
        <v>2</v>
      </c>
      <c r="H661" s="1">
        <v>151.52000000000001</v>
      </c>
      <c r="I661" s="1" t="s">
        <v>199</v>
      </c>
      <c r="J661" s="1" t="s">
        <v>200</v>
      </c>
      <c r="K661" s="1" t="s">
        <v>201</v>
      </c>
      <c r="L661" s="1" t="s">
        <v>59</v>
      </c>
      <c r="M661" s="1" t="s">
        <v>202</v>
      </c>
      <c r="N661" s="1" t="s">
        <v>143</v>
      </c>
      <c r="O661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662" spans="1:15" x14ac:dyDescent="0.25">
      <c r="A662">
        <v>10925</v>
      </c>
      <c r="B662" s="1" t="s">
        <v>68</v>
      </c>
      <c r="C662">
        <v>3</v>
      </c>
      <c r="D662" s="5">
        <v>35858</v>
      </c>
      <c r="E662" s="5">
        <v>35886</v>
      </c>
      <c r="F662" s="5">
        <v>35867</v>
      </c>
      <c r="G662">
        <v>1</v>
      </c>
      <c r="H662" s="1">
        <v>2.27</v>
      </c>
      <c r="I662" s="1" t="s">
        <v>69</v>
      </c>
      <c r="J662" s="1" t="s">
        <v>70</v>
      </c>
      <c r="K662" s="1" t="s">
        <v>71</v>
      </c>
      <c r="L662" s="1" t="s">
        <v>72</v>
      </c>
      <c r="M662" s="1" t="s">
        <v>73</v>
      </c>
      <c r="N662" s="1" t="s">
        <v>74</v>
      </c>
      <c r="O6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3" spans="1:15" x14ac:dyDescent="0.25">
      <c r="A663">
        <v>10926</v>
      </c>
      <c r="B663" s="1" t="s">
        <v>266</v>
      </c>
      <c r="C663">
        <v>4</v>
      </c>
      <c r="D663" s="5">
        <v>35858</v>
      </c>
      <c r="E663" s="5">
        <v>35886</v>
      </c>
      <c r="F663" s="5">
        <v>35865</v>
      </c>
      <c r="G663">
        <v>3</v>
      </c>
      <c r="H663" s="1">
        <v>39.92</v>
      </c>
      <c r="I663" s="1" t="s">
        <v>267</v>
      </c>
      <c r="J663" s="1" t="s">
        <v>268</v>
      </c>
      <c r="K663" s="1" t="s">
        <v>119</v>
      </c>
      <c r="L663" s="1" t="s">
        <v>59</v>
      </c>
      <c r="M663" s="1" t="s">
        <v>269</v>
      </c>
      <c r="N663" s="1" t="s">
        <v>121</v>
      </c>
      <c r="O6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4" spans="1:15" x14ac:dyDescent="0.25">
      <c r="A664">
        <v>10927</v>
      </c>
      <c r="B664" s="1" t="s">
        <v>508</v>
      </c>
      <c r="C664">
        <v>4</v>
      </c>
      <c r="D664" s="5">
        <v>35859</v>
      </c>
      <c r="E664" s="5">
        <v>35887</v>
      </c>
      <c r="F664" s="5">
        <v>35893</v>
      </c>
      <c r="G664">
        <v>1</v>
      </c>
      <c r="H664" s="1">
        <v>19.79</v>
      </c>
      <c r="I664" s="1" t="s">
        <v>509</v>
      </c>
      <c r="J664" s="1" t="s">
        <v>510</v>
      </c>
      <c r="K664" s="1" t="s">
        <v>511</v>
      </c>
      <c r="L664" s="1" t="s">
        <v>59</v>
      </c>
      <c r="M664" s="1" t="s">
        <v>512</v>
      </c>
      <c r="N664" s="1" t="s">
        <v>61</v>
      </c>
      <c r="O664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665" spans="1:15" x14ac:dyDescent="0.25">
      <c r="A665">
        <v>10928</v>
      </c>
      <c r="B665" s="1" t="s">
        <v>368</v>
      </c>
      <c r="C665">
        <v>1</v>
      </c>
      <c r="D665" s="5">
        <v>35859</v>
      </c>
      <c r="E665" s="5">
        <v>35887</v>
      </c>
      <c r="F665" s="5">
        <v>35872</v>
      </c>
      <c r="G665">
        <v>1</v>
      </c>
      <c r="H665" s="1">
        <v>1.36</v>
      </c>
      <c r="I665" s="1" t="s">
        <v>369</v>
      </c>
      <c r="J665" s="1" t="s">
        <v>370</v>
      </c>
      <c r="K665" s="1" t="s">
        <v>371</v>
      </c>
      <c r="L665" s="1" t="s">
        <v>59</v>
      </c>
      <c r="M665" s="1" t="s">
        <v>372</v>
      </c>
      <c r="N665" s="1" t="s">
        <v>213</v>
      </c>
      <c r="O6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6" spans="1:15" x14ac:dyDescent="0.25">
      <c r="A666">
        <v>10929</v>
      </c>
      <c r="B666" s="1" t="s">
        <v>155</v>
      </c>
      <c r="C666">
        <v>6</v>
      </c>
      <c r="D666" s="5">
        <v>35859</v>
      </c>
      <c r="E666" s="5">
        <v>35887</v>
      </c>
      <c r="F666" s="5">
        <v>35866</v>
      </c>
      <c r="G666">
        <v>1</v>
      </c>
      <c r="H666" s="1">
        <v>33.93</v>
      </c>
      <c r="I666" s="1" t="s">
        <v>156</v>
      </c>
      <c r="J666" s="1" t="s">
        <v>157</v>
      </c>
      <c r="K666" s="1" t="s">
        <v>158</v>
      </c>
      <c r="L666" s="1" t="s">
        <v>59</v>
      </c>
      <c r="M666" s="1" t="s">
        <v>159</v>
      </c>
      <c r="N666" s="1" t="s">
        <v>67</v>
      </c>
      <c r="O66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7" spans="1:15" x14ac:dyDescent="0.25">
      <c r="A667">
        <v>10930</v>
      </c>
      <c r="B667" s="1" t="s">
        <v>80</v>
      </c>
      <c r="C667">
        <v>4</v>
      </c>
      <c r="D667" s="5">
        <v>35860</v>
      </c>
      <c r="E667" s="5">
        <v>35902</v>
      </c>
      <c r="F667" s="5">
        <v>35872</v>
      </c>
      <c r="G667">
        <v>3</v>
      </c>
      <c r="H667" s="1">
        <v>15.55</v>
      </c>
      <c r="I667" s="1" t="s">
        <v>81</v>
      </c>
      <c r="J667" s="1" t="s">
        <v>82</v>
      </c>
      <c r="K667" s="1" t="s">
        <v>83</v>
      </c>
      <c r="L667" s="1" t="s">
        <v>59</v>
      </c>
      <c r="M667" s="1" t="s">
        <v>84</v>
      </c>
      <c r="N667" s="1" t="s">
        <v>85</v>
      </c>
      <c r="O66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8" spans="1:15" x14ac:dyDescent="0.25">
      <c r="A668">
        <v>10931</v>
      </c>
      <c r="B668" s="1" t="s">
        <v>92</v>
      </c>
      <c r="C668">
        <v>4</v>
      </c>
      <c r="D668" s="5">
        <v>35860</v>
      </c>
      <c r="E668" s="5">
        <v>35874</v>
      </c>
      <c r="F668" s="5">
        <v>35873</v>
      </c>
      <c r="G668">
        <v>2</v>
      </c>
      <c r="H668" s="1">
        <v>13.6</v>
      </c>
      <c r="I668" s="1" t="s">
        <v>93</v>
      </c>
      <c r="J668" s="1" t="s">
        <v>94</v>
      </c>
      <c r="K668" s="1" t="s">
        <v>95</v>
      </c>
      <c r="L668" s="1" t="s">
        <v>59</v>
      </c>
      <c r="M668" s="1" t="s">
        <v>96</v>
      </c>
      <c r="N668" s="1" t="s">
        <v>91</v>
      </c>
      <c r="O6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69" spans="1:15" x14ac:dyDescent="0.25">
      <c r="A669">
        <v>10932</v>
      </c>
      <c r="B669" s="1" t="s">
        <v>309</v>
      </c>
      <c r="C669">
        <v>8</v>
      </c>
      <c r="D669" s="5">
        <v>35860</v>
      </c>
      <c r="E669" s="5">
        <v>35888</v>
      </c>
      <c r="F669" s="5">
        <v>35878</v>
      </c>
      <c r="G669">
        <v>1</v>
      </c>
      <c r="H669" s="1">
        <v>134.63999999999999</v>
      </c>
      <c r="I669" s="1" t="s">
        <v>310</v>
      </c>
      <c r="J669" s="1" t="s">
        <v>311</v>
      </c>
      <c r="K669" s="1" t="s">
        <v>312</v>
      </c>
      <c r="L669" s="1" t="s">
        <v>59</v>
      </c>
      <c r="M669" s="1" t="s">
        <v>313</v>
      </c>
      <c r="N669" s="1" t="s">
        <v>61</v>
      </c>
      <c r="O6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0" spans="1:15" x14ac:dyDescent="0.25">
      <c r="A670">
        <v>10933</v>
      </c>
      <c r="B670" s="1" t="s">
        <v>279</v>
      </c>
      <c r="C670">
        <v>6</v>
      </c>
      <c r="D670" s="5">
        <v>35860</v>
      </c>
      <c r="E670" s="5">
        <v>35888</v>
      </c>
      <c r="F670" s="5">
        <v>35870</v>
      </c>
      <c r="G670">
        <v>3</v>
      </c>
      <c r="H670" s="1">
        <v>54.15</v>
      </c>
      <c r="I670" s="1" t="s">
        <v>280</v>
      </c>
      <c r="J670" s="1" t="s">
        <v>281</v>
      </c>
      <c r="K670" s="1" t="s">
        <v>282</v>
      </c>
      <c r="L670" s="1" t="s">
        <v>283</v>
      </c>
      <c r="M670" s="1" t="s">
        <v>284</v>
      </c>
      <c r="N670" s="1" t="s">
        <v>234</v>
      </c>
      <c r="O6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1" spans="1:15" x14ac:dyDescent="0.25">
      <c r="A671">
        <v>10934</v>
      </c>
      <c r="B671" s="1" t="s">
        <v>203</v>
      </c>
      <c r="C671">
        <v>3</v>
      </c>
      <c r="D671" s="5">
        <v>35863</v>
      </c>
      <c r="E671" s="5">
        <v>35891</v>
      </c>
      <c r="F671" s="5">
        <v>35866</v>
      </c>
      <c r="G671">
        <v>3</v>
      </c>
      <c r="H671" s="1">
        <v>32.01</v>
      </c>
      <c r="I671" s="1" t="s">
        <v>204</v>
      </c>
      <c r="J671" s="1" t="s">
        <v>205</v>
      </c>
      <c r="K671" s="1" t="s">
        <v>206</v>
      </c>
      <c r="L671" s="1" t="s">
        <v>59</v>
      </c>
      <c r="M671" s="1" t="s">
        <v>207</v>
      </c>
      <c r="N671" s="1" t="s">
        <v>67</v>
      </c>
      <c r="O6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2" spans="1:15" x14ac:dyDescent="0.25">
      <c r="A672">
        <v>10935</v>
      </c>
      <c r="B672" s="1" t="s">
        <v>97</v>
      </c>
      <c r="C672">
        <v>4</v>
      </c>
      <c r="D672" s="5">
        <v>35863</v>
      </c>
      <c r="E672" s="5">
        <v>35891</v>
      </c>
      <c r="F672" s="5">
        <v>35872</v>
      </c>
      <c r="G672">
        <v>3</v>
      </c>
      <c r="H672" s="1">
        <v>47.59</v>
      </c>
      <c r="I672" s="1" t="s">
        <v>98</v>
      </c>
      <c r="J672" s="1" t="s">
        <v>99</v>
      </c>
      <c r="K672" s="1" t="s">
        <v>100</v>
      </c>
      <c r="L672" s="1" t="s">
        <v>101</v>
      </c>
      <c r="M672" s="1" t="s">
        <v>102</v>
      </c>
      <c r="N672" s="1" t="s">
        <v>74</v>
      </c>
      <c r="O67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3" spans="1:15" x14ac:dyDescent="0.25">
      <c r="A673">
        <v>10936</v>
      </c>
      <c r="B673" s="1" t="s">
        <v>462</v>
      </c>
      <c r="C673">
        <v>3</v>
      </c>
      <c r="D673" s="5">
        <v>35863</v>
      </c>
      <c r="E673" s="5">
        <v>35891</v>
      </c>
      <c r="F673" s="5">
        <v>35872</v>
      </c>
      <c r="G673">
        <v>2</v>
      </c>
      <c r="H673" s="1">
        <v>33.68</v>
      </c>
      <c r="I673" s="1" t="s">
        <v>463</v>
      </c>
      <c r="J673" s="1" t="s">
        <v>464</v>
      </c>
      <c r="K673" s="1" t="s">
        <v>465</v>
      </c>
      <c r="L673" s="1" t="s">
        <v>264</v>
      </c>
      <c r="M673" s="1" t="s">
        <v>466</v>
      </c>
      <c r="N673" s="1" t="s">
        <v>137</v>
      </c>
      <c r="O6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4" spans="1:15" x14ac:dyDescent="0.25">
      <c r="A674">
        <v>10937</v>
      </c>
      <c r="B674" s="1" t="s">
        <v>459</v>
      </c>
      <c r="C674">
        <v>7</v>
      </c>
      <c r="D674" s="5">
        <v>35864</v>
      </c>
      <c r="E674" s="5">
        <v>35878</v>
      </c>
      <c r="F674" s="5">
        <v>35867</v>
      </c>
      <c r="G674">
        <v>3</v>
      </c>
      <c r="H674" s="1">
        <v>31.51</v>
      </c>
      <c r="I674" s="1" t="s">
        <v>460</v>
      </c>
      <c r="J674" s="1" t="s">
        <v>461</v>
      </c>
      <c r="K674" s="1" t="s">
        <v>419</v>
      </c>
      <c r="L674" s="1" t="s">
        <v>59</v>
      </c>
      <c r="M674" s="1" t="s">
        <v>420</v>
      </c>
      <c r="N674" s="1" t="s">
        <v>421</v>
      </c>
      <c r="O6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5" spans="1:15" x14ac:dyDescent="0.25">
      <c r="A675">
        <v>10938</v>
      </c>
      <c r="B675" s="1" t="s">
        <v>178</v>
      </c>
      <c r="C675">
        <v>3</v>
      </c>
      <c r="D675" s="5">
        <v>35864</v>
      </c>
      <c r="E675" s="5">
        <v>35892</v>
      </c>
      <c r="F675" s="5">
        <v>35870</v>
      </c>
      <c r="G675">
        <v>2</v>
      </c>
      <c r="H675" s="1">
        <v>31.89</v>
      </c>
      <c r="I675" s="1" t="s">
        <v>179</v>
      </c>
      <c r="J675" s="1" t="s">
        <v>180</v>
      </c>
      <c r="K675" s="1" t="s">
        <v>181</v>
      </c>
      <c r="L675" s="1" t="s">
        <v>59</v>
      </c>
      <c r="M675" s="1" t="s">
        <v>182</v>
      </c>
      <c r="N675" s="1" t="s">
        <v>67</v>
      </c>
      <c r="O6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6" spans="1:15" x14ac:dyDescent="0.25">
      <c r="A676">
        <v>10939</v>
      </c>
      <c r="B676" s="1" t="s">
        <v>183</v>
      </c>
      <c r="C676">
        <v>2</v>
      </c>
      <c r="D676" s="5">
        <v>35864</v>
      </c>
      <c r="E676" s="5">
        <v>35892</v>
      </c>
      <c r="F676" s="5">
        <v>35867</v>
      </c>
      <c r="G676">
        <v>2</v>
      </c>
      <c r="H676" s="1">
        <v>76.33</v>
      </c>
      <c r="I676" s="1" t="s">
        <v>184</v>
      </c>
      <c r="J676" s="1" t="s">
        <v>185</v>
      </c>
      <c r="K676" s="1" t="s">
        <v>186</v>
      </c>
      <c r="L676" s="1" t="s">
        <v>59</v>
      </c>
      <c r="M676" s="1" t="s">
        <v>187</v>
      </c>
      <c r="N676" s="1" t="s">
        <v>188</v>
      </c>
      <c r="O6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7" spans="1:15" x14ac:dyDescent="0.25">
      <c r="A677">
        <v>10940</v>
      </c>
      <c r="B677" s="1" t="s">
        <v>309</v>
      </c>
      <c r="C677">
        <v>8</v>
      </c>
      <c r="D677" s="5">
        <v>35865</v>
      </c>
      <c r="E677" s="5">
        <v>35893</v>
      </c>
      <c r="F677" s="5">
        <v>35877</v>
      </c>
      <c r="G677">
        <v>3</v>
      </c>
      <c r="H677" s="1">
        <v>19.77</v>
      </c>
      <c r="I677" s="1" t="s">
        <v>310</v>
      </c>
      <c r="J677" s="1" t="s">
        <v>311</v>
      </c>
      <c r="K677" s="1" t="s">
        <v>312</v>
      </c>
      <c r="L677" s="1" t="s">
        <v>59</v>
      </c>
      <c r="M677" s="1" t="s">
        <v>313</v>
      </c>
      <c r="N677" s="1" t="s">
        <v>61</v>
      </c>
      <c r="O6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8" spans="1:15" x14ac:dyDescent="0.25">
      <c r="A678">
        <v>10941</v>
      </c>
      <c r="B678" s="1" t="s">
        <v>293</v>
      </c>
      <c r="C678">
        <v>7</v>
      </c>
      <c r="D678" s="5">
        <v>35865</v>
      </c>
      <c r="E678" s="5">
        <v>35893</v>
      </c>
      <c r="F678" s="5">
        <v>35874</v>
      </c>
      <c r="G678">
        <v>2</v>
      </c>
      <c r="H678" s="1">
        <v>400.81</v>
      </c>
      <c r="I678" s="1" t="s">
        <v>294</v>
      </c>
      <c r="J678" s="1" t="s">
        <v>295</v>
      </c>
      <c r="K678" s="1" t="s">
        <v>296</v>
      </c>
      <c r="L678" s="1" t="s">
        <v>297</v>
      </c>
      <c r="M678" s="1" t="s">
        <v>298</v>
      </c>
      <c r="N678" s="1" t="s">
        <v>137</v>
      </c>
      <c r="O6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79" spans="1:15" x14ac:dyDescent="0.25">
      <c r="A679">
        <v>10942</v>
      </c>
      <c r="B679" s="1" t="s">
        <v>224</v>
      </c>
      <c r="C679">
        <v>9</v>
      </c>
      <c r="D679" s="5">
        <v>35865</v>
      </c>
      <c r="E679" s="5">
        <v>35893</v>
      </c>
      <c r="F679" s="5">
        <v>35872</v>
      </c>
      <c r="G679">
        <v>3</v>
      </c>
      <c r="H679" s="1">
        <v>17.95</v>
      </c>
      <c r="I679" s="1" t="s">
        <v>225</v>
      </c>
      <c r="J679" s="1" t="s">
        <v>226</v>
      </c>
      <c r="K679" s="1" t="s">
        <v>227</v>
      </c>
      <c r="L679" s="1" t="s">
        <v>59</v>
      </c>
      <c r="M679" s="1" t="s">
        <v>228</v>
      </c>
      <c r="N679" s="1" t="s">
        <v>188</v>
      </c>
      <c r="O6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0" spans="1:15" x14ac:dyDescent="0.25">
      <c r="A680">
        <v>10943</v>
      </c>
      <c r="B680" s="1" t="s">
        <v>229</v>
      </c>
      <c r="C680">
        <v>4</v>
      </c>
      <c r="D680" s="5">
        <v>35865</v>
      </c>
      <c r="E680" s="5">
        <v>35893</v>
      </c>
      <c r="F680" s="5">
        <v>35873</v>
      </c>
      <c r="G680">
        <v>2</v>
      </c>
      <c r="H680" s="1">
        <v>2.17</v>
      </c>
      <c r="I680" s="1" t="s">
        <v>230</v>
      </c>
      <c r="J680" s="1" t="s">
        <v>231</v>
      </c>
      <c r="K680" s="1" t="s">
        <v>232</v>
      </c>
      <c r="L680" s="1" t="s">
        <v>59</v>
      </c>
      <c r="M680" s="1" t="s">
        <v>233</v>
      </c>
      <c r="N680" s="1" t="s">
        <v>234</v>
      </c>
      <c r="O6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1" spans="1:15" x14ac:dyDescent="0.25">
      <c r="A681">
        <v>10944</v>
      </c>
      <c r="B681" s="1" t="s">
        <v>399</v>
      </c>
      <c r="C681">
        <v>6</v>
      </c>
      <c r="D681" s="5">
        <v>35866</v>
      </c>
      <c r="E681" s="5">
        <v>35880</v>
      </c>
      <c r="F681" s="5">
        <v>35867</v>
      </c>
      <c r="G681">
        <v>3</v>
      </c>
      <c r="H681" s="1">
        <v>52.92</v>
      </c>
      <c r="I681" s="1" t="s">
        <v>400</v>
      </c>
      <c r="J681" s="1" t="s">
        <v>401</v>
      </c>
      <c r="K681" s="1" t="s">
        <v>402</v>
      </c>
      <c r="L681" s="1" t="s">
        <v>403</v>
      </c>
      <c r="M681" s="1" t="s">
        <v>404</v>
      </c>
      <c r="N681" s="1" t="s">
        <v>320</v>
      </c>
      <c r="O6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2" spans="1:15" x14ac:dyDescent="0.25">
      <c r="A682">
        <v>10945</v>
      </c>
      <c r="B682" s="1" t="s">
        <v>193</v>
      </c>
      <c r="C682">
        <v>4</v>
      </c>
      <c r="D682" s="5">
        <v>35866</v>
      </c>
      <c r="E682" s="5">
        <v>35894</v>
      </c>
      <c r="F682" s="5">
        <v>35872</v>
      </c>
      <c r="G682">
        <v>1</v>
      </c>
      <c r="H682" s="1">
        <v>10.220000000000001</v>
      </c>
      <c r="I682" s="1" t="s">
        <v>194</v>
      </c>
      <c r="J682" s="1" t="s">
        <v>195</v>
      </c>
      <c r="K682" s="1" t="s">
        <v>196</v>
      </c>
      <c r="L682" s="1" t="s">
        <v>59</v>
      </c>
      <c r="M682" s="1" t="s">
        <v>197</v>
      </c>
      <c r="N682" s="1" t="s">
        <v>67</v>
      </c>
      <c r="O6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3" spans="1:15" x14ac:dyDescent="0.25">
      <c r="A683">
        <v>10946</v>
      </c>
      <c r="B683" s="1" t="s">
        <v>373</v>
      </c>
      <c r="C683">
        <v>1</v>
      </c>
      <c r="D683" s="5">
        <v>35866</v>
      </c>
      <c r="E683" s="5">
        <v>35894</v>
      </c>
      <c r="F683" s="5">
        <v>35873</v>
      </c>
      <c r="G683">
        <v>2</v>
      </c>
      <c r="H683" s="1">
        <v>27.2</v>
      </c>
      <c r="I683" s="1" t="s">
        <v>374</v>
      </c>
      <c r="J683" s="1" t="s">
        <v>375</v>
      </c>
      <c r="K683" s="1" t="s">
        <v>376</v>
      </c>
      <c r="L683" s="1" t="s">
        <v>59</v>
      </c>
      <c r="M683" s="1" t="s">
        <v>377</v>
      </c>
      <c r="N683" s="1" t="s">
        <v>330</v>
      </c>
      <c r="O6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4" spans="1:15" x14ac:dyDescent="0.25">
      <c r="A684">
        <v>10947</v>
      </c>
      <c r="B684" s="1" t="s">
        <v>229</v>
      </c>
      <c r="C684">
        <v>3</v>
      </c>
      <c r="D684" s="5">
        <v>35867</v>
      </c>
      <c r="E684" s="5">
        <v>35895</v>
      </c>
      <c r="F684" s="5">
        <v>35870</v>
      </c>
      <c r="G684">
        <v>2</v>
      </c>
      <c r="H684" s="1">
        <v>3.26</v>
      </c>
      <c r="I684" s="1" t="s">
        <v>230</v>
      </c>
      <c r="J684" s="1" t="s">
        <v>231</v>
      </c>
      <c r="K684" s="1" t="s">
        <v>232</v>
      </c>
      <c r="L684" s="1" t="s">
        <v>59</v>
      </c>
      <c r="M684" s="1" t="s">
        <v>233</v>
      </c>
      <c r="N684" s="1" t="s">
        <v>234</v>
      </c>
      <c r="O6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5" spans="1:15" x14ac:dyDescent="0.25">
      <c r="A685">
        <v>10948</v>
      </c>
      <c r="B685" s="1" t="s">
        <v>249</v>
      </c>
      <c r="C685">
        <v>3</v>
      </c>
      <c r="D685" s="5">
        <v>35867</v>
      </c>
      <c r="E685" s="5">
        <v>35895</v>
      </c>
      <c r="F685" s="5">
        <v>35873</v>
      </c>
      <c r="G685">
        <v>3</v>
      </c>
      <c r="H685" s="1">
        <v>23.39</v>
      </c>
      <c r="I685" s="1" t="s">
        <v>250</v>
      </c>
      <c r="J685" s="1" t="s">
        <v>251</v>
      </c>
      <c r="K685" s="1" t="s">
        <v>252</v>
      </c>
      <c r="L685" s="1" t="s">
        <v>59</v>
      </c>
      <c r="M685" s="1" t="s">
        <v>253</v>
      </c>
      <c r="N685" s="1" t="s">
        <v>213</v>
      </c>
      <c r="O6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6" spans="1:15" x14ac:dyDescent="0.25">
      <c r="A686">
        <v>10949</v>
      </c>
      <c r="B686" s="1" t="s">
        <v>399</v>
      </c>
      <c r="C686">
        <v>2</v>
      </c>
      <c r="D686" s="5">
        <v>35867</v>
      </c>
      <c r="E686" s="5">
        <v>35895</v>
      </c>
      <c r="F686" s="5">
        <v>35871</v>
      </c>
      <c r="G686">
        <v>3</v>
      </c>
      <c r="H686" s="1">
        <v>74.44</v>
      </c>
      <c r="I686" s="1" t="s">
        <v>400</v>
      </c>
      <c r="J686" s="1" t="s">
        <v>401</v>
      </c>
      <c r="K686" s="1" t="s">
        <v>402</v>
      </c>
      <c r="L686" s="1" t="s">
        <v>403</v>
      </c>
      <c r="M686" s="1" t="s">
        <v>404</v>
      </c>
      <c r="N686" s="1" t="s">
        <v>320</v>
      </c>
      <c r="O6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7" spans="1:15" x14ac:dyDescent="0.25">
      <c r="A687">
        <v>10950</v>
      </c>
      <c r="B687" s="1" t="s">
        <v>183</v>
      </c>
      <c r="C687">
        <v>1</v>
      </c>
      <c r="D687" s="5">
        <v>35870</v>
      </c>
      <c r="E687" s="5">
        <v>35898</v>
      </c>
      <c r="F687" s="5">
        <v>35877</v>
      </c>
      <c r="G687">
        <v>2</v>
      </c>
      <c r="H687" s="1">
        <v>2.5</v>
      </c>
      <c r="I687" s="1" t="s">
        <v>184</v>
      </c>
      <c r="J687" s="1" t="s">
        <v>185</v>
      </c>
      <c r="K687" s="1" t="s">
        <v>186</v>
      </c>
      <c r="L687" s="1" t="s">
        <v>59</v>
      </c>
      <c r="M687" s="1" t="s">
        <v>187</v>
      </c>
      <c r="N687" s="1" t="s">
        <v>188</v>
      </c>
      <c r="O6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8" spans="1:15" x14ac:dyDescent="0.25">
      <c r="A688">
        <v>10951</v>
      </c>
      <c r="B688" s="1" t="s">
        <v>92</v>
      </c>
      <c r="C688">
        <v>9</v>
      </c>
      <c r="D688" s="5">
        <v>35870</v>
      </c>
      <c r="E688" s="5">
        <v>35912</v>
      </c>
      <c r="F688" s="5">
        <v>35892</v>
      </c>
      <c r="G688">
        <v>2</v>
      </c>
      <c r="H688" s="1">
        <v>30.85</v>
      </c>
      <c r="I688" s="1" t="s">
        <v>93</v>
      </c>
      <c r="J688" s="1" t="s">
        <v>94</v>
      </c>
      <c r="K688" s="1" t="s">
        <v>95</v>
      </c>
      <c r="L688" s="1" t="s">
        <v>59</v>
      </c>
      <c r="M688" s="1" t="s">
        <v>96</v>
      </c>
      <c r="N688" s="1" t="s">
        <v>91</v>
      </c>
      <c r="O6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89" spans="1:15" x14ac:dyDescent="0.25">
      <c r="A689">
        <v>10952</v>
      </c>
      <c r="B689" s="1" t="s">
        <v>494</v>
      </c>
      <c r="C689">
        <v>1</v>
      </c>
      <c r="D689" s="5">
        <v>35870</v>
      </c>
      <c r="E689" s="5">
        <v>35912</v>
      </c>
      <c r="F689" s="5">
        <v>35878</v>
      </c>
      <c r="G689">
        <v>1</v>
      </c>
      <c r="H689" s="1">
        <v>40.42</v>
      </c>
      <c r="I689" s="1" t="s">
        <v>502</v>
      </c>
      <c r="J689" s="1" t="s">
        <v>496</v>
      </c>
      <c r="K689" s="1" t="s">
        <v>497</v>
      </c>
      <c r="L689" s="1" t="s">
        <v>59</v>
      </c>
      <c r="M689" s="1" t="s">
        <v>498</v>
      </c>
      <c r="N689" s="1" t="s">
        <v>67</v>
      </c>
      <c r="O6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0" spans="1:15" x14ac:dyDescent="0.25">
      <c r="A690">
        <v>10953</v>
      </c>
      <c r="B690" s="1" t="s">
        <v>345</v>
      </c>
      <c r="C690">
        <v>9</v>
      </c>
      <c r="D690" s="5">
        <v>35870</v>
      </c>
      <c r="E690" s="5">
        <v>35884</v>
      </c>
      <c r="F690" s="5">
        <v>35879</v>
      </c>
      <c r="G690">
        <v>2</v>
      </c>
      <c r="H690" s="1">
        <v>23.72</v>
      </c>
      <c r="I690" s="1" t="s">
        <v>346</v>
      </c>
      <c r="J690" s="1" t="s">
        <v>347</v>
      </c>
      <c r="K690" s="1" t="s">
        <v>348</v>
      </c>
      <c r="L690" s="1" t="s">
        <v>349</v>
      </c>
      <c r="M690" s="1" t="s">
        <v>350</v>
      </c>
      <c r="N690" s="1" t="s">
        <v>234</v>
      </c>
      <c r="O6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1" spans="1:15" x14ac:dyDescent="0.25">
      <c r="A691">
        <v>10954</v>
      </c>
      <c r="B691" s="1" t="s">
        <v>405</v>
      </c>
      <c r="C691">
        <v>5</v>
      </c>
      <c r="D691" s="5">
        <v>35871</v>
      </c>
      <c r="E691" s="5">
        <v>35913</v>
      </c>
      <c r="F691" s="5">
        <v>35874</v>
      </c>
      <c r="G691">
        <v>1</v>
      </c>
      <c r="H691" s="1">
        <v>27.91</v>
      </c>
      <c r="I691" s="1" t="s">
        <v>406</v>
      </c>
      <c r="J691" s="1" t="s">
        <v>407</v>
      </c>
      <c r="K691" s="1" t="s">
        <v>408</v>
      </c>
      <c r="L691" s="1" t="s">
        <v>409</v>
      </c>
      <c r="M691" s="1" t="s">
        <v>410</v>
      </c>
      <c r="N691" s="1" t="s">
        <v>109</v>
      </c>
      <c r="O6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2" spans="1:15" x14ac:dyDescent="0.25">
      <c r="A692">
        <v>10955</v>
      </c>
      <c r="B692" s="1" t="s">
        <v>138</v>
      </c>
      <c r="C692">
        <v>8</v>
      </c>
      <c r="D692" s="5">
        <v>35871</v>
      </c>
      <c r="E692" s="5">
        <v>35899</v>
      </c>
      <c r="F692" s="5">
        <v>35874</v>
      </c>
      <c r="G692">
        <v>2</v>
      </c>
      <c r="H692" s="1">
        <v>3.26</v>
      </c>
      <c r="I692" s="1" t="s">
        <v>139</v>
      </c>
      <c r="J692" s="1" t="s">
        <v>140</v>
      </c>
      <c r="K692" s="1" t="s">
        <v>141</v>
      </c>
      <c r="L692" s="1" t="s">
        <v>59</v>
      </c>
      <c r="M692" s="1" t="s">
        <v>142</v>
      </c>
      <c r="N692" s="1" t="s">
        <v>143</v>
      </c>
      <c r="O69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3" spans="1:15" x14ac:dyDescent="0.25">
      <c r="A693">
        <v>10956</v>
      </c>
      <c r="B693" s="1" t="s">
        <v>450</v>
      </c>
      <c r="C693">
        <v>6</v>
      </c>
      <c r="D693" s="5">
        <v>35871</v>
      </c>
      <c r="E693" s="5">
        <v>35913</v>
      </c>
      <c r="F693" s="5">
        <v>35874</v>
      </c>
      <c r="G693">
        <v>2</v>
      </c>
      <c r="H693" s="1">
        <v>44.65</v>
      </c>
      <c r="I693" s="1" t="s">
        <v>451</v>
      </c>
      <c r="J693" s="1" t="s">
        <v>452</v>
      </c>
      <c r="K693" s="1" t="s">
        <v>453</v>
      </c>
      <c r="L693" s="1" t="s">
        <v>59</v>
      </c>
      <c r="M693" s="1" t="s">
        <v>454</v>
      </c>
      <c r="N693" s="1" t="s">
        <v>67</v>
      </c>
      <c r="O69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4" spans="1:15" x14ac:dyDescent="0.25">
      <c r="A694">
        <v>10957</v>
      </c>
      <c r="B694" s="1" t="s">
        <v>103</v>
      </c>
      <c r="C694">
        <v>8</v>
      </c>
      <c r="D694" s="5">
        <v>35872</v>
      </c>
      <c r="E694" s="5">
        <v>35900</v>
      </c>
      <c r="F694" s="5">
        <v>35881</v>
      </c>
      <c r="G694">
        <v>3</v>
      </c>
      <c r="H694" s="1">
        <v>105.36</v>
      </c>
      <c r="I694" s="1" t="s">
        <v>104</v>
      </c>
      <c r="J694" s="1" t="s">
        <v>105</v>
      </c>
      <c r="K694" s="1" t="s">
        <v>106</v>
      </c>
      <c r="L694" s="1" t="s">
        <v>107</v>
      </c>
      <c r="M694" s="1" t="s">
        <v>108</v>
      </c>
      <c r="N694" s="1" t="s">
        <v>109</v>
      </c>
      <c r="O69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5" spans="1:15" x14ac:dyDescent="0.25">
      <c r="A695">
        <v>10958</v>
      </c>
      <c r="B695" s="1" t="s">
        <v>416</v>
      </c>
      <c r="C695">
        <v>7</v>
      </c>
      <c r="D695" s="5">
        <v>35872</v>
      </c>
      <c r="E695" s="5">
        <v>35900</v>
      </c>
      <c r="F695" s="5">
        <v>35881</v>
      </c>
      <c r="G695">
        <v>2</v>
      </c>
      <c r="H695" s="1">
        <v>49.56</v>
      </c>
      <c r="I695" s="1" t="s">
        <v>417</v>
      </c>
      <c r="J695" s="1" t="s">
        <v>418</v>
      </c>
      <c r="K695" s="1" t="s">
        <v>419</v>
      </c>
      <c r="L695" s="1" t="s">
        <v>59</v>
      </c>
      <c r="M695" s="1" t="s">
        <v>420</v>
      </c>
      <c r="N695" s="1" t="s">
        <v>421</v>
      </c>
      <c r="O69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6" spans="1:15" x14ac:dyDescent="0.25">
      <c r="A696">
        <v>10959</v>
      </c>
      <c r="B696" s="1" t="s">
        <v>427</v>
      </c>
      <c r="C696">
        <v>6</v>
      </c>
      <c r="D696" s="5">
        <v>35872</v>
      </c>
      <c r="E696" s="5">
        <v>35914</v>
      </c>
      <c r="F696" s="5">
        <v>35877</v>
      </c>
      <c r="G696">
        <v>2</v>
      </c>
      <c r="H696" s="1">
        <v>4.9800000000000004</v>
      </c>
      <c r="I696" s="1" t="s">
        <v>428</v>
      </c>
      <c r="J696" s="1" t="s">
        <v>429</v>
      </c>
      <c r="K696" s="1" t="s">
        <v>430</v>
      </c>
      <c r="L696" s="1" t="s">
        <v>101</v>
      </c>
      <c r="M696" s="1" t="s">
        <v>431</v>
      </c>
      <c r="N696" s="1" t="s">
        <v>74</v>
      </c>
      <c r="O69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7" spans="1:15" x14ac:dyDescent="0.25">
      <c r="A697">
        <v>10960</v>
      </c>
      <c r="B697" s="1" t="s">
        <v>103</v>
      </c>
      <c r="C697">
        <v>3</v>
      </c>
      <c r="D697" s="5">
        <v>35873</v>
      </c>
      <c r="E697" s="5">
        <v>35887</v>
      </c>
      <c r="F697" s="5">
        <v>35893</v>
      </c>
      <c r="G697">
        <v>1</v>
      </c>
      <c r="H697" s="1">
        <v>2.08</v>
      </c>
      <c r="I697" s="1" t="s">
        <v>104</v>
      </c>
      <c r="J697" s="1" t="s">
        <v>105</v>
      </c>
      <c r="K697" s="1" t="s">
        <v>106</v>
      </c>
      <c r="L697" s="1" t="s">
        <v>107</v>
      </c>
      <c r="M697" s="1" t="s">
        <v>108</v>
      </c>
      <c r="N697" s="1" t="s">
        <v>109</v>
      </c>
      <c r="O697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698" spans="1:15" x14ac:dyDescent="0.25">
      <c r="A698">
        <v>10961</v>
      </c>
      <c r="B698" s="1" t="s">
        <v>378</v>
      </c>
      <c r="C698">
        <v>8</v>
      </c>
      <c r="D698" s="5">
        <v>35873</v>
      </c>
      <c r="E698" s="5">
        <v>35901</v>
      </c>
      <c r="F698" s="5">
        <v>35884</v>
      </c>
      <c r="G698">
        <v>1</v>
      </c>
      <c r="H698" s="1">
        <v>104.47</v>
      </c>
      <c r="I698" s="1" t="s">
        <v>379</v>
      </c>
      <c r="J698" s="1" t="s">
        <v>380</v>
      </c>
      <c r="K698" s="1" t="s">
        <v>238</v>
      </c>
      <c r="L698" s="1" t="s">
        <v>101</v>
      </c>
      <c r="M698" s="1" t="s">
        <v>381</v>
      </c>
      <c r="N698" s="1" t="s">
        <v>74</v>
      </c>
      <c r="O69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699" spans="1:15" x14ac:dyDescent="0.25">
      <c r="A699">
        <v>10962</v>
      </c>
      <c r="B699" s="1" t="s">
        <v>178</v>
      </c>
      <c r="C699">
        <v>8</v>
      </c>
      <c r="D699" s="5">
        <v>35873</v>
      </c>
      <c r="E699" s="5">
        <v>35901</v>
      </c>
      <c r="F699" s="5">
        <v>35877</v>
      </c>
      <c r="G699">
        <v>2</v>
      </c>
      <c r="H699" s="1">
        <v>275.79000000000002</v>
      </c>
      <c r="I699" s="1" t="s">
        <v>179</v>
      </c>
      <c r="J699" s="1" t="s">
        <v>180</v>
      </c>
      <c r="K699" s="1" t="s">
        <v>181</v>
      </c>
      <c r="L699" s="1" t="s">
        <v>59</v>
      </c>
      <c r="M699" s="1" t="s">
        <v>182</v>
      </c>
      <c r="N699" s="1" t="s">
        <v>67</v>
      </c>
      <c r="O69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0" spans="1:15" x14ac:dyDescent="0.25">
      <c r="A700">
        <v>10963</v>
      </c>
      <c r="B700" s="1" t="s">
        <v>303</v>
      </c>
      <c r="C700">
        <v>9</v>
      </c>
      <c r="D700" s="5">
        <v>35873</v>
      </c>
      <c r="E700" s="5">
        <v>35901</v>
      </c>
      <c r="F700" s="5">
        <v>35880</v>
      </c>
      <c r="G700">
        <v>3</v>
      </c>
      <c r="H700" s="1">
        <v>2.7</v>
      </c>
      <c r="I700" s="1" t="s">
        <v>304</v>
      </c>
      <c r="J700" s="1" t="s">
        <v>305</v>
      </c>
      <c r="K700" s="1" t="s">
        <v>306</v>
      </c>
      <c r="L700" s="1" t="s">
        <v>59</v>
      </c>
      <c r="M700" s="1" t="s">
        <v>307</v>
      </c>
      <c r="N700" s="1" t="s">
        <v>308</v>
      </c>
      <c r="O70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1" spans="1:15" x14ac:dyDescent="0.25">
      <c r="A701">
        <v>10964</v>
      </c>
      <c r="B701" s="1" t="s">
        <v>503</v>
      </c>
      <c r="C701">
        <v>3</v>
      </c>
      <c r="D701" s="5">
        <v>35874</v>
      </c>
      <c r="E701" s="5">
        <v>35902</v>
      </c>
      <c r="F701" s="5">
        <v>35878</v>
      </c>
      <c r="G701">
        <v>2</v>
      </c>
      <c r="H701" s="1">
        <v>87.38</v>
      </c>
      <c r="I701" s="1" t="s">
        <v>504</v>
      </c>
      <c r="J701" s="1" t="s">
        <v>505</v>
      </c>
      <c r="K701" s="1" t="s">
        <v>506</v>
      </c>
      <c r="L701" s="1" t="s">
        <v>59</v>
      </c>
      <c r="M701" s="1" t="s">
        <v>507</v>
      </c>
      <c r="N701" s="1" t="s">
        <v>61</v>
      </c>
      <c r="O70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2" spans="1:15" x14ac:dyDescent="0.25">
      <c r="A702">
        <v>10965</v>
      </c>
      <c r="B702" s="1" t="s">
        <v>254</v>
      </c>
      <c r="C702">
        <v>6</v>
      </c>
      <c r="D702" s="5">
        <v>35874</v>
      </c>
      <c r="E702" s="5">
        <v>35902</v>
      </c>
      <c r="F702" s="5">
        <v>35884</v>
      </c>
      <c r="G702">
        <v>3</v>
      </c>
      <c r="H702" s="1">
        <v>144.38</v>
      </c>
      <c r="I702" s="1" t="s">
        <v>255</v>
      </c>
      <c r="J702" s="1" t="s">
        <v>256</v>
      </c>
      <c r="K702" s="1" t="s">
        <v>257</v>
      </c>
      <c r="L702" s="1" t="s">
        <v>258</v>
      </c>
      <c r="M702" s="1" t="s">
        <v>259</v>
      </c>
      <c r="N702" s="1" t="s">
        <v>137</v>
      </c>
      <c r="O70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3" spans="1:15" x14ac:dyDescent="0.25">
      <c r="A703">
        <v>10966</v>
      </c>
      <c r="B703" s="1" t="s">
        <v>86</v>
      </c>
      <c r="C703">
        <v>4</v>
      </c>
      <c r="D703" s="5">
        <v>35874</v>
      </c>
      <c r="E703" s="5">
        <v>35902</v>
      </c>
      <c r="F703" s="5">
        <v>35893</v>
      </c>
      <c r="G703">
        <v>1</v>
      </c>
      <c r="H703" s="1">
        <v>27.19</v>
      </c>
      <c r="I703" s="1" t="s">
        <v>87</v>
      </c>
      <c r="J703" s="1" t="s">
        <v>88</v>
      </c>
      <c r="K703" s="1" t="s">
        <v>89</v>
      </c>
      <c r="L703" s="1" t="s">
        <v>59</v>
      </c>
      <c r="M703" s="1" t="s">
        <v>90</v>
      </c>
      <c r="N703" s="1" t="s">
        <v>91</v>
      </c>
      <c r="O70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4" spans="1:15" x14ac:dyDescent="0.25">
      <c r="A704">
        <v>10967</v>
      </c>
      <c r="B704" s="1" t="s">
        <v>62</v>
      </c>
      <c r="C704">
        <v>2</v>
      </c>
      <c r="D704" s="5">
        <v>35877</v>
      </c>
      <c r="E704" s="5">
        <v>35905</v>
      </c>
      <c r="F704" s="5">
        <v>35887</v>
      </c>
      <c r="G704">
        <v>2</v>
      </c>
      <c r="H704" s="1">
        <v>62.22</v>
      </c>
      <c r="I704" s="1" t="s">
        <v>63</v>
      </c>
      <c r="J704" s="1" t="s">
        <v>64</v>
      </c>
      <c r="K704" s="1" t="s">
        <v>65</v>
      </c>
      <c r="L704" s="1" t="s">
        <v>59</v>
      </c>
      <c r="M704" s="1" t="s">
        <v>66</v>
      </c>
      <c r="N704" s="1" t="s">
        <v>67</v>
      </c>
      <c r="O70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5" spans="1:15" x14ac:dyDescent="0.25">
      <c r="A705">
        <v>10968</v>
      </c>
      <c r="B705" s="1" t="s">
        <v>110</v>
      </c>
      <c r="C705">
        <v>1</v>
      </c>
      <c r="D705" s="5">
        <v>35877</v>
      </c>
      <c r="E705" s="5">
        <v>35905</v>
      </c>
      <c r="F705" s="5">
        <v>35886</v>
      </c>
      <c r="G705">
        <v>3</v>
      </c>
      <c r="H705" s="1">
        <v>74.599999999999994</v>
      </c>
      <c r="I705" s="1" t="s">
        <v>111</v>
      </c>
      <c r="J705" s="1" t="s">
        <v>112</v>
      </c>
      <c r="K705" s="1" t="s">
        <v>113</v>
      </c>
      <c r="L705" s="1" t="s">
        <v>59</v>
      </c>
      <c r="M705" s="1" t="s">
        <v>114</v>
      </c>
      <c r="N705" s="1" t="s">
        <v>115</v>
      </c>
      <c r="O70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6" spans="1:15" x14ac:dyDescent="0.25">
      <c r="A706">
        <v>10969</v>
      </c>
      <c r="B706" s="1" t="s">
        <v>235</v>
      </c>
      <c r="C706">
        <v>1</v>
      </c>
      <c r="D706" s="5">
        <v>35877</v>
      </c>
      <c r="E706" s="5">
        <v>35905</v>
      </c>
      <c r="F706" s="5">
        <v>35884</v>
      </c>
      <c r="G706">
        <v>2</v>
      </c>
      <c r="H706" s="1">
        <v>0.21</v>
      </c>
      <c r="I706" s="1" t="s">
        <v>236</v>
      </c>
      <c r="J706" s="1" t="s">
        <v>237</v>
      </c>
      <c r="K706" s="1" t="s">
        <v>238</v>
      </c>
      <c r="L706" s="1" t="s">
        <v>101</v>
      </c>
      <c r="M706" s="1" t="s">
        <v>239</v>
      </c>
      <c r="N706" s="1" t="s">
        <v>74</v>
      </c>
      <c r="O70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7" spans="1:15" x14ac:dyDescent="0.25">
      <c r="A707">
        <v>10970</v>
      </c>
      <c r="B707" s="1" t="s">
        <v>299</v>
      </c>
      <c r="C707">
        <v>9</v>
      </c>
      <c r="D707" s="5">
        <v>35878</v>
      </c>
      <c r="E707" s="5">
        <v>35892</v>
      </c>
      <c r="F707" s="5">
        <v>35909</v>
      </c>
      <c r="G707">
        <v>1</v>
      </c>
      <c r="H707" s="1">
        <v>16.16</v>
      </c>
      <c r="I707" s="1" t="s">
        <v>300</v>
      </c>
      <c r="J707" s="1" t="s">
        <v>301</v>
      </c>
      <c r="K707" s="1" t="s">
        <v>211</v>
      </c>
      <c r="L707" s="1" t="s">
        <v>59</v>
      </c>
      <c r="M707" s="1" t="s">
        <v>302</v>
      </c>
      <c r="N707" s="1" t="s">
        <v>213</v>
      </c>
      <c r="O707" s="1" t="str">
        <f>IF(northwind_orders[[#This Row],[required_date]]-northwind_orders[[#This Row],[shipped_date]]&gt;0,"Faster",IF(northwind_orders[[#This Row],[required_date]]-northwind_orders[[#This Row],[shipped_date]]=0,"In Time","Slower"))</f>
        <v>Slower</v>
      </c>
    </row>
    <row r="708" spans="1:15" x14ac:dyDescent="0.25">
      <c r="A708">
        <v>10971</v>
      </c>
      <c r="B708" s="1" t="s">
        <v>499</v>
      </c>
      <c r="C708">
        <v>2</v>
      </c>
      <c r="D708" s="5">
        <v>35878</v>
      </c>
      <c r="E708" s="5">
        <v>35906</v>
      </c>
      <c r="F708" s="5">
        <v>35887</v>
      </c>
      <c r="G708">
        <v>2</v>
      </c>
      <c r="H708" s="1">
        <v>121.82</v>
      </c>
      <c r="I708" s="1" t="s">
        <v>500</v>
      </c>
      <c r="J708" s="1" t="s">
        <v>501</v>
      </c>
      <c r="K708" s="1" t="s">
        <v>277</v>
      </c>
      <c r="L708" s="1" t="s">
        <v>59</v>
      </c>
      <c r="M708" s="1" t="s">
        <v>278</v>
      </c>
      <c r="N708" s="1" t="s">
        <v>61</v>
      </c>
      <c r="O70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09" spans="1:15" x14ac:dyDescent="0.25">
      <c r="A709">
        <v>10972</v>
      </c>
      <c r="B709" s="1" t="s">
        <v>508</v>
      </c>
      <c r="C709">
        <v>4</v>
      </c>
      <c r="D709" s="5">
        <v>35878</v>
      </c>
      <c r="E709" s="5">
        <v>35906</v>
      </c>
      <c r="F709" s="5">
        <v>35880</v>
      </c>
      <c r="G709">
        <v>2</v>
      </c>
      <c r="H709" s="1">
        <v>0.02</v>
      </c>
      <c r="I709" s="1" t="s">
        <v>509</v>
      </c>
      <c r="J709" s="1" t="s">
        <v>510</v>
      </c>
      <c r="K709" s="1" t="s">
        <v>511</v>
      </c>
      <c r="L709" s="1" t="s">
        <v>59</v>
      </c>
      <c r="M709" s="1" t="s">
        <v>512</v>
      </c>
      <c r="N709" s="1" t="s">
        <v>61</v>
      </c>
      <c r="O70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0" spans="1:15" x14ac:dyDescent="0.25">
      <c r="A710">
        <v>10973</v>
      </c>
      <c r="B710" s="1" t="s">
        <v>508</v>
      </c>
      <c r="C710">
        <v>6</v>
      </c>
      <c r="D710" s="5">
        <v>35878</v>
      </c>
      <c r="E710" s="5">
        <v>35906</v>
      </c>
      <c r="F710" s="5">
        <v>35881</v>
      </c>
      <c r="G710">
        <v>2</v>
      </c>
      <c r="H710" s="1">
        <v>15.17</v>
      </c>
      <c r="I710" s="1" t="s">
        <v>509</v>
      </c>
      <c r="J710" s="1" t="s">
        <v>510</v>
      </c>
      <c r="K710" s="1" t="s">
        <v>511</v>
      </c>
      <c r="L710" s="1" t="s">
        <v>59</v>
      </c>
      <c r="M710" s="1" t="s">
        <v>512</v>
      </c>
      <c r="N710" s="1" t="s">
        <v>61</v>
      </c>
      <c r="O71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1" spans="1:15" x14ac:dyDescent="0.25">
      <c r="A711">
        <v>10974</v>
      </c>
      <c r="B711" s="1" t="s">
        <v>172</v>
      </c>
      <c r="C711">
        <v>3</v>
      </c>
      <c r="D711" s="5">
        <v>35879</v>
      </c>
      <c r="E711" s="5">
        <v>35893</v>
      </c>
      <c r="F711" s="5">
        <v>35888</v>
      </c>
      <c r="G711">
        <v>3</v>
      </c>
      <c r="H711" s="1">
        <v>12.96</v>
      </c>
      <c r="I711" s="1" t="s">
        <v>173</v>
      </c>
      <c r="J711" s="1" t="s">
        <v>174</v>
      </c>
      <c r="K711" s="1" t="s">
        <v>175</v>
      </c>
      <c r="L711" s="1" t="s">
        <v>176</v>
      </c>
      <c r="M711" s="1" t="s">
        <v>177</v>
      </c>
      <c r="N711" s="1" t="s">
        <v>137</v>
      </c>
      <c r="O71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2" spans="1:15" x14ac:dyDescent="0.25">
      <c r="A712">
        <v>10975</v>
      </c>
      <c r="B712" s="1" t="s">
        <v>399</v>
      </c>
      <c r="C712">
        <v>1</v>
      </c>
      <c r="D712" s="5">
        <v>35879</v>
      </c>
      <c r="E712" s="5">
        <v>35907</v>
      </c>
      <c r="F712" s="5">
        <v>35881</v>
      </c>
      <c r="G712">
        <v>3</v>
      </c>
      <c r="H712" s="1">
        <v>32.270000000000003</v>
      </c>
      <c r="I712" s="1" t="s">
        <v>400</v>
      </c>
      <c r="J712" s="1" t="s">
        <v>401</v>
      </c>
      <c r="K712" s="1" t="s">
        <v>402</v>
      </c>
      <c r="L712" s="1" t="s">
        <v>403</v>
      </c>
      <c r="M712" s="1" t="s">
        <v>404</v>
      </c>
      <c r="N712" s="1" t="s">
        <v>320</v>
      </c>
      <c r="O71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3" spans="1:15" x14ac:dyDescent="0.25">
      <c r="A713">
        <v>10976</v>
      </c>
      <c r="B713" s="1" t="s">
        <v>103</v>
      </c>
      <c r="C713">
        <v>1</v>
      </c>
      <c r="D713" s="5">
        <v>35879</v>
      </c>
      <c r="E713" s="5">
        <v>35921</v>
      </c>
      <c r="F713" s="5">
        <v>35888</v>
      </c>
      <c r="G713">
        <v>1</v>
      </c>
      <c r="H713" s="1">
        <v>37.97</v>
      </c>
      <c r="I713" s="1" t="s">
        <v>104</v>
      </c>
      <c r="J713" s="1" t="s">
        <v>105</v>
      </c>
      <c r="K713" s="1" t="s">
        <v>106</v>
      </c>
      <c r="L713" s="1" t="s">
        <v>107</v>
      </c>
      <c r="M713" s="1" t="s">
        <v>108</v>
      </c>
      <c r="N713" s="1" t="s">
        <v>109</v>
      </c>
      <c r="O71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4" spans="1:15" x14ac:dyDescent="0.25">
      <c r="A714">
        <v>10977</v>
      </c>
      <c r="B714" s="1" t="s">
        <v>138</v>
      </c>
      <c r="C714">
        <v>8</v>
      </c>
      <c r="D714" s="5">
        <v>35880</v>
      </c>
      <c r="E714" s="5">
        <v>35908</v>
      </c>
      <c r="F714" s="5">
        <v>35895</v>
      </c>
      <c r="G714">
        <v>3</v>
      </c>
      <c r="H714" s="1">
        <v>208.5</v>
      </c>
      <c r="I714" s="1" t="s">
        <v>139</v>
      </c>
      <c r="J714" s="1" t="s">
        <v>140</v>
      </c>
      <c r="K714" s="1" t="s">
        <v>141</v>
      </c>
      <c r="L714" s="1" t="s">
        <v>59</v>
      </c>
      <c r="M714" s="1" t="s">
        <v>142</v>
      </c>
      <c r="N714" s="1" t="s">
        <v>143</v>
      </c>
      <c r="O71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5" spans="1:15" x14ac:dyDescent="0.25">
      <c r="A715">
        <v>10978</v>
      </c>
      <c r="B715" s="1" t="s">
        <v>467</v>
      </c>
      <c r="C715">
        <v>9</v>
      </c>
      <c r="D715" s="5">
        <v>35880</v>
      </c>
      <c r="E715" s="5">
        <v>35908</v>
      </c>
      <c r="F715" s="5">
        <v>35908</v>
      </c>
      <c r="G715">
        <v>2</v>
      </c>
      <c r="H715" s="1">
        <v>32.82</v>
      </c>
      <c r="I715" s="1" t="s">
        <v>468</v>
      </c>
      <c r="J715" s="1" t="s">
        <v>469</v>
      </c>
      <c r="K715" s="1" t="s">
        <v>470</v>
      </c>
      <c r="L715" s="1" t="s">
        <v>59</v>
      </c>
      <c r="M715" s="1" t="s">
        <v>471</v>
      </c>
      <c r="N715" s="1" t="s">
        <v>85</v>
      </c>
      <c r="O715" s="1" t="str">
        <f>IF(northwind_orders[[#This Row],[required_date]]-northwind_orders[[#This Row],[shipped_date]]&gt;0,"Faster",IF(northwind_orders[[#This Row],[required_date]]-northwind_orders[[#This Row],[shipped_date]]=0,"In Time","Slower"))</f>
        <v>In Time</v>
      </c>
    </row>
    <row r="716" spans="1:15" x14ac:dyDescent="0.25">
      <c r="A716">
        <v>10979</v>
      </c>
      <c r="B716" s="1" t="s">
        <v>110</v>
      </c>
      <c r="C716">
        <v>8</v>
      </c>
      <c r="D716" s="5">
        <v>35880</v>
      </c>
      <c r="E716" s="5">
        <v>35908</v>
      </c>
      <c r="F716" s="5">
        <v>35885</v>
      </c>
      <c r="G716">
        <v>2</v>
      </c>
      <c r="H716" s="1">
        <v>353.07</v>
      </c>
      <c r="I716" s="1" t="s">
        <v>111</v>
      </c>
      <c r="J716" s="1" t="s">
        <v>112</v>
      </c>
      <c r="K716" s="1" t="s">
        <v>113</v>
      </c>
      <c r="L716" s="1" t="s">
        <v>59</v>
      </c>
      <c r="M716" s="1" t="s">
        <v>114</v>
      </c>
      <c r="N716" s="1" t="s">
        <v>115</v>
      </c>
      <c r="O71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7" spans="1:15" x14ac:dyDescent="0.25">
      <c r="A717">
        <v>10980</v>
      </c>
      <c r="B717" s="1" t="s">
        <v>138</v>
      </c>
      <c r="C717">
        <v>4</v>
      </c>
      <c r="D717" s="5">
        <v>35881</v>
      </c>
      <c r="E717" s="5">
        <v>35923</v>
      </c>
      <c r="F717" s="5">
        <v>35902</v>
      </c>
      <c r="G717">
        <v>1</v>
      </c>
      <c r="H717" s="1">
        <v>1.26</v>
      </c>
      <c r="I717" s="1" t="s">
        <v>139</v>
      </c>
      <c r="J717" s="1" t="s">
        <v>140</v>
      </c>
      <c r="K717" s="1" t="s">
        <v>141</v>
      </c>
      <c r="L717" s="1" t="s">
        <v>59</v>
      </c>
      <c r="M717" s="1" t="s">
        <v>142</v>
      </c>
      <c r="N717" s="1" t="s">
        <v>143</v>
      </c>
      <c r="O71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8" spans="1:15" x14ac:dyDescent="0.25">
      <c r="A718">
        <v>10981</v>
      </c>
      <c r="B718" s="1" t="s">
        <v>68</v>
      </c>
      <c r="C718">
        <v>1</v>
      </c>
      <c r="D718" s="5">
        <v>35881</v>
      </c>
      <c r="E718" s="5">
        <v>35909</v>
      </c>
      <c r="F718" s="5">
        <v>35887</v>
      </c>
      <c r="G718">
        <v>2</v>
      </c>
      <c r="H718" s="1">
        <v>193.37</v>
      </c>
      <c r="I718" s="1" t="s">
        <v>69</v>
      </c>
      <c r="J718" s="1" t="s">
        <v>70</v>
      </c>
      <c r="K718" s="1" t="s">
        <v>71</v>
      </c>
      <c r="L718" s="1" t="s">
        <v>72</v>
      </c>
      <c r="M718" s="1" t="s">
        <v>73</v>
      </c>
      <c r="N718" s="1" t="s">
        <v>74</v>
      </c>
      <c r="O71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19" spans="1:15" x14ac:dyDescent="0.25">
      <c r="A719">
        <v>10982</v>
      </c>
      <c r="B719" s="1" t="s">
        <v>399</v>
      </c>
      <c r="C719">
        <v>2</v>
      </c>
      <c r="D719" s="5">
        <v>35881</v>
      </c>
      <c r="E719" s="5">
        <v>35909</v>
      </c>
      <c r="F719" s="5">
        <v>35893</v>
      </c>
      <c r="G719">
        <v>1</v>
      </c>
      <c r="H719" s="1">
        <v>14.01</v>
      </c>
      <c r="I719" s="1" t="s">
        <v>400</v>
      </c>
      <c r="J719" s="1" t="s">
        <v>401</v>
      </c>
      <c r="K719" s="1" t="s">
        <v>402</v>
      </c>
      <c r="L719" s="1" t="s">
        <v>403</v>
      </c>
      <c r="M719" s="1" t="s">
        <v>404</v>
      </c>
      <c r="N719" s="1" t="s">
        <v>320</v>
      </c>
      <c r="O71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0" spans="1:15" x14ac:dyDescent="0.25">
      <c r="A720">
        <v>10983</v>
      </c>
      <c r="B720" s="1" t="s">
        <v>293</v>
      </c>
      <c r="C720">
        <v>2</v>
      </c>
      <c r="D720" s="5">
        <v>35881</v>
      </c>
      <c r="E720" s="5">
        <v>35909</v>
      </c>
      <c r="F720" s="5">
        <v>35891</v>
      </c>
      <c r="G720">
        <v>2</v>
      </c>
      <c r="H720" s="1">
        <v>657.54</v>
      </c>
      <c r="I720" s="1" t="s">
        <v>294</v>
      </c>
      <c r="J720" s="1" t="s">
        <v>295</v>
      </c>
      <c r="K720" s="1" t="s">
        <v>296</v>
      </c>
      <c r="L720" s="1" t="s">
        <v>297</v>
      </c>
      <c r="M720" s="1" t="s">
        <v>298</v>
      </c>
      <c r="N720" s="1" t="s">
        <v>137</v>
      </c>
      <c r="O72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1" spans="1:15" x14ac:dyDescent="0.25">
      <c r="A721">
        <v>10984</v>
      </c>
      <c r="B721" s="1" t="s">
        <v>293</v>
      </c>
      <c r="C721">
        <v>1</v>
      </c>
      <c r="D721" s="5">
        <v>35884</v>
      </c>
      <c r="E721" s="5">
        <v>35912</v>
      </c>
      <c r="F721" s="5">
        <v>35888</v>
      </c>
      <c r="G721">
        <v>3</v>
      </c>
      <c r="H721" s="1">
        <v>211.22</v>
      </c>
      <c r="I721" s="1" t="s">
        <v>294</v>
      </c>
      <c r="J721" s="1" t="s">
        <v>295</v>
      </c>
      <c r="K721" s="1" t="s">
        <v>296</v>
      </c>
      <c r="L721" s="1" t="s">
        <v>297</v>
      </c>
      <c r="M721" s="1" t="s">
        <v>298</v>
      </c>
      <c r="N721" s="1" t="s">
        <v>137</v>
      </c>
      <c r="O72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2" spans="1:15" x14ac:dyDescent="0.25">
      <c r="A722">
        <v>10986</v>
      </c>
      <c r="B722" s="1" t="s">
        <v>416</v>
      </c>
      <c r="C722">
        <v>8</v>
      </c>
      <c r="D722" s="5">
        <v>35884</v>
      </c>
      <c r="E722" s="5">
        <v>35912</v>
      </c>
      <c r="F722" s="5">
        <v>35906</v>
      </c>
      <c r="G722">
        <v>2</v>
      </c>
      <c r="H722" s="1">
        <v>217.86</v>
      </c>
      <c r="I722" s="1" t="s">
        <v>417</v>
      </c>
      <c r="J722" s="1" t="s">
        <v>418</v>
      </c>
      <c r="K722" s="1" t="s">
        <v>419</v>
      </c>
      <c r="L722" s="1" t="s">
        <v>59</v>
      </c>
      <c r="M722" s="1" t="s">
        <v>420</v>
      </c>
      <c r="N722" s="1" t="s">
        <v>421</v>
      </c>
      <c r="O72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3" spans="1:15" x14ac:dyDescent="0.25">
      <c r="A723">
        <v>10987</v>
      </c>
      <c r="B723" s="1" t="s">
        <v>360</v>
      </c>
      <c r="C723">
        <v>8</v>
      </c>
      <c r="D723" s="5">
        <v>35885</v>
      </c>
      <c r="E723" s="5">
        <v>35913</v>
      </c>
      <c r="F723" s="5">
        <v>35891</v>
      </c>
      <c r="G723">
        <v>1</v>
      </c>
      <c r="H723" s="1">
        <v>185.48</v>
      </c>
      <c r="I723" s="1" t="s">
        <v>361</v>
      </c>
      <c r="J723" s="1" t="s">
        <v>362</v>
      </c>
      <c r="K723" s="1" t="s">
        <v>232</v>
      </c>
      <c r="L723" s="1" t="s">
        <v>59</v>
      </c>
      <c r="M723" s="1" t="s">
        <v>363</v>
      </c>
      <c r="N723" s="1" t="s">
        <v>234</v>
      </c>
      <c r="O72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4" spans="1:15" x14ac:dyDescent="0.25">
      <c r="A724">
        <v>10988</v>
      </c>
      <c r="B724" s="1" t="s">
        <v>131</v>
      </c>
      <c r="C724">
        <v>3</v>
      </c>
      <c r="D724" s="5">
        <v>35885</v>
      </c>
      <c r="E724" s="5">
        <v>35913</v>
      </c>
      <c r="F724" s="5">
        <v>35895</v>
      </c>
      <c r="G724">
        <v>2</v>
      </c>
      <c r="H724" s="1">
        <v>61.14</v>
      </c>
      <c r="I724" s="1" t="s">
        <v>132</v>
      </c>
      <c r="J724" s="1" t="s">
        <v>133</v>
      </c>
      <c r="K724" s="1" t="s">
        <v>134</v>
      </c>
      <c r="L724" s="1" t="s">
        <v>135</v>
      </c>
      <c r="M724" s="1" t="s">
        <v>136</v>
      </c>
      <c r="N724" s="1" t="s">
        <v>137</v>
      </c>
      <c r="O72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5" spans="1:15" x14ac:dyDescent="0.25">
      <c r="A725">
        <v>10989</v>
      </c>
      <c r="B725" s="1" t="s">
        <v>127</v>
      </c>
      <c r="C725">
        <v>2</v>
      </c>
      <c r="D725" s="5">
        <v>35885</v>
      </c>
      <c r="E725" s="5">
        <v>35913</v>
      </c>
      <c r="F725" s="5">
        <v>35887</v>
      </c>
      <c r="G725">
        <v>1</v>
      </c>
      <c r="H725" s="1">
        <v>34.76</v>
      </c>
      <c r="I725" s="1" t="s">
        <v>128</v>
      </c>
      <c r="J725" s="1" t="s">
        <v>129</v>
      </c>
      <c r="K725" s="1" t="s">
        <v>71</v>
      </c>
      <c r="L725" s="1" t="s">
        <v>72</v>
      </c>
      <c r="M725" s="1" t="s">
        <v>130</v>
      </c>
      <c r="N725" s="1" t="s">
        <v>74</v>
      </c>
      <c r="O72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6" spans="1:15" x14ac:dyDescent="0.25">
      <c r="A726">
        <v>10990</v>
      </c>
      <c r="B726" s="1" t="s">
        <v>110</v>
      </c>
      <c r="C726">
        <v>2</v>
      </c>
      <c r="D726" s="5">
        <v>35886</v>
      </c>
      <c r="E726" s="5">
        <v>35928</v>
      </c>
      <c r="F726" s="5">
        <v>35892</v>
      </c>
      <c r="G726">
        <v>3</v>
      </c>
      <c r="H726" s="1">
        <v>117.61</v>
      </c>
      <c r="I726" s="1" t="s">
        <v>111</v>
      </c>
      <c r="J726" s="1" t="s">
        <v>112</v>
      </c>
      <c r="K726" s="1" t="s">
        <v>113</v>
      </c>
      <c r="L726" s="1" t="s">
        <v>59</v>
      </c>
      <c r="M726" s="1" t="s">
        <v>114</v>
      </c>
      <c r="N726" s="1" t="s">
        <v>115</v>
      </c>
      <c r="O72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7" spans="1:15" x14ac:dyDescent="0.25">
      <c r="A727">
        <v>10991</v>
      </c>
      <c r="B727" s="1" t="s">
        <v>178</v>
      </c>
      <c r="C727">
        <v>1</v>
      </c>
      <c r="D727" s="5">
        <v>35886</v>
      </c>
      <c r="E727" s="5">
        <v>35914</v>
      </c>
      <c r="F727" s="5">
        <v>35892</v>
      </c>
      <c r="G727">
        <v>1</v>
      </c>
      <c r="H727" s="1">
        <v>38.51</v>
      </c>
      <c r="I727" s="1" t="s">
        <v>179</v>
      </c>
      <c r="J727" s="1" t="s">
        <v>180</v>
      </c>
      <c r="K727" s="1" t="s">
        <v>181</v>
      </c>
      <c r="L727" s="1" t="s">
        <v>59</v>
      </c>
      <c r="M727" s="1" t="s">
        <v>182</v>
      </c>
      <c r="N727" s="1" t="s">
        <v>67</v>
      </c>
      <c r="O72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8" spans="1:15" x14ac:dyDescent="0.25">
      <c r="A728">
        <v>10992</v>
      </c>
      <c r="B728" s="1" t="s">
        <v>270</v>
      </c>
      <c r="C728">
        <v>1</v>
      </c>
      <c r="D728" s="5">
        <v>35886</v>
      </c>
      <c r="E728" s="5">
        <v>35914</v>
      </c>
      <c r="F728" s="5">
        <v>35888</v>
      </c>
      <c r="G728">
        <v>3</v>
      </c>
      <c r="H728" s="1">
        <v>4.2699999999999996</v>
      </c>
      <c r="I728" s="1" t="s">
        <v>271</v>
      </c>
      <c r="J728" s="1" t="s">
        <v>272</v>
      </c>
      <c r="K728" s="1" t="s">
        <v>263</v>
      </c>
      <c r="L728" s="1" t="s">
        <v>264</v>
      </c>
      <c r="M728" s="1" t="s">
        <v>273</v>
      </c>
      <c r="N728" s="1" t="s">
        <v>137</v>
      </c>
      <c r="O72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29" spans="1:15" x14ac:dyDescent="0.25">
      <c r="A729">
        <v>10993</v>
      </c>
      <c r="B729" s="1" t="s">
        <v>138</v>
      </c>
      <c r="C729">
        <v>7</v>
      </c>
      <c r="D729" s="5">
        <v>35886</v>
      </c>
      <c r="E729" s="5">
        <v>35914</v>
      </c>
      <c r="F729" s="5">
        <v>35895</v>
      </c>
      <c r="G729">
        <v>3</v>
      </c>
      <c r="H729" s="1">
        <v>8.81</v>
      </c>
      <c r="I729" s="1" t="s">
        <v>139</v>
      </c>
      <c r="J729" s="1" t="s">
        <v>140</v>
      </c>
      <c r="K729" s="1" t="s">
        <v>141</v>
      </c>
      <c r="L729" s="1" t="s">
        <v>59</v>
      </c>
      <c r="M729" s="1" t="s">
        <v>142</v>
      </c>
      <c r="N729" s="1" t="s">
        <v>143</v>
      </c>
      <c r="O72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0" spans="1:15" x14ac:dyDescent="0.25">
      <c r="A730">
        <v>10994</v>
      </c>
      <c r="B730" s="1" t="s">
        <v>373</v>
      </c>
      <c r="C730">
        <v>2</v>
      </c>
      <c r="D730" s="5">
        <v>35887</v>
      </c>
      <c r="E730" s="5">
        <v>35901</v>
      </c>
      <c r="F730" s="5">
        <v>35894</v>
      </c>
      <c r="G730">
        <v>3</v>
      </c>
      <c r="H730" s="1">
        <v>65.53</v>
      </c>
      <c r="I730" s="1" t="s">
        <v>374</v>
      </c>
      <c r="J730" s="1" t="s">
        <v>375</v>
      </c>
      <c r="K730" s="1" t="s">
        <v>376</v>
      </c>
      <c r="L730" s="1" t="s">
        <v>59</v>
      </c>
      <c r="M730" s="1" t="s">
        <v>377</v>
      </c>
      <c r="N730" s="1" t="s">
        <v>330</v>
      </c>
      <c r="O73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1" spans="1:15" x14ac:dyDescent="0.25">
      <c r="A731">
        <v>10995</v>
      </c>
      <c r="B731" s="1" t="s">
        <v>285</v>
      </c>
      <c r="C731">
        <v>1</v>
      </c>
      <c r="D731" s="5">
        <v>35887</v>
      </c>
      <c r="E731" s="5">
        <v>35915</v>
      </c>
      <c r="F731" s="5">
        <v>35891</v>
      </c>
      <c r="G731">
        <v>3</v>
      </c>
      <c r="H731" s="1" t="s">
        <v>22</v>
      </c>
      <c r="I731" s="1" t="s">
        <v>286</v>
      </c>
      <c r="J731" s="1" t="s">
        <v>287</v>
      </c>
      <c r="K731" s="1" t="s">
        <v>119</v>
      </c>
      <c r="L731" s="1" t="s">
        <v>59</v>
      </c>
      <c r="M731" s="1" t="s">
        <v>192</v>
      </c>
      <c r="N731" s="1" t="s">
        <v>121</v>
      </c>
      <c r="O73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2" spans="1:15" x14ac:dyDescent="0.25">
      <c r="A732">
        <v>10996</v>
      </c>
      <c r="B732" s="1" t="s">
        <v>178</v>
      </c>
      <c r="C732">
        <v>4</v>
      </c>
      <c r="D732" s="5">
        <v>35887</v>
      </c>
      <c r="E732" s="5">
        <v>35915</v>
      </c>
      <c r="F732" s="5">
        <v>35895</v>
      </c>
      <c r="G732">
        <v>2</v>
      </c>
      <c r="H732" s="1">
        <v>1.1200000000000001</v>
      </c>
      <c r="I732" s="1" t="s">
        <v>179</v>
      </c>
      <c r="J732" s="1" t="s">
        <v>180</v>
      </c>
      <c r="K732" s="1" t="s">
        <v>181</v>
      </c>
      <c r="L732" s="1" t="s">
        <v>59</v>
      </c>
      <c r="M732" s="1" t="s">
        <v>182</v>
      </c>
      <c r="N732" s="1" t="s">
        <v>67</v>
      </c>
      <c r="O73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3" spans="1:15" x14ac:dyDescent="0.25">
      <c r="A733">
        <v>10997</v>
      </c>
      <c r="B733" s="1" t="s">
        <v>214</v>
      </c>
      <c r="C733">
        <v>8</v>
      </c>
      <c r="D733" s="5">
        <v>35888</v>
      </c>
      <c r="E733" s="5">
        <v>35930</v>
      </c>
      <c r="F733" s="5">
        <v>35898</v>
      </c>
      <c r="G733">
        <v>2</v>
      </c>
      <c r="H733" s="1">
        <v>73.91</v>
      </c>
      <c r="I733" s="1" t="s">
        <v>215</v>
      </c>
      <c r="J733" s="1" t="s">
        <v>216</v>
      </c>
      <c r="K733" s="1" t="s">
        <v>217</v>
      </c>
      <c r="L733" s="1" t="s">
        <v>218</v>
      </c>
      <c r="M733" s="1" t="s">
        <v>219</v>
      </c>
      <c r="N733" s="1" t="s">
        <v>109</v>
      </c>
      <c r="O73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4" spans="1:15" x14ac:dyDescent="0.25">
      <c r="A734">
        <v>10998</v>
      </c>
      <c r="B734" s="1" t="s">
        <v>382</v>
      </c>
      <c r="C734">
        <v>8</v>
      </c>
      <c r="D734" s="5">
        <v>35888</v>
      </c>
      <c r="E734" s="5">
        <v>35902</v>
      </c>
      <c r="F734" s="5">
        <v>35902</v>
      </c>
      <c r="G734">
        <v>2</v>
      </c>
      <c r="H734" s="1">
        <v>20.309999999999999</v>
      </c>
      <c r="I734" s="1" t="s">
        <v>383</v>
      </c>
      <c r="J734" s="1" t="s">
        <v>384</v>
      </c>
      <c r="K734" s="1" t="s">
        <v>385</v>
      </c>
      <c r="L734" s="1" t="s">
        <v>59</v>
      </c>
      <c r="M734" s="1" t="s">
        <v>386</v>
      </c>
      <c r="N734" s="1" t="s">
        <v>387</v>
      </c>
      <c r="O734" s="1" t="str">
        <f>IF(northwind_orders[[#This Row],[required_date]]-northwind_orders[[#This Row],[shipped_date]]&gt;0,"Faster",IF(northwind_orders[[#This Row],[required_date]]-northwind_orders[[#This Row],[shipped_date]]=0,"In Time","Slower"))</f>
        <v>In Time</v>
      </c>
    </row>
    <row r="735" spans="1:15" x14ac:dyDescent="0.25">
      <c r="A735">
        <v>10999</v>
      </c>
      <c r="B735" s="1" t="s">
        <v>122</v>
      </c>
      <c r="C735">
        <v>6</v>
      </c>
      <c r="D735" s="5">
        <v>35888</v>
      </c>
      <c r="E735" s="5">
        <v>35916</v>
      </c>
      <c r="F735" s="5">
        <v>35895</v>
      </c>
      <c r="G735">
        <v>2</v>
      </c>
      <c r="H735" s="1">
        <v>96.35</v>
      </c>
      <c r="I735" s="1" t="s">
        <v>123</v>
      </c>
      <c r="J735" s="1" t="s">
        <v>124</v>
      </c>
      <c r="K735" s="1" t="s">
        <v>125</v>
      </c>
      <c r="L735" s="1" t="s">
        <v>59</v>
      </c>
      <c r="M735" s="1" t="s">
        <v>126</v>
      </c>
      <c r="N735" s="1" t="s">
        <v>67</v>
      </c>
      <c r="O73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6" spans="1:15" x14ac:dyDescent="0.25">
      <c r="A736">
        <v>11000</v>
      </c>
      <c r="B736" s="1" t="s">
        <v>131</v>
      </c>
      <c r="C736">
        <v>2</v>
      </c>
      <c r="D736" s="5">
        <v>35891</v>
      </c>
      <c r="E736" s="5">
        <v>35919</v>
      </c>
      <c r="F736" s="5">
        <v>35899</v>
      </c>
      <c r="G736">
        <v>3</v>
      </c>
      <c r="H736" s="1">
        <v>55.12</v>
      </c>
      <c r="I736" s="1" t="s">
        <v>132</v>
      </c>
      <c r="J736" s="1" t="s">
        <v>133</v>
      </c>
      <c r="K736" s="1" t="s">
        <v>134</v>
      </c>
      <c r="L736" s="1" t="s">
        <v>135</v>
      </c>
      <c r="M736" s="1" t="s">
        <v>136</v>
      </c>
      <c r="N736" s="1" t="s">
        <v>137</v>
      </c>
      <c r="O73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7" spans="1:15" x14ac:dyDescent="0.25">
      <c r="A737">
        <v>11001</v>
      </c>
      <c r="B737" s="1" t="s">
        <v>138</v>
      </c>
      <c r="C737">
        <v>2</v>
      </c>
      <c r="D737" s="5">
        <v>35891</v>
      </c>
      <c r="E737" s="5">
        <v>35919</v>
      </c>
      <c r="F737" s="5">
        <v>35899</v>
      </c>
      <c r="G737">
        <v>2</v>
      </c>
      <c r="H737" s="1">
        <v>197.3</v>
      </c>
      <c r="I737" s="1" t="s">
        <v>139</v>
      </c>
      <c r="J737" s="1" t="s">
        <v>140</v>
      </c>
      <c r="K737" s="1" t="s">
        <v>141</v>
      </c>
      <c r="L737" s="1" t="s">
        <v>59</v>
      </c>
      <c r="M737" s="1" t="s">
        <v>142</v>
      </c>
      <c r="N737" s="1" t="s">
        <v>143</v>
      </c>
      <c r="O73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8" spans="1:15" x14ac:dyDescent="0.25">
      <c r="A738">
        <v>11002</v>
      </c>
      <c r="B738" s="1" t="s">
        <v>293</v>
      </c>
      <c r="C738">
        <v>4</v>
      </c>
      <c r="D738" s="5">
        <v>35891</v>
      </c>
      <c r="E738" s="5">
        <v>35919</v>
      </c>
      <c r="F738" s="5">
        <v>35901</v>
      </c>
      <c r="G738">
        <v>1</v>
      </c>
      <c r="H738" s="1">
        <v>141.16</v>
      </c>
      <c r="I738" s="1" t="s">
        <v>294</v>
      </c>
      <c r="J738" s="1" t="s">
        <v>295</v>
      </c>
      <c r="K738" s="1" t="s">
        <v>296</v>
      </c>
      <c r="L738" s="1" t="s">
        <v>297</v>
      </c>
      <c r="M738" s="1" t="s">
        <v>298</v>
      </c>
      <c r="N738" s="1" t="s">
        <v>137</v>
      </c>
      <c r="O73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39" spans="1:15" x14ac:dyDescent="0.25">
      <c r="A739">
        <v>11003</v>
      </c>
      <c r="B739" s="1" t="s">
        <v>488</v>
      </c>
      <c r="C739">
        <v>3</v>
      </c>
      <c r="D739" s="5">
        <v>35891</v>
      </c>
      <c r="E739" s="5">
        <v>35919</v>
      </c>
      <c r="F739" s="5">
        <v>35893</v>
      </c>
      <c r="G739">
        <v>3</v>
      </c>
      <c r="H739" s="1">
        <v>14.91</v>
      </c>
      <c r="I739" s="1" t="s">
        <v>489</v>
      </c>
      <c r="J739" s="1" t="s">
        <v>490</v>
      </c>
      <c r="K739" s="1" t="s">
        <v>491</v>
      </c>
      <c r="L739" s="1" t="s">
        <v>492</v>
      </c>
      <c r="M739" s="1" t="s">
        <v>493</v>
      </c>
      <c r="N739" s="1" t="s">
        <v>137</v>
      </c>
      <c r="O73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0" spans="1:15" x14ac:dyDescent="0.25">
      <c r="A740">
        <v>11004</v>
      </c>
      <c r="B740" s="1" t="s">
        <v>467</v>
      </c>
      <c r="C740">
        <v>3</v>
      </c>
      <c r="D740" s="5">
        <v>35892</v>
      </c>
      <c r="E740" s="5">
        <v>35920</v>
      </c>
      <c r="F740" s="5">
        <v>35905</v>
      </c>
      <c r="G740">
        <v>1</v>
      </c>
      <c r="H740" s="1">
        <v>44.84</v>
      </c>
      <c r="I740" s="1" t="s">
        <v>468</v>
      </c>
      <c r="J740" s="1" t="s">
        <v>469</v>
      </c>
      <c r="K740" s="1" t="s">
        <v>470</v>
      </c>
      <c r="L740" s="1" t="s">
        <v>59</v>
      </c>
      <c r="M740" s="1" t="s">
        <v>471</v>
      </c>
      <c r="N740" s="1" t="s">
        <v>85</v>
      </c>
      <c r="O74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1" spans="1:15" x14ac:dyDescent="0.25">
      <c r="A741">
        <v>11005</v>
      </c>
      <c r="B741" s="1" t="s">
        <v>483</v>
      </c>
      <c r="C741">
        <v>2</v>
      </c>
      <c r="D741" s="5">
        <v>35892</v>
      </c>
      <c r="E741" s="5">
        <v>35920</v>
      </c>
      <c r="F741" s="5">
        <v>35895</v>
      </c>
      <c r="G741">
        <v>1</v>
      </c>
      <c r="H741" s="1">
        <v>0.75</v>
      </c>
      <c r="I741" s="1" t="s">
        <v>484</v>
      </c>
      <c r="J741" s="1" t="s">
        <v>485</v>
      </c>
      <c r="K741" s="1" t="s">
        <v>486</v>
      </c>
      <c r="L741" s="1" t="s">
        <v>59</v>
      </c>
      <c r="M741" s="1" t="s">
        <v>487</v>
      </c>
      <c r="N741" s="1" t="s">
        <v>154</v>
      </c>
      <c r="O74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2" spans="1:15" x14ac:dyDescent="0.25">
      <c r="A742">
        <v>11006</v>
      </c>
      <c r="B742" s="1" t="s">
        <v>462</v>
      </c>
      <c r="C742">
        <v>3</v>
      </c>
      <c r="D742" s="5">
        <v>35892</v>
      </c>
      <c r="E742" s="5">
        <v>35920</v>
      </c>
      <c r="F742" s="5">
        <v>35900</v>
      </c>
      <c r="G742">
        <v>2</v>
      </c>
      <c r="H742" s="1">
        <v>25.19</v>
      </c>
      <c r="I742" s="1" t="s">
        <v>463</v>
      </c>
      <c r="J742" s="1" t="s">
        <v>464</v>
      </c>
      <c r="K742" s="1" t="s">
        <v>465</v>
      </c>
      <c r="L742" s="1" t="s">
        <v>264</v>
      </c>
      <c r="M742" s="1" t="s">
        <v>466</v>
      </c>
      <c r="N742" s="1" t="s">
        <v>137</v>
      </c>
      <c r="O74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3" spans="1:15" x14ac:dyDescent="0.25">
      <c r="A743">
        <v>11007</v>
      </c>
      <c r="B743" s="1" t="s">
        <v>321</v>
      </c>
      <c r="C743">
        <v>8</v>
      </c>
      <c r="D743" s="5">
        <v>35893</v>
      </c>
      <c r="E743" s="5">
        <v>35921</v>
      </c>
      <c r="F743" s="5">
        <v>35898</v>
      </c>
      <c r="G743">
        <v>2</v>
      </c>
      <c r="H743" s="1">
        <v>202.24</v>
      </c>
      <c r="I743" s="1" t="s">
        <v>322</v>
      </c>
      <c r="J743" s="1" t="s">
        <v>323</v>
      </c>
      <c r="K743" s="1" t="s">
        <v>306</v>
      </c>
      <c r="L743" s="1" t="s">
        <v>59</v>
      </c>
      <c r="M743" s="1" t="s">
        <v>324</v>
      </c>
      <c r="N743" s="1" t="s">
        <v>308</v>
      </c>
      <c r="O74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4" spans="1:15" x14ac:dyDescent="0.25">
      <c r="A744">
        <v>11009</v>
      </c>
      <c r="B744" s="1" t="s">
        <v>249</v>
      </c>
      <c r="C744">
        <v>2</v>
      </c>
      <c r="D744" s="5">
        <v>35893</v>
      </c>
      <c r="E744" s="5">
        <v>35921</v>
      </c>
      <c r="F744" s="5">
        <v>35895</v>
      </c>
      <c r="G744">
        <v>1</v>
      </c>
      <c r="H744" s="1">
        <v>59.11</v>
      </c>
      <c r="I744" s="1" t="s">
        <v>250</v>
      </c>
      <c r="J744" s="1" t="s">
        <v>251</v>
      </c>
      <c r="K744" s="1" t="s">
        <v>252</v>
      </c>
      <c r="L744" s="1" t="s">
        <v>59</v>
      </c>
      <c r="M744" s="1" t="s">
        <v>253</v>
      </c>
      <c r="N744" s="1" t="s">
        <v>213</v>
      </c>
      <c r="O74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5" spans="1:15" x14ac:dyDescent="0.25">
      <c r="A745">
        <v>11010</v>
      </c>
      <c r="B745" s="1" t="s">
        <v>224</v>
      </c>
      <c r="C745">
        <v>2</v>
      </c>
      <c r="D745" s="5">
        <v>35894</v>
      </c>
      <c r="E745" s="5">
        <v>35922</v>
      </c>
      <c r="F745" s="5">
        <v>35906</v>
      </c>
      <c r="G745">
        <v>2</v>
      </c>
      <c r="H745" s="1">
        <v>28.71</v>
      </c>
      <c r="I745" s="1" t="s">
        <v>225</v>
      </c>
      <c r="J745" s="1" t="s">
        <v>226</v>
      </c>
      <c r="K745" s="1" t="s">
        <v>227</v>
      </c>
      <c r="L745" s="1" t="s">
        <v>59</v>
      </c>
      <c r="M745" s="1" t="s">
        <v>228</v>
      </c>
      <c r="N745" s="1" t="s">
        <v>188</v>
      </c>
      <c r="O74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6" spans="1:15" x14ac:dyDescent="0.25">
      <c r="A746">
        <v>11011</v>
      </c>
      <c r="B746" s="1" t="s">
        <v>494</v>
      </c>
      <c r="C746">
        <v>3</v>
      </c>
      <c r="D746" s="5">
        <v>35894</v>
      </c>
      <c r="E746" s="5">
        <v>35922</v>
      </c>
      <c r="F746" s="5">
        <v>35898</v>
      </c>
      <c r="G746">
        <v>1</v>
      </c>
      <c r="H746" s="1">
        <v>1.21</v>
      </c>
      <c r="I746" s="1" t="s">
        <v>502</v>
      </c>
      <c r="J746" s="1" t="s">
        <v>496</v>
      </c>
      <c r="K746" s="1" t="s">
        <v>497</v>
      </c>
      <c r="L746" s="1" t="s">
        <v>59</v>
      </c>
      <c r="M746" s="1" t="s">
        <v>498</v>
      </c>
      <c r="N746" s="1" t="s">
        <v>67</v>
      </c>
      <c r="O74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7" spans="1:15" x14ac:dyDescent="0.25">
      <c r="A747">
        <v>11012</v>
      </c>
      <c r="B747" s="1" t="s">
        <v>155</v>
      </c>
      <c r="C747">
        <v>1</v>
      </c>
      <c r="D747" s="5">
        <v>35894</v>
      </c>
      <c r="E747" s="5">
        <v>35908</v>
      </c>
      <c r="F747" s="5">
        <v>35902</v>
      </c>
      <c r="G747">
        <v>3</v>
      </c>
      <c r="H747" s="1">
        <v>242.95</v>
      </c>
      <c r="I747" s="1" t="s">
        <v>156</v>
      </c>
      <c r="J747" s="1" t="s">
        <v>157</v>
      </c>
      <c r="K747" s="1" t="s">
        <v>158</v>
      </c>
      <c r="L747" s="1" t="s">
        <v>59</v>
      </c>
      <c r="M747" s="1" t="s">
        <v>159</v>
      </c>
      <c r="N747" s="1" t="s">
        <v>67</v>
      </c>
      <c r="O74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8" spans="1:15" x14ac:dyDescent="0.25">
      <c r="A748">
        <v>11013</v>
      </c>
      <c r="B748" s="1" t="s">
        <v>208</v>
      </c>
      <c r="C748">
        <v>2</v>
      </c>
      <c r="D748" s="5">
        <v>35894</v>
      </c>
      <c r="E748" s="5">
        <v>35922</v>
      </c>
      <c r="F748" s="5">
        <v>35895</v>
      </c>
      <c r="G748">
        <v>1</v>
      </c>
      <c r="H748" s="1">
        <v>32.99</v>
      </c>
      <c r="I748" s="1" t="s">
        <v>209</v>
      </c>
      <c r="J748" s="1" t="s">
        <v>210</v>
      </c>
      <c r="K748" s="1" t="s">
        <v>211</v>
      </c>
      <c r="L748" s="1" t="s">
        <v>59</v>
      </c>
      <c r="M748" s="1" t="s">
        <v>212</v>
      </c>
      <c r="N748" s="1" t="s">
        <v>213</v>
      </c>
      <c r="O74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49" spans="1:15" x14ac:dyDescent="0.25">
      <c r="A749">
        <v>11014</v>
      </c>
      <c r="B749" s="1" t="s">
        <v>405</v>
      </c>
      <c r="C749">
        <v>2</v>
      </c>
      <c r="D749" s="5">
        <v>35895</v>
      </c>
      <c r="E749" s="5">
        <v>35923</v>
      </c>
      <c r="F749" s="5">
        <v>35900</v>
      </c>
      <c r="G749">
        <v>3</v>
      </c>
      <c r="H749" s="1">
        <v>23.6</v>
      </c>
      <c r="I749" s="1" t="s">
        <v>406</v>
      </c>
      <c r="J749" s="1" t="s">
        <v>407</v>
      </c>
      <c r="K749" s="1" t="s">
        <v>408</v>
      </c>
      <c r="L749" s="1" t="s">
        <v>409</v>
      </c>
      <c r="M749" s="1" t="s">
        <v>410</v>
      </c>
      <c r="N749" s="1" t="s">
        <v>109</v>
      </c>
      <c r="O74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0" spans="1:15" x14ac:dyDescent="0.25">
      <c r="A750">
        <v>11015</v>
      </c>
      <c r="B750" s="1" t="s">
        <v>393</v>
      </c>
      <c r="C750">
        <v>2</v>
      </c>
      <c r="D750" s="5">
        <v>35895</v>
      </c>
      <c r="E750" s="5">
        <v>35909</v>
      </c>
      <c r="F750" s="5">
        <v>35905</v>
      </c>
      <c r="G750">
        <v>2</v>
      </c>
      <c r="H750" s="1">
        <v>4.62</v>
      </c>
      <c r="I750" s="1" t="s">
        <v>394</v>
      </c>
      <c r="J750" s="1" t="s">
        <v>395</v>
      </c>
      <c r="K750" s="1" t="s">
        <v>396</v>
      </c>
      <c r="L750" s="1" t="s">
        <v>59</v>
      </c>
      <c r="M750" s="1" t="s">
        <v>397</v>
      </c>
      <c r="N750" s="1" t="s">
        <v>398</v>
      </c>
      <c r="O75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1" spans="1:15" x14ac:dyDescent="0.25">
      <c r="A751">
        <v>11016</v>
      </c>
      <c r="B751" s="1" t="s">
        <v>345</v>
      </c>
      <c r="C751">
        <v>9</v>
      </c>
      <c r="D751" s="5">
        <v>35895</v>
      </c>
      <c r="E751" s="5">
        <v>35923</v>
      </c>
      <c r="F751" s="5">
        <v>35898</v>
      </c>
      <c r="G751">
        <v>2</v>
      </c>
      <c r="H751" s="1">
        <v>33.799999999999997</v>
      </c>
      <c r="I751" s="1" t="s">
        <v>346</v>
      </c>
      <c r="J751" s="1" t="s">
        <v>347</v>
      </c>
      <c r="K751" s="1" t="s">
        <v>348</v>
      </c>
      <c r="L751" s="1" t="s">
        <v>349</v>
      </c>
      <c r="M751" s="1" t="s">
        <v>350</v>
      </c>
      <c r="N751" s="1" t="s">
        <v>234</v>
      </c>
      <c r="O75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2" spans="1:15" x14ac:dyDescent="0.25">
      <c r="A752">
        <v>11017</v>
      </c>
      <c r="B752" s="1" t="s">
        <v>110</v>
      </c>
      <c r="C752">
        <v>9</v>
      </c>
      <c r="D752" s="5">
        <v>35898</v>
      </c>
      <c r="E752" s="5">
        <v>35926</v>
      </c>
      <c r="F752" s="5">
        <v>35905</v>
      </c>
      <c r="G752">
        <v>2</v>
      </c>
      <c r="H752" s="1">
        <v>754.26</v>
      </c>
      <c r="I752" s="1" t="s">
        <v>111</v>
      </c>
      <c r="J752" s="1" t="s">
        <v>112</v>
      </c>
      <c r="K752" s="1" t="s">
        <v>113</v>
      </c>
      <c r="L752" s="1" t="s">
        <v>59</v>
      </c>
      <c r="M752" s="1" t="s">
        <v>114</v>
      </c>
      <c r="N752" s="1" t="s">
        <v>115</v>
      </c>
      <c r="O75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3" spans="1:15" x14ac:dyDescent="0.25">
      <c r="A753">
        <v>11018</v>
      </c>
      <c r="B753" s="1" t="s">
        <v>260</v>
      </c>
      <c r="C753">
        <v>4</v>
      </c>
      <c r="D753" s="5">
        <v>35898</v>
      </c>
      <c r="E753" s="5">
        <v>35926</v>
      </c>
      <c r="F753" s="5">
        <v>35901</v>
      </c>
      <c r="G753">
        <v>2</v>
      </c>
      <c r="H753" s="1">
        <v>11.65</v>
      </c>
      <c r="I753" s="1" t="s">
        <v>261</v>
      </c>
      <c r="J753" s="1" t="s">
        <v>262</v>
      </c>
      <c r="K753" s="1" t="s">
        <v>263</v>
      </c>
      <c r="L753" s="1" t="s">
        <v>264</v>
      </c>
      <c r="M753" s="1" t="s">
        <v>265</v>
      </c>
      <c r="N753" s="1" t="s">
        <v>137</v>
      </c>
      <c r="O75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4" spans="1:15" x14ac:dyDescent="0.25">
      <c r="A754">
        <v>11020</v>
      </c>
      <c r="B754" s="1" t="s">
        <v>122</v>
      </c>
      <c r="C754">
        <v>2</v>
      </c>
      <c r="D754" s="5">
        <v>35899</v>
      </c>
      <c r="E754" s="5">
        <v>35927</v>
      </c>
      <c r="F754" s="5">
        <v>35901</v>
      </c>
      <c r="G754">
        <v>2</v>
      </c>
      <c r="H754" s="1">
        <v>43.3</v>
      </c>
      <c r="I754" s="1" t="s">
        <v>123</v>
      </c>
      <c r="J754" s="1" t="s">
        <v>124</v>
      </c>
      <c r="K754" s="1" t="s">
        <v>125</v>
      </c>
      <c r="L754" s="1" t="s">
        <v>59</v>
      </c>
      <c r="M754" s="1" t="s">
        <v>126</v>
      </c>
      <c r="N754" s="1" t="s">
        <v>67</v>
      </c>
      <c r="O75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5" spans="1:15" x14ac:dyDescent="0.25">
      <c r="A755">
        <v>11021</v>
      </c>
      <c r="B755" s="1" t="s">
        <v>178</v>
      </c>
      <c r="C755">
        <v>3</v>
      </c>
      <c r="D755" s="5">
        <v>35899</v>
      </c>
      <c r="E755" s="5">
        <v>35927</v>
      </c>
      <c r="F755" s="5">
        <v>35906</v>
      </c>
      <c r="G755">
        <v>1</v>
      </c>
      <c r="H755" s="1">
        <v>297.18</v>
      </c>
      <c r="I755" s="1" t="s">
        <v>179</v>
      </c>
      <c r="J755" s="1" t="s">
        <v>180</v>
      </c>
      <c r="K755" s="1" t="s">
        <v>181</v>
      </c>
      <c r="L755" s="1" t="s">
        <v>59</v>
      </c>
      <c r="M755" s="1" t="s">
        <v>182</v>
      </c>
      <c r="N755" s="1" t="s">
        <v>67</v>
      </c>
      <c r="O75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6" spans="1:15" x14ac:dyDescent="0.25">
      <c r="A756">
        <v>11022</v>
      </c>
      <c r="B756" s="1" t="s">
        <v>68</v>
      </c>
      <c r="C756">
        <v>9</v>
      </c>
      <c r="D756" s="5">
        <v>35899</v>
      </c>
      <c r="E756" s="5">
        <v>35927</v>
      </c>
      <c r="F756" s="5">
        <v>35919</v>
      </c>
      <c r="G756">
        <v>2</v>
      </c>
      <c r="H756" s="1">
        <v>6.27</v>
      </c>
      <c r="I756" s="1" t="s">
        <v>69</v>
      </c>
      <c r="J756" s="1" t="s">
        <v>70</v>
      </c>
      <c r="K756" s="1" t="s">
        <v>71</v>
      </c>
      <c r="L756" s="1" t="s">
        <v>72</v>
      </c>
      <c r="M756" s="1" t="s">
        <v>73</v>
      </c>
      <c r="N756" s="1" t="s">
        <v>74</v>
      </c>
      <c r="O75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7" spans="1:15" x14ac:dyDescent="0.25">
      <c r="A757">
        <v>11023</v>
      </c>
      <c r="B757" s="1" t="s">
        <v>229</v>
      </c>
      <c r="C757">
        <v>1</v>
      </c>
      <c r="D757" s="5">
        <v>35899</v>
      </c>
      <c r="E757" s="5">
        <v>35913</v>
      </c>
      <c r="F757" s="5">
        <v>35909</v>
      </c>
      <c r="G757">
        <v>2</v>
      </c>
      <c r="H757" s="1">
        <v>123.83</v>
      </c>
      <c r="I757" s="1" t="s">
        <v>230</v>
      </c>
      <c r="J757" s="1" t="s">
        <v>231</v>
      </c>
      <c r="K757" s="1" t="s">
        <v>232</v>
      </c>
      <c r="L757" s="1" t="s">
        <v>59</v>
      </c>
      <c r="M757" s="1" t="s">
        <v>233</v>
      </c>
      <c r="N757" s="1" t="s">
        <v>234</v>
      </c>
      <c r="O75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8" spans="1:15" x14ac:dyDescent="0.25">
      <c r="A758">
        <v>11024</v>
      </c>
      <c r="B758" s="1" t="s">
        <v>360</v>
      </c>
      <c r="C758">
        <v>4</v>
      </c>
      <c r="D758" s="5">
        <v>35900</v>
      </c>
      <c r="E758" s="5">
        <v>35928</v>
      </c>
      <c r="F758" s="5">
        <v>35905</v>
      </c>
      <c r="G758">
        <v>1</v>
      </c>
      <c r="H758" s="1">
        <v>74.36</v>
      </c>
      <c r="I758" s="1" t="s">
        <v>361</v>
      </c>
      <c r="J758" s="1" t="s">
        <v>362</v>
      </c>
      <c r="K758" s="1" t="s">
        <v>232</v>
      </c>
      <c r="L758" s="1" t="s">
        <v>59</v>
      </c>
      <c r="M758" s="1" t="s">
        <v>363</v>
      </c>
      <c r="N758" s="1" t="s">
        <v>234</v>
      </c>
      <c r="O75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59" spans="1:15" x14ac:dyDescent="0.25">
      <c r="A759">
        <v>11025</v>
      </c>
      <c r="B759" s="1" t="s">
        <v>149</v>
      </c>
      <c r="C759">
        <v>6</v>
      </c>
      <c r="D759" s="5">
        <v>35900</v>
      </c>
      <c r="E759" s="5">
        <v>35928</v>
      </c>
      <c r="F759" s="5">
        <v>35909</v>
      </c>
      <c r="G759">
        <v>3</v>
      </c>
      <c r="H759" s="1">
        <v>29.17</v>
      </c>
      <c r="I759" s="1" t="s">
        <v>150</v>
      </c>
      <c r="J759" s="1" t="s">
        <v>151</v>
      </c>
      <c r="K759" s="1" t="s">
        <v>152</v>
      </c>
      <c r="L759" s="1" t="s">
        <v>59</v>
      </c>
      <c r="M759" s="1" t="s">
        <v>153</v>
      </c>
      <c r="N759" s="1" t="s">
        <v>154</v>
      </c>
      <c r="O75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0" spans="1:15" x14ac:dyDescent="0.25">
      <c r="A760">
        <v>11026</v>
      </c>
      <c r="B760" s="1" t="s">
        <v>422</v>
      </c>
      <c r="C760">
        <v>4</v>
      </c>
      <c r="D760" s="5">
        <v>35900</v>
      </c>
      <c r="E760" s="5">
        <v>35928</v>
      </c>
      <c r="F760" s="5">
        <v>35913</v>
      </c>
      <c r="G760">
        <v>1</v>
      </c>
      <c r="H760" s="1">
        <v>47.09</v>
      </c>
      <c r="I760" s="1" t="s">
        <v>423</v>
      </c>
      <c r="J760" s="1" t="s">
        <v>424</v>
      </c>
      <c r="K760" s="1" t="s">
        <v>425</v>
      </c>
      <c r="L760" s="1" t="s">
        <v>59</v>
      </c>
      <c r="M760" s="1" t="s">
        <v>426</v>
      </c>
      <c r="N760" s="1" t="s">
        <v>188</v>
      </c>
      <c r="O76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1" spans="1:15" x14ac:dyDescent="0.25">
      <c r="A761">
        <v>11027</v>
      </c>
      <c r="B761" s="1" t="s">
        <v>399</v>
      </c>
      <c r="C761">
        <v>1</v>
      </c>
      <c r="D761" s="5">
        <v>35901</v>
      </c>
      <c r="E761" s="5">
        <v>35929</v>
      </c>
      <c r="F761" s="5">
        <v>35905</v>
      </c>
      <c r="G761">
        <v>1</v>
      </c>
      <c r="H761" s="1">
        <v>52.52</v>
      </c>
      <c r="I761" s="1" t="s">
        <v>400</v>
      </c>
      <c r="J761" s="1" t="s">
        <v>401</v>
      </c>
      <c r="K761" s="1" t="s">
        <v>402</v>
      </c>
      <c r="L761" s="1" t="s">
        <v>403</v>
      </c>
      <c r="M761" s="1" t="s">
        <v>404</v>
      </c>
      <c r="N761" s="1" t="s">
        <v>320</v>
      </c>
      <c r="O76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2" spans="1:15" x14ac:dyDescent="0.25">
      <c r="A762">
        <v>11028</v>
      </c>
      <c r="B762" s="1" t="s">
        <v>288</v>
      </c>
      <c r="C762">
        <v>2</v>
      </c>
      <c r="D762" s="5">
        <v>35901</v>
      </c>
      <c r="E762" s="5">
        <v>35929</v>
      </c>
      <c r="F762" s="5">
        <v>35907</v>
      </c>
      <c r="G762">
        <v>1</v>
      </c>
      <c r="H762" s="1">
        <v>29.59</v>
      </c>
      <c r="I762" s="1" t="s">
        <v>289</v>
      </c>
      <c r="J762" s="1" t="s">
        <v>290</v>
      </c>
      <c r="K762" s="1" t="s">
        <v>291</v>
      </c>
      <c r="L762" s="1" t="s">
        <v>59</v>
      </c>
      <c r="M762" s="1" t="s">
        <v>292</v>
      </c>
      <c r="N762" s="1" t="s">
        <v>67</v>
      </c>
      <c r="O76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3" spans="1:15" x14ac:dyDescent="0.25">
      <c r="A763">
        <v>11029</v>
      </c>
      <c r="B763" s="1" t="s">
        <v>86</v>
      </c>
      <c r="C763">
        <v>4</v>
      </c>
      <c r="D763" s="5">
        <v>35901</v>
      </c>
      <c r="E763" s="5">
        <v>35929</v>
      </c>
      <c r="F763" s="5">
        <v>35912</v>
      </c>
      <c r="G763">
        <v>1</v>
      </c>
      <c r="H763" s="1">
        <v>47.84</v>
      </c>
      <c r="I763" s="1" t="s">
        <v>87</v>
      </c>
      <c r="J763" s="1" t="s">
        <v>88</v>
      </c>
      <c r="K763" s="1" t="s">
        <v>89</v>
      </c>
      <c r="L763" s="1" t="s">
        <v>59</v>
      </c>
      <c r="M763" s="1" t="s">
        <v>90</v>
      </c>
      <c r="N763" s="1" t="s">
        <v>91</v>
      </c>
      <c r="O76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4" spans="1:15" x14ac:dyDescent="0.25">
      <c r="A764">
        <v>11030</v>
      </c>
      <c r="B764" s="1" t="s">
        <v>293</v>
      </c>
      <c r="C764">
        <v>7</v>
      </c>
      <c r="D764" s="5">
        <v>35902</v>
      </c>
      <c r="E764" s="5">
        <v>35930</v>
      </c>
      <c r="F764" s="5">
        <v>35912</v>
      </c>
      <c r="G764">
        <v>2</v>
      </c>
      <c r="H764" s="1">
        <v>830.75</v>
      </c>
      <c r="I764" s="1" t="s">
        <v>294</v>
      </c>
      <c r="J764" s="1" t="s">
        <v>295</v>
      </c>
      <c r="K764" s="1" t="s">
        <v>296</v>
      </c>
      <c r="L764" s="1" t="s">
        <v>297</v>
      </c>
      <c r="M764" s="1" t="s">
        <v>298</v>
      </c>
      <c r="N764" s="1" t="s">
        <v>137</v>
      </c>
      <c r="O76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5" spans="1:15" x14ac:dyDescent="0.25">
      <c r="A765">
        <v>11031</v>
      </c>
      <c r="B765" s="1" t="s">
        <v>293</v>
      </c>
      <c r="C765">
        <v>6</v>
      </c>
      <c r="D765" s="5">
        <v>35902</v>
      </c>
      <c r="E765" s="5">
        <v>35930</v>
      </c>
      <c r="F765" s="5">
        <v>35909</v>
      </c>
      <c r="G765">
        <v>2</v>
      </c>
      <c r="H765" s="1">
        <v>227.22</v>
      </c>
      <c r="I765" s="1" t="s">
        <v>294</v>
      </c>
      <c r="J765" s="1" t="s">
        <v>295</v>
      </c>
      <c r="K765" s="1" t="s">
        <v>296</v>
      </c>
      <c r="L765" s="1" t="s">
        <v>297</v>
      </c>
      <c r="M765" s="1" t="s">
        <v>298</v>
      </c>
      <c r="N765" s="1" t="s">
        <v>137</v>
      </c>
      <c r="O76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6" spans="1:15" x14ac:dyDescent="0.25">
      <c r="A766">
        <v>11032</v>
      </c>
      <c r="B766" s="1" t="s">
        <v>166</v>
      </c>
      <c r="C766">
        <v>2</v>
      </c>
      <c r="D766" s="5">
        <v>35902</v>
      </c>
      <c r="E766" s="5">
        <v>35930</v>
      </c>
      <c r="F766" s="5">
        <v>35908</v>
      </c>
      <c r="G766">
        <v>3</v>
      </c>
      <c r="H766" s="1">
        <v>606.19000000000005</v>
      </c>
      <c r="I766" s="1" t="s">
        <v>167</v>
      </c>
      <c r="J766" s="1" t="s">
        <v>168</v>
      </c>
      <c r="K766" s="1" t="s">
        <v>169</v>
      </c>
      <c r="L766" s="1" t="s">
        <v>170</v>
      </c>
      <c r="M766" s="1" t="s">
        <v>171</v>
      </c>
      <c r="N766" s="1" t="s">
        <v>137</v>
      </c>
      <c r="O76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7" spans="1:15" x14ac:dyDescent="0.25">
      <c r="A767">
        <v>11033</v>
      </c>
      <c r="B767" s="1" t="s">
        <v>92</v>
      </c>
      <c r="C767">
        <v>7</v>
      </c>
      <c r="D767" s="5">
        <v>35902</v>
      </c>
      <c r="E767" s="5">
        <v>35930</v>
      </c>
      <c r="F767" s="5">
        <v>35908</v>
      </c>
      <c r="G767">
        <v>3</v>
      </c>
      <c r="H767" s="1">
        <v>84.74</v>
      </c>
      <c r="I767" s="1" t="s">
        <v>93</v>
      </c>
      <c r="J767" s="1" t="s">
        <v>94</v>
      </c>
      <c r="K767" s="1" t="s">
        <v>95</v>
      </c>
      <c r="L767" s="1" t="s">
        <v>59</v>
      </c>
      <c r="M767" s="1" t="s">
        <v>96</v>
      </c>
      <c r="N767" s="1" t="s">
        <v>91</v>
      </c>
      <c r="O76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8" spans="1:15" x14ac:dyDescent="0.25">
      <c r="A768">
        <v>11034</v>
      </c>
      <c r="B768" s="1" t="s">
        <v>254</v>
      </c>
      <c r="C768">
        <v>8</v>
      </c>
      <c r="D768" s="5">
        <v>35905</v>
      </c>
      <c r="E768" s="5">
        <v>35947</v>
      </c>
      <c r="F768" s="5">
        <v>35912</v>
      </c>
      <c r="G768">
        <v>1</v>
      </c>
      <c r="H768" s="1">
        <v>40.32</v>
      </c>
      <c r="I768" s="1" t="s">
        <v>255</v>
      </c>
      <c r="J768" s="1" t="s">
        <v>256</v>
      </c>
      <c r="K768" s="1" t="s">
        <v>257</v>
      </c>
      <c r="L768" s="1" t="s">
        <v>258</v>
      </c>
      <c r="M768" s="1" t="s">
        <v>259</v>
      </c>
      <c r="N768" s="1" t="s">
        <v>137</v>
      </c>
      <c r="O76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69" spans="1:15" x14ac:dyDescent="0.25">
      <c r="A769">
        <v>11035</v>
      </c>
      <c r="B769" s="1" t="s">
        <v>80</v>
      </c>
      <c r="C769">
        <v>2</v>
      </c>
      <c r="D769" s="5">
        <v>35905</v>
      </c>
      <c r="E769" s="5">
        <v>35933</v>
      </c>
      <c r="F769" s="5">
        <v>35909</v>
      </c>
      <c r="G769">
        <v>2</v>
      </c>
      <c r="H769" s="1">
        <v>0.17</v>
      </c>
      <c r="I769" s="1" t="s">
        <v>81</v>
      </c>
      <c r="J769" s="1" t="s">
        <v>82</v>
      </c>
      <c r="K769" s="1" t="s">
        <v>83</v>
      </c>
      <c r="L769" s="1" t="s">
        <v>59</v>
      </c>
      <c r="M769" s="1" t="s">
        <v>84</v>
      </c>
      <c r="N769" s="1" t="s">
        <v>85</v>
      </c>
      <c r="O76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0" spans="1:15" x14ac:dyDescent="0.25">
      <c r="A770">
        <v>11036</v>
      </c>
      <c r="B770" s="1" t="s">
        <v>355</v>
      </c>
      <c r="C770">
        <v>8</v>
      </c>
      <c r="D770" s="5">
        <v>35905</v>
      </c>
      <c r="E770" s="5">
        <v>35933</v>
      </c>
      <c r="F770" s="5">
        <v>35907</v>
      </c>
      <c r="G770">
        <v>3</v>
      </c>
      <c r="H770" s="1">
        <v>149.47</v>
      </c>
      <c r="I770" s="1" t="s">
        <v>356</v>
      </c>
      <c r="J770" s="1" t="s">
        <v>357</v>
      </c>
      <c r="K770" s="1" t="s">
        <v>358</v>
      </c>
      <c r="L770" s="1" t="s">
        <v>59</v>
      </c>
      <c r="M770" s="1" t="s">
        <v>359</v>
      </c>
      <c r="N770" s="1" t="s">
        <v>67</v>
      </c>
      <c r="O77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1" spans="1:15" x14ac:dyDescent="0.25">
      <c r="A771">
        <v>11037</v>
      </c>
      <c r="B771" s="1" t="s">
        <v>249</v>
      </c>
      <c r="C771">
        <v>7</v>
      </c>
      <c r="D771" s="5">
        <v>35906</v>
      </c>
      <c r="E771" s="5">
        <v>35934</v>
      </c>
      <c r="F771" s="5">
        <v>35912</v>
      </c>
      <c r="G771">
        <v>1</v>
      </c>
      <c r="H771" s="1">
        <v>3.2</v>
      </c>
      <c r="I771" s="1" t="s">
        <v>250</v>
      </c>
      <c r="J771" s="1" t="s">
        <v>251</v>
      </c>
      <c r="K771" s="1" t="s">
        <v>252</v>
      </c>
      <c r="L771" s="1" t="s">
        <v>59</v>
      </c>
      <c r="M771" s="1" t="s">
        <v>253</v>
      </c>
      <c r="N771" s="1" t="s">
        <v>213</v>
      </c>
      <c r="O77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2" spans="1:15" x14ac:dyDescent="0.25">
      <c r="A772">
        <v>11038</v>
      </c>
      <c r="B772" s="1" t="s">
        <v>80</v>
      </c>
      <c r="C772">
        <v>1</v>
      </c>
      <c r="D772" s="5">
        <v>35906</v>
      </c>
      <c r="E772" s="5">
        <v>35934</v>
      </c>
      <c r="F772" s="5">
        <v>35915</v>
      </c>
      <c r="G772">
        <v>2</v>
      </c>
      <c r="H772" s="1">
        <v>29.59</v>
      </c>
      <c r="I772" s="1" t="s">
        <v>81</v>
      </c>
      <c r="J772" s="1" t="s">
        <v>82</v>
      </c>
      <c r="K772" s="1" t="s">
        <v>83</v>
      </c>
      <c r="L772" s="1" t="s">
        <v>59</v>
      </c>
      <c r="M772" s="1" t="s">
        <v>84</v>
      </c>
      <c r="N772" s="1" t="s">
        <v>85</v>
      </c>
      <c r="O77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3" spans="1:15" x14ac:dyDescent="0.25">
      <c r="A773">
        <v>11041</v>
      </c>
      <c r="B773" s="1" t="s">
        <v>86</v>
      </c>
      <c r="C773">
        <v>3</v>
      </c>
      <c r="D773" s="5">
        <v>35907</v>
      </c>
      <c r="E773" s="5">
        <v>35935</v>
      </c>
      <c r="F773" s="5">
        <v>35913</v>
      </c>
      <c r="G773">
        <v>2</v>
      </c>
      <c r="H773" s="1">
        <v>48.22</v>
      </c>
      <c r="I773" s="1" t="s">
        <v>87</v>
      </c>
      <c r="J773" s="1" t="s">
        <v>88</v>
      </c>
      <c r="K773" s="1" t="s">
        <v>89</v>
      </c>
      <c r="L773" s="1" t="s">
        <v>59</v>
      </c>
      <c r="M773" s="1" t="s">
        <v>90</v>
      </c>
      <c r="N773" s="1" t="s">
        <v>91</v>
      </c>
      <c r="O77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4" spans="1:15" x14ac:dyDescent="0.25">
      <c r="A774">
        <v>11042</v>
      </c>
      <c r="B774" s="1" t="s">
        <v>235</v>
      </c>
      <c r="C774">
        <v>2</v>
      </c>
      <c r="D774" s="5">
        <v>35907</v>
      </c>
      <c r="E774" s="5">
        <v>35921</v>
      </c>
      <c r="F774" s="5">
        <v>35916</v>
      </c>
      <c r="G774">
        <v>1</v>
      </c>
      <c r="H774" s="1">
        <v>29.99</v>
      </c>
      <c r="I774" s="1" t="s">
        <v>236</v>
      </c>
      <c r="J774" s="1" t="s">
        <v>237</v>
      </c>
      <c r="K774" s="1" t="s">
        <v>238</v>
      </c>
      <c r="L774" s="1" t="s">
        <v>101</v>
      </c>
      <c r="M774" s="1" t="s">
        <v>239</v>
      </c>
      <c r="N774" s="1" t="s">
        <v>74</v>
      </c>
      <c r="O77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5" spans="1:15" x14ac:dyDescent="0.25">
      <c r="A775">
        <v>11043</v>
      </c>
      <c r="B775" s="1" t="s">
        <v>503</v>
      </c>
      <c r="C775">
        <v>5</v>
      </c>
      <c r="D775" s="5">
        <v>35907</v>
      </c>
      <c r="E775" s="5">
        <v>35935</v>
      </c>
      <c r="F775" s="5">
        <v>35914</v>
      </c>
      <c r="G775">
        <v>2</v>
      </c>
      <c r="H775" s="1">
        <v>8.8000000000000007</v>
      </c>
      <c r="I775" s="1" t="s">
        <v>504</v>
      </c>
      <c r="J775" s="1" t="s">
        <v>505</v>
      </c>
      <c r="K775" s="1" t="s">
        <v>506</v>
      </c>
      <c r="L775" s="1" t="s">
        <v>59</v>
      </c>
      <c r="M775" s="1" t="s">
        <v>507</v>
      </c>
      <c r="N775" s="1" t="s">
        <v>61</v>
      </c>
      <c r="O77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6" spans="1:15" x14ac:dyDescent="0.25">
      <c r="A776">
        <v>11044</v>
      </c>
      <c r="B776" s="1" t="s">
        <v>382</v>
      </c>
      <c r="C776">
        <v>4</v>
      </c>
      <c r="D776" s="5">
        <v>35908</v>
      </c>
      <c r="E776" s="5">
        <v>35936</v>
      </c>
      <c r="F776" s="5">
        <v>35916</v>
      </c>
      <c r="G776">
        <v>1</v>
      </c>
      <c r="H776" s="1">
        <v>8.7200000000000006</v>
      </c>
      <c r="I776" s="1" t="s">
        <v>383</v>
      </c>
      <c r="J776" s="1" t="s">
        <v>384</v>
      </c>
      <c r="K776" s="1" t="s">
        <v>385</v>
      </c>
      <c r="L776" s="1" t="s">
        <v>59</v>
      </c>
      <c r="M776" s="1" t="s">
        <v>386</v>
      </c>
      <c r="N776" s="1" t="s">
        <v>387</v>
      </c>
      <c r="O77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7" spans="1:15" x14ac:dyDescent="0.25">
      <c r="A777">
        <v>11046</v>
      </c>
      <c r="B777" s="1" t="s">
        <v>244</v>
      </c>
      <c r="C777">
        <v>8</v>
      </c>
      <c r="D777" s="5">
        <v>35908</v>
      </c>
      <c r="E777" s="5">
        <v>35936</v>
      </c>
      <c r="F777" s="5">
        <v>35909</v>
      </c>
      <c r="G777">
        <v>2</v>
      </c>
      <c r="H777" s="1">
        <v>71.64</v>
      </c>
      <c r="I777" s="1" t="s">
        <v>245</v>
      </c>
      <c r="J777" s="1" t="s">
        <v>246</v>
      </c>
      <c r="K777" s="1" t="s">
        <v>247</v>
      </c>
      <c r="L777" s="1" t="s">
        <v>59</v>
      </c>
      <c r="M777" s="1" t="s">
        <v>248</v>
      </c>
      <c r="N777" s="1" t="s">
        <v>67</v>
      </c>
      <c r="O77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8" spans="1:15" x14ac:dyDescent="0.25">
      <c r="A778">
        <v>11047</v>
      </c>
      <c r="B778" s="1" t="s">
        <v>360</v>
      </c>
      <c r="C778">
        <v>7</v>
      </c>
      <c r="D778" s="5">
        <v>35909</v>
      </c>
      <c r="E778" s="5">
        <v>35937</v>
      </c>
      <c r="F778" s="5">
        <v>35916</v>
      </c>
      <c r="G778">
        <v>3</v>
      </c>
      <c r="H778" s="1">
        <v>46.62</v>
      </c>
      <c r="I778" s="1" t="s">
        <v>361</v>
      </c>
      <c r="J778" s="1" t="s">
        <v>362</v>
      </c>
      <c r="K778" s="1" t="s">
        <v>232</v>
      </c>
      <c r="L778" s="1" t="s">
        <v>59</v>
      </c>
      <c r="M778" s="1" t="s">
        <v>363</v>
      </c>
      <c r="N778" s="1" t="s">
        <v>234</v>
      </c>
      <c r="O77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79" spans="1:15" x14ac:dyDescent="0.25">
      <c r="A779">
        <v>11048</v>
      </c>
      <c r="B779" s="1" t="s">
        <v>399</v>
      </c>
      <c r="C779">
        <v>7</v>
      </c>
      <c r="D779" s="5">
        <v>35909</v>
      </c>
      <c r="E779" s="5">
        <v>35937</v>
      </c>
      <c r="F779" s="5">
        <v>35915</v>
      </c>
      <c r="G779">
        <v>3</v>
      </c>
      <c r="H779" s="1">
        <v>24.12</v>
      </c>
      <c r="I779" s="1" t="s">
        <v>400</v>
      </c>
      <c r="J779" s="1" t="s">
        <v>401</v>
      </c>
      <c r="K779" s="1" t="s">
        <v>402</v>
      </c>
      <c r="L779" s="1" t="s">
        <v>403</v>
      </c>
      <c r="M779" s="1" t="s">
        <v>404</v>
      </c>
      <c r="N779" s="1" t="s">
        <v>320</v>
      </c>
      <c r="O77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0" spans="1:15" x14ac:dyDescent="0.25">
      <c r="A780">
        <v>11049</v>
      </c>
      <c r="B780" s="1" t="s">
        <v>427</v>
      </c>
      <c r="C780">
        <v>3</v>
      </c>
      <c r="D780" s="5">
        <v>35909</v>
      </c>
      <c r="E780" s="5">
        <v>35937</v>
      </c>
      <c r="F780" s="5">
        <v>35919</v>
      </c>
      <c r="G780">
        <v>1</v>
      </c>
      <c r="H780" s="1">
        <v>8.34</v>
      </c>
      <c r="I780" s="1" t="s">
        <v>428</v>
      </c>
      <c r="J780" s="1" t="s">
        <v>429</v>
      </c>
      <c r="K780" s="1" t="s">
        <v>430</v>
      </c>
      <c r="L780" s="1" t="s">
        <v>101</v>
      </c>
      <c r="M780" s="1" t="s">
        <v>431</v>
      </c>
      <c r="N780" s="1" t="s">
        <v>74</v>
      </c>
      <c r="O78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1" spans="1:15" x14ac:dyDescent="0.25">
      <c r="A781">
        <v>11050</v>
      </c>
      <c r="B781" s="1" t="s">
        <v>138</v>
      </c>
      <c r="C781">
        <v>8</v>
      </c>
      <c r="D781" s="5">
        <v>35912</v>
      </c>
      <c r="E781" s="5">
        <v>35940</v>
      </c>
      <c r="F781" s="5">
        <v>35920</v>
      </c>
      <c r="G781">
        <v>2</v>
      </c>
      <c r="H781" s="1">
        <v>59.41</v>
      </c>
      <c r="I781" s="1" t="s">
        <v>139</v>
      </c>
      <c r="J781" s="1" t="s">
        <v>140</v>
      </c>
      <c r="K781" s="1" t="s">
        <v>141</v>
      </c>
      <c r="L781" s="1" t="s">
        <v>59</v>
      </c>
      <c r="M781" s="1" t="s">
        <v>142</v>
      </c>
      <c r="N781" s="1" t="s">
        <v>143</v>
      </c>
      <c r="O78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2" spans="1:15" x14ac:dyDescent="0.25">
      <c r="A782">
        <v>11052</v>
      </c>
      <c r="B782" s="1" t="s">
        <v>68</v>
      </c>
      <c r="C782">
        <v>3</v>
      </c>
      <c r="D782" s="5">
        <v>35912</v>
      </c>
      <c r="E782" s="5">
        <v>35940</v>
      </c>
      <c r="F782" s="5">
        <v>35916</v>
      </c>
      <c r="G782">
        <v>1</v>
      </c>
      <c r="H782" s="1">
        <v>67.260000000000005</v>
      </c>
      <c r="I782" s="1" t="s">
        <v>69</v>
      </c>
      <c r="J782" s="1" t="s">
        <v>70</v>
      </c>
      <c r="K782" s="1" t="s">
        <v>71</v>
      </c>
      <c r="L782" s="1" t="s">
        <v>72</v>
      </c>
      <c r="M782" s="1" t="s">
        <v>73</v>
      </c>
      <c r="N782" s="1" t="s">
        <v>74</v>
      </c>
      <c r="O782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3" spans="1:15" x14ac:dyDescent="0.25">
      <c r="A783">
        <v>11053</v>
      </c>
      <c r="B783" s="1" t="s">
        <v>340</v>
      </c>
      <c r="C783">
        <v>2</v>
      </c>
      <c r="D783" s="5">
        <v>35912</v>
      </c>
      <c r="E783" s="5">
        <v>35940</v>
      </c>
      <c r="F783" s="5">
        <v>35914</v>
      </c>
      <c r="G783">
        <v>2</v>
      </c>
      <c r="H783" s="1">
        <v>53.05</v>
      </c>
      <c r="I783" s="1" t="s">
        <v>341</v>
      </c>
      <c r="J783" s="1" t="s">
        <v>342</v>
      </c>
      <c r="K783" s="1" t="s">
        <v>343</v>
      </c>
      <c r="L783" s="1" t="s">
        <v>59</v>
      </c>
      <c r="M783" s="1" t="s">
        <v>344</v>
      </c>
      <c r="N783" s="1" t="s">
        <v>115</v>
      </c>
      <c r="O783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4" spans="1:15" x14ac:dyDescent="0.25">
      <c r="A784">
        <v>11055</v>
      </c>
      <c r="B784" s="1" t="s">
        <v>103</v>
      </c>
      <c r="C784">
        <v>7</v>
      </c>
      <c r="D784" s="5">
        <v>35913</v>
      </c>
      <c r="E784" s="5">
        <v>35941</v>
      </c>
      <c r="F784" s="5">
        <v>35920</v>
      </c>
      <c r="G784">
        <v>2</v>
      </c>
      <c r="H784" s="1">
        <v>120.92</v>
      </c>
      <c r="I784" s="1" t="s">
        <v>104</v>
      </c>
      <c r="J784" s="1" t="s">
        <v>105</v>
      </c>
      <c r="K784" s="1" t="s">
        <v>106</v>
      </c>
      <c r="L784" s="1" t="s">
        <v>107</v>
      </c>
      <c r="M784" s="1" t="s">
        <v>108</v>
      </c>
      <c r="N784" s="1" t="s">
        <v>109</v>
      </c>
      <c r="O784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5" spans="1:15" x14ac:dyDescent="0.25">
      <c r="A785">
        <v>11056</v>
      </c>
      <c r="B785" s="1" t="s">
        <v>360</v>
      </c>
      <c r="C785">
        <v>8</v>
      </c>
      <c r="D785" s="5">
        <v>35913</v>
      </c>
      <c r="E785" s="5">
        <v>35927</v>
      </c>
      <c r="F785" s="5">
        <v>35916</v>
      </c>
      <c r="G785">
        <v>2</v>
      </c>
      <c r="H785" s="1">
        <v>278.95999999999998</v>
      </c>
      <c r="I785" s="1" t="s">
        <v>361</v>
      </c>
      <c r="J785" s="1" t="s">
        <v>362</v>
      </c>
      <c r="K785" s="1" t="s">
        <v>232</v>
      </c>
      <c r="L785" s="1" t="s">
        <v>59</v>
      </c>
      <c r="M785" s="1" t="s">
        <v>363</v>
      </c>
      <c r="N785" s="1" t="s">
        <v>234</v>
      </c>
      <c r="O785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6" spans="1:15" x14ac:dyDescent="0.25">
      <c r="A786">
        <v>11057</v>
      </c>
      <c r="B786" s="1" t="s">
        <v>455</v>
      </c>
      <c r="C786">
        <v>3</v>
      </c>
      <c r="D786" s="5">
        <v>35914</v>
      </c>
      <c r="E786" s="5">
        <v>35942</v>
      </c>
      <c r="F786" s="5">
        <v>35916</v>
      </c>
      <c r="G786">
        <v>3</v>
      </c>
      <c r="H786" s="1">
        <v>4.13</v>
      </c>
      <c r="I786" s="1" t="s">
        <v>456</v>
      </c>
      <c r="J786" s="1" t="s">
        <v>457</v>
      </c>
      <c r="K786" s="1" t="s">
        <v>232</v>
      </c>
      <c r="L786" s="1" t="s">
        <v>59</v>
      </c>
      <c r="M786" s="1" t="s">
        <v>458</v>
      </c>
      <c r="N786" s="1" t="s">
        <v>234</v>
      </c>
      <c r="O786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7" spans="1:15" x14ac:dyDescent="0.25">
      <c r="A787">
        <v>11060</v>
      </c>
      <c r="B787" s="1" t="s">
        <v>422</v>
      </c>
      <c r="C787">
        <v>2</v>
      </c>
      <c r="D787" s="5">
        <v>35915</v>
      </c>
      <c r="E787" s="5">
        <v>35943</v>
      </c>
      <c r="F787" s="5">
        <v>35919</v>
      </c>
      <c r="G787">
        <v>2</v>
      </c>
      <c r="H787" s="1">
        <v>10.98</v>
      </c>
      <c r="I787" s="1" t="s">
        <v>423</v>
      </c>
      <c r="J787" s="1" t="s">
        <v>424</v>
      </c>
      <c r="K787" s="1" t="s">
        <v>425</v>
      </c>
      <c r="L787" s="1" t="s">
        <v>59</v>
      </c>
      <c r="M787" s="1" t="s">
        <v>426</v>
      </c>
      <c r="N787" s="1" t="s">
        <v>188</v>
      </c>
      <c r="O787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8" spans="1:15" x14ac:dyDescent="0.25">
      <c r="A788">
        <v>11064</v>
      </c>
      <c r="B788" s="1" t="s">
        <v>293</v>
      </c>
      <c r="C788">
        <v>1</v>
      </c>
      <c r="D788" s="5">
        <v>35916</v>
      </c>
      <c r="E788" s="5">
        <v>35944</v>
      </c>
      <c r="F788" s="5">
        <v>35919</v>
      </c>
      <c r="G788">
        <v>1</v>
      </c>
      <c r="H788" s="1">
        <v>30.09</v>
      </c>
      <c r="I788" s="1" t="s">
        <v>294</v>
      </c>
      <c r="J788" s="1" t="s">
        <v>295</v>
      </c>
      <c r="K788" s="1" t="s">
        <v>296</v>
      </c>
      <c r="L788" s="1" t="s">
        <v>297</v>
      </c>
      <c r="M788" s="1" t="s">
        <v>298</v>
      </c>
      <c r="N788" s="1" t="s">
        <v>137</v>
      </c>
      <c r="O788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89" spans="1:15" x14ac:dyDescent="0.25">
      <c r="A789">
        <v>11066</v>
      </c>
      <c r="B789" s="1" t="s">
        <v>166</v>
      </c>
      <c r="C789">
        <v>7</v>
      </c>
      <c r="D789" s="5">
        <v>35916</v>
      </c>
      <c r="E789" s="5">
        <v>35944</v>
      </c>
      <c r="F789" s="5">
        <v>35919</v>
      </c>
      <c r="G789">
        <v>2</v>
      </c>
      <c r="H789" s="1">
        <v>44.72</v>
      </c>
      <c r="I789" s="1" t="s">
        <v>167</v>
      </c>
      <c r="J789" s="1" t="s">
        <v>168</v>
      </c>
      <c r="K789" s="1" t="s">
        <v>169</v>
      </c>
      <c r="L789" s="1" t="s">
        <v>170</v>
      </c>
      <c r="M789" s="1" t="s">
        <v>171</v>
      </c>
      <c r="N789" s="1" t="s">
        <v>137</v>
      </c>
      <c r="O789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90" spans="1:15" x14ac:dyDescent="0.25">
      <c r="A790">
        <v>11067</v>
      </c>
      <c r="B790" s="1" t="s">
        <v>355</v>
      </c>
      <c r="C790">
        <v>1</v>
      </c>
      <c r="D790" s="5">
        <v>35919</v>
      </c>
      <c r="E790" s="5">
        <v>35933</v>
      </c>
      <c r="F790" s="5">
        <v>35921</v>
      </c>
      <c r="G790">
        <v>2</v>
      </c>
      <c r="H790" s="1">
        <v>7.98</v>
      </c>
      <c r="I790" s="1" t="s">
        <v>356</v>
      </c>
      <c r="J790" s="1" t="s">
        <v>357</v>
      </c>
      <c r="K790" s="1" t="s">
        <v>358</v>
      </c>
      <c r="L790" s="1" t="s">
        <v>59</v>
      </c>
      <c r="M790" s="1" t="s">
        <v>359</v>
      </c>
      <c r="N790" s="1" t="s">
        <v>67</v>
      </c>
      <c r="O790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  <row r="791" spans="1:15" x14ac:dyDescent="0.25">
      <c r="A791">
        <v>11069</v>
      </c>
      <c r="B791" s="1" t="s">
        <v>189</v>
      </c>
      <c r="C791">
        <v>1</v>
      </c>
      <c r="D791" s="5">
        <v>35919</v>
      </c>
      <c r="E791" s="5">
        <v>35947</v>
      </c>
      <c r="F791" s="5">
        <v>35921</v>
      </c>
      <c r="G791">
        <v>2</v>
      </c>
      <c r="H791" s="1">
        <v>15.67</v>
      </c>
      <c r="I791" s="1" t="s">
        <v>190</v>
      </c>
      <c r="J791" s="1" t="s">
        <v>191</v>
      </c>
      <c r="K791" s="1" t="s">
        <v>119</v>
      </c>
      <c r="L791" s="1" t="s">
        <v>59</v>
      </c>
      <c r="M791" s="1" t="s">
        <v>192</v>
      </c>
      <c r="N791" s="1" t="s">
        <v>121</v>
      </c>
      <c r="O791" s="1" t="str">
        <f>IF(northwind_orders[[#This Row],[required_date]]-northwind_orders[[#This Row],[shipped_date]]&gt;0,"Faster",IF(northwind_orders[[#This Row],[required_date]]-northwind_orders[[#This Row],[shipped_date]]=0,"In Time","Slower"))</f>
        <v>Faster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B5B7-0079-47AB-BD23-F09982AC72C2}">
  <dimension ref="A1:X2028"/>
  <sheetViews>
    <sheetView zoomScaleNormal="100" workbookViewId="0">
      <selection activeCell="I13" sqref="I13"/>
    </sheetView>
  </sheetViews>
  <sheetFormatPr defaultRowHeight="15" x14ac:dyDescent="0.25"/>
  <cols>
    <col min="1" max="1" width="10.85546875" bestFit="1" customWidth="1"/>
    <col min="2" max="2" width="12.85546875" bestFit="1" customWidth="1"/>
    <col min="3" max="3" width="12.28515625" bestFit="1" customWidth="1"/>
    <col min="4" max="4" width="10.7109375" bestFit="1" customWidth="1"/>
    <col min="5" max="5" width="10.85546875" bestFit="1" customWidth="1"/>
    <col min="6" max="6" width="14.7109375" customWidth="1"/>
    <col min="7" max="7" width="18.28515625" customWidth="1"/>
    <col min="8" max="8" width="19.140625" customWidth="1"/>
    <col min="9" max="9" width="18.85546875" customWidth="1"/>
    <col min="10" max="10" width="22.7109375" customWidth="1"/>
    <col min="11" max="11" width="18.28515625" customWidth="1"/>
    <col min="12" max="12" width="18" customWidth="1"/>
    <col min="13" max="13" width="22.28515625" customWidth="1"/>
    <col min="14" max="14" width="14.42578125" customWidth="1"/>
    <col min="15" max="15" width="15.140625" customWidth="1"/>
    <col min="16" max="16" width="16.85546875" customWidth="1"/>
    <col min="17" max="17" width="17" customWidth="1"/>
    <col min="18" max="18" width="17.7109375" customWidth="1"/>
    <col min="19" max="19" width="18" customWidth="1"/>
  </cols>
  <sheetData>
    <row r="1" spans="1:24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513</v>
      </c>
      <c r="G1" t="s">
        <v>514</v>
      </c>
      <c r="H1" t="s">
        <v>515</v>
      </c>
      <c r="I1" t="s">
        <v>516</v>
      </c>
      <c r="J1" t="s">
        <v>519</v>
      </c>
      <c r="K1" t="s">
        <v>536</v>
      </c>
      <c r="L1" t="s">
        <v>526</v>
      </c>
      <c r="M1" t="s">
        <v>531</v>
      </c>
      <c r="O1" s="8" t="s">
        <v>518</v>
      </c>
      <c r="P1" s="13" t="s">
        <v>517</v>
      </c>
      <c r="Q1" s="13" t="s">
        <v>520</v>
      </c>
      <c r="R1" s="14" t="s">
        <v>521</v>
      </c>
      <c r="S1" t="s">
        <v>534</v>
      </c>
      <c r="T1" s="18" t="s">
        <v>523</v>
      </c>
      <c r="U1" s="13" t="s">
        <v>524</v>
      </c>
      <c r="V1" s="14" t="s">
        <v>525</v>
      </c>
      <c r="W1" s="16" t="s">
        <v>532</v>
      </c>
      <c r="X1" s="12" t="s">
        <v>533</v>
      </c>
    </row>
    <row r="2" spans="1:24" x14ac:dyDescent="0.25">
      <c r="A2">
        <v>10248</v>
      </c>
      <c r="B2">
        <v>11</v>
      </c>
      <c r="C2" s="6" t="s">
        <v>5</v>
      </c>
      <c r="D2">
        <v>12</v>
      </c>
      <c r="E2" s="6" t="s">
        <v>6</v>
      </c>
      <c r="F2" t="str">
        <f>_xlfn.XLOOKUP(northwind_order_details[[#This Row],[order_id]],northwind_orders[order_id],northwind_orders[ship_country])</f>
        <v>France</v>
      </c>
      <c r="G2">
        <f>INDEX(northwind_orders[],MATCH(northwind_order_details[[#This Row],[order_id]], northwind_orders[order_id], 0), MATCH("employee_id", northwind_orders[#Headers], 0))</f>
        <v>5</v>
      </c>
      <c r="H2">
        <f>northwind_order_details[[#This Row],[unit_price]]*northwind_order_details[[#This Row],[quantity]]</f>
        <v>168</v>
      </c>
      <c r="I2" s="1">
        <f>northwind_order_details[[#This Row],[purchase amount]]*northwind_order_details[[#This Row],[discount]]</f>
        <v>0</v>
      </c>
      <c r="J2" s="1">
        <f>northwind_order_details[[#This Row],[purchase amount]]-northwind_order_details[[#This Row],[discount amount]]</f>
        <v>168</v>
      </c>
      <c r="K2" s="6" t="str">
        <f>IF(northwind_order_details[[#This Row],[discount amount]]&gt;0,"Yes","No")</f>
        <v>No</v>
      </c>
      <c r="L2" s="1" t="str">
        <f>IF(northwind_order_details[[#This Row],[Revenue]]&gt;1000,"High",IF(northwind_order_details[[#This Row],[Revenue]]&gt;300,"Medium","Low"))</f>
        <v>Low</v>
      </c>
      <c r="M2" s="1" t="str">
        <f>IF(northwind_order_details[[#This Row],[unit_price]]=_xlfn.XLOOKUP(northwind_order_details[[#This Row],[product_id]],'Price Validation'!$D$2:$D$78,'Price Validation'!$E$2:$E$78),"Match","Mismatch")</f>
        <v>Mismatch</v>
      </c>
      <c r="O2" s="9" t="str" cm="1">
        <f t="array" ref="O2:O21">_xlfn.UNIQUE(northwind_order_details[country])</f>
        <v>France</v>
      </c>
      <c r="P2" s="26">
        <f>SUMIF(northwind_order_details[country],$O2,northwind_order_details[Revenue])</f>
        <v>80529.57249999998</v>
      </c>
      <c r="Q2" s="26">
        <f>AVERAGEIF(northwind_order_details[country],$O2,northwind_order_details[Revenue])</f>
        <v>447.38651388888877</v>
      </c>
      <c r="R2" s="10">
        <f>COUNTIF(northwind_order_details[country],O2)</f>
        <v>180</v>
      </c>
      <c r="S2" s="23">
        <f>ROUND(SUMIF(northwind_order_details[country],$O2,northwind_order_details[discount amount]),2)</f>
        <v>3867.19</v>
      </c>
      <c r="T2" s="15">
        <f>COUNTIFS(northwind_order_details[Type of Revenue],T$1,northwind_order_details[country],$O2)</f>
        <v>21</v>
      </c>
      <c r="U2" s="7">
        <f>COUNTIFS(northwind_order_details[Type of Revenue],U$1,northwind_order_details[country],$O2)</f>
        <v>58</v>
      </c>
      <c r="V2" s="10">
        <f>COUNTIFS(northwind_order_details[Type of Revenue],V$1,northwind_order_details[country],$O2)</f>
        <v>101</v>
      </c>
      <c r="W2">
        <f>COUNTIFS(northwind_order_details[Price reconciliation],"Match",northwind_order_details[country],$O2)</f>
        <v>53</v>
      </c>
      <c r="X2" s="10">
        <f>COUNTIFS(northwind_order_details[Price reconciliation],"Mismatch",northwind_order_details[country],$O2)</f>
        <v>127</v>
      </c>
    </row>
    <row r="3" spans="1:24" x14ac:dyDescent="0.25">
      <c r="A3">
        <v>10248</v>
      </c>
      <c r="B3">
        <v>42</v>
      </c>
      <c r="C3" s="6">
        <v>9.8000000000000007</v>
      </c>
      <c r="D3">
        <v>10</v>
      </c>
      <c r="E3" s="6" t="s">
        <v>6</v>
      </c>
      <c r="F3" t="str">
        <f>_xlfn.XLOOKUP(northwind_order_details[[#This Row],[order_id]],northwind_orders[order_id],northwind_orders[ship_country])</f>
        <v>France</v>
      </c>
      <c r="G3">
        <f>INDEX(northwind_orders[],MATCH(northwind_order_details[[#This Row],[order_id]], northwind_orders[order_id], 0), MATCH("employee_id", northwind_orders[#Headers], 0))</f>
        <v>5</v>
      </c>
      <c r="H3">
        <f>northwind_order_details[[#This Row],[unit_price]]*northwind_order_details[[#This Row],[quantity]]</f>
        <v>98</v>
      </c>
      <c r="I3" s="1">
        <f>northwind_order_details[[#This Row],[purchase amount]]*northwind_order_details[[#This Row],[discount]]</f>
        <v>0</v>
      </c>
      <c r="J3" s="1">
        <f>northwind_order_details[[#This Row],[purchase amount]]-northwind_order_details[[#This Row],[discount amount]]</f>
        <v>98</v>
      </c>
      <c r="K3" s="6" t="str">
        <f>IF(northwind_order_details[[#This Row],[discount amount]]&gt;0,"Yes","No")</f>
        <v>No</v>
      </c>
      <c r="L3" s="1" t="str">
        <f>IF(northwind_order_details[[#This Row],[Revenue]]&gt;1000,"High",IF(northwind_order_details[[#This Row],[Revenue]]&gt;300,"Medium","Low"))</f>
        <v>Low</v>
      </c>
      <c r="M3" s="1" t="str">
        <f>IF(northwind_order_details[[#This Row],[unit_price]]=_xlfn.XLOOKUP(northwind_order_details[[#This Row],[product_id]],'Price Validation'!$D$2:$D$78,'Price Validation'!$E$2:$E$78),"Match","Mismatch")</f>
        <v>Mismatch</v>
      </c>
      <c r="O3" s="9" t="str">
        <v>Germany</v>
      </c>
      <c r="P3" s="26">
        <f>SUMIF(northwind_order_details[country],$O3,northwind_order_details[Revenue])</f>
        <v>227796.65849999999</v>
      </c>
      <c r="Q3" s="26">
        <f>AVERAGEIF(northwind_order_details[country],$O3,northwind_order_details[Revenue])</f>
        <v>709.64691121495321</v>
      </c>
      <c r="R3" s="10">
        <f>COUNTIF(northwind_order_details[country],O3)</f>
        <v>321</v>
      </c>
      <c r="S3" s="24">
        <f>ROUND(SUMIF(northwind_order_details[country],$O3,northwind_order_details[discount amount]),2)</f>
        <v>14112.47</v>
      </c>
      <c r="T3" s="15">
        <f>COUNTIFS(northwind_order_details[Type of Revenue],T$1,northwind_order_details[country],$O3)</f>
        <v>61</v>
      </c>
      <c r="U3" s="7">
        <f>COUNTIFS(northwind_order_details[Type of Revenue],U$1,northwind_order_details[country],$O3)</f>
        <v>142</v>
      </c>
      <c r="V3" s="10">
        <f>COUNTIFS(northwind_order_details[Type of Revenue],V$1,northwind_order_details[country],$O3)</f>
        <v>118</v>
      </c>
      <c r="W3">
        <f>COUNTIFS(northwind_order_details[Price reconciliation],"Match",northwind_order_details[country],$O3)</f>
        <v>108</v>
      </c>
      <c r="X3" s="10">
        <f>COUNTIFS(northwind_order_details[Price reconciliation],"Mismatch",northwind_order_details[country],$O3)</f>
        <v>213</v>
      </c>
    </row>
    <row r="4" spans="1:24" x14ac:dyDescent="0.25">
      <c r="A4">
        <v>10248</v>
      </c>
      <c r="B4">
        <v>72</v>
      </c>
      <c r="C4" s="6">
        <v>34.799999999999997</v>
      </c>
      <c r="D4">
        <v>5</v>
      </c>
      <c r="E4" s="6" t="s">
        <v>6</v>
      </c>
      <c r="F4" t="str">
        <f>_xlfn.XLOOKUP(northwind_order_details[[#This Row],[order_id]],northwind_orders[order_id],northwind_orders[ship_country])</f>
        <v>France</v>
      </c>
      <c r="G4">
        <f>INDEX(northwind_orders[],MATCH(northwind_order_details[[#This Row],[order_id]], northwind_orders[order_id], 0), MATCH("employee_id", northwind_orders[#Headers], 0))</f>
        <v>5</v>
      </c>
      <c r="H4">
        <f>northwind_order_details[[#This Row],[unit_price]]*northwind_order_details[[#This Row],[quantity]]</f>
        <v>174</v>
      </c>
      <c r="I4" s="1">
        <f>northwind_order_details[[#This Row],[purchase amount]]*northwind_order_details[[#This Row],[discount]]</f>
        <v>0</v>
      </c>
      <c r="J4" s="1">
        <f>northwind_order_details[[#This Row],[purchase amount]]-northwind_order_details[[#This Row],[discount amount]]</f>
        <v>174</v>
      </c>
      <c r="K4" s="6" t="str">
        <f>IF(northwind_order_details[[#This Row],[discount amount]]&gt;0,"Yes","No")</f>
        <v>No</v>
      </c>
      <c r="L4" s="1" t="str">
        <f>IF(northwind_order_details[[#This Row],[Revenue]]&gt;1000,"High",IF(northwind_order_details[[#This Row],[Revenue]]&gt;300,"Medium","Low"))</f>
        <v>Low</v>
      </c>
      <c r="M4" s="1" t="str">
        <f>IF(northwind_order_details[[#This Row],[unit_price]]=_xlfn.XLOOKUP(northwind_order_details[[#This Row],[product_id]],'Price Validation'!$D$2:$D$78,'Price Validation'!$E$2:$E$78),"Match","Mismatch")</f>
        <v>Match</v>
      </c>
      <c r="O4" s="9" t="str">
        <v>Brazil</v>
      </c>
      <c r="P4" s="26">
        <f>SUMIF(northwind_order_details[country],$O4,northwind_order_details[Revenue])</f>
        <v>103060.69650000002</v>
      </c>
      <c r="Q4" s="26">
        <f>AVERAGEIF(northwind_order_details[country],$O4,northwind_order_details[Revenue])</f>
        <v>523.15074365482246</v>
      </c>
      <c r="R4" s="10">
        <f>COUNTIF(northwind_order_details[country],O4)</f>
        <v>197</v>
      </c>
      <c r="S4" s="24">
        <f>ROUND(SUMIF(northwind_order_details[country],$O4,northwind_order_details[discount amount]),2)</f>
        <v>7684.98</v>
      </c>
      <c r="T4" s="15">
        <f>COUNTIFS(northwind_order_details[Type of Revenue],T$1,northwind_order_details[country],$O4)</f>
        <v>21</v>
      </c>
      <c r="U4" s="7">
        <f>COUNTIFS(northwind_order_details[Type of Revenue],U$1,northwind_order_details[country],$O4)</f>
        <v>73</v>
      </c>
      <c r="V4" s="10">
        <f>COUNTIFS(northwind_order_details[Type of Revenue],V$1,northwind_order_details[country],$O4)</f>
        <v>103</v>
      </c>
      <c r="W4">
        <f>COUNTIFS(northwind_order_details[Price reconciliation],"Match",northwind_order_details[country],$O4)</f>
        <v>62</v>
      </c>
      <c r="X4" s="10">
        <f>COUNTIFS(northwind_order_details[Price reconciliation],"Mismatch",northwind_order_details[country],$O4)</f>
        <v>135</v>
      </c>
    </row>
    <row r="5" spans="1:24" x14ac:dyDescent="0.25">
      <c r="A5">
        <v>10249</v>
      </c>
      <c r="B5">
        <v>14</v>
      </c>
      <c r="C5" s="6">
        <v>18.600000000000001</v>
      </c>
      <c r="D5">
        <v>9</v>
      </c>
      <c r="E5" s="6" t="s">
        <v>6</v>
      </c>
      <c r="F5" t="str">
        <f>_xlfn.XLOOKUP(northwind_order_details[[#This Row],[order_id]],northwind_orders[order_id],northwind_orders[ship_country])</f>
        <v>Germany</v>
      </c>
      <c r="G5">
        <f>INDEX(northwind_orders[],MATCH(northwind_order_details[[#This Row],[order_id]], northwind_orders[order_id], 0), MATCH("employee_id", northwind_orders[#Headers], 0))</f>
        <v>6</v>
      </c>
      <c r="H5">
        <f>northwind_order_details[[#This Row],[unit_price]]*northwind_order_details[[#This Row],[quantity]]</f>
        <v>167.4</v>
      </c>
      <c r="I5" s="1">
        <f>northwind_order_details[[#This Row],[purchase amount]]*northwind_order_details[[#This Row],[discount]]</f>
        <v>0</v>
      </c>
      <c r="J5" s="1">
        <f>northwind_order_details[[#This Row],[purchase amount]]-northwind_order_details[[#This Row],[discount amount]]</f>
        <v>167.4</v>
      </c>
      <c r="K5" s="6" t="str">
        <f>IF(northwind_order_details[[#This Row],[discount amount]]&gt;0,"Yes","No")</f>
        <v>No</v>
      </c>
      <c r="L5" s="1" t="str">
        <f>IF(northwind_order_details[[#This Row],[Revenue]]&gt;1000,"High",IF(northwind_order_details[[#This Row],[Revenue]]&gt;300,"Medium","Low"))</f>
        <v>Low</v>
      </c>
      <c r="M5" s="1" t="str">
        <f>IF(northwind_order_details[[#This Row],[unit_price]]=_xlfn.XLOOKUP(northwind_order_details[[#This Row],[product_id]],'Price Validation'!$D$2:$D$78,'Price Validation'!$E$2:$E$78),"Match","Mismatch")</f>
        <v>Mismatch</v>
      </c>
      <c r="O5" s="9" t="str">
        <v>Belgium</v>
      </c>
      <c r="P5" s="26">
        <f>SUMIF(northwind_order_details[country],$O5,northwind_order_details[Revenue])</f>
        <v>33824.855000000003</v>
      </c>
      <c r="Q5" s="26">
        <f>AVERAGEIF(northwind_order_details[country],$O5,northwind_order_details[Revenue])</f>
        <v>604.01526785714293</v>
      </c>
      <c r="R5" s="10">
        <f>COUNTIF(northwind_order_details[country],O5)</f>
        <v>56</v>
      </c>
      <c r="S5" s="24">
        <f>ROUND(SUMIF(northwind_order_details[country],$O5,northwind_order_details[discount amount]),2)</f>
        <v>1310.1300000000001</v>
      </c>
      <c r="T5" s="15">
        <f>COUNTIFS(northwind_order_details[Type of Revenue],T$1,northwind_order_details[country],$O5)</f>
        <v>12</v>
      </c>
      <c r="U5" s="7">
        <f>COUNTIFS(northwind_order_details[Type of Revenue],U$1,northwind_order_details[country],$O5)</f>
        <v>26</v>
      </c>
      <c r="V5" s="10">
        <f>COUNTIFS(northwind_order_details[Type of Revenue],V$1,northwind_order_details[country],$O5)</f>
        <v>18</v>
      </c>
      <c r="W5">
        <f>COUNTIFS(northwind_order_details[Price reconciliation],"Match",northwind_order_details[country],$O5)</f>
        <v>14</v>
      </c>
      <c r="X5" s="10">
        <f>COUNTIFS(northwind_order_details[Price reconciliation],"Mismatch",northwind_order_details[country],$O5)</f>
        <v>42</v>
      </c>
    </row>
    <row r="6" spans="1:24" x14ac:dyDescent="0.25">
      <c r="A6">
        <v>10249</v>
      </c>
      <c r="B6">
        <v>51</v>
      </c>
      <c r="C6" s="6">
        <v>42.4</v>
      </c>
      <c r="D6">
        <v>40</v>
      </c>
      <c r="E6" s="6" t="s">
        <v>6</v>
      </c>
      <c r="F6" t="str">
        <f>_xlfn.XLOOKUP(northwind_order_details[[#This Row],[order_id]],northwind_orders[order_id],northwind_orders[ship_country])</f>
        <v>Germany</v>
      </c>
      <c r="G6">
        <f>INDEX(northwind_orders[],MATCH(northwind_order_details[[#This Row],[order_id]], northwind_orders[order_id], 0), MATCH("employee_id", northwind_orders[#Headers], 0))</f>
        <v>6</v>
      </c>
      <c r="H6">
        <f>northwind_order_details[[#This Row],[unit_price]]*northwind_order_details[[#This Row],[quantity]]</f>
        <v>1696</v>
      </c>
      <c r="I6" s="1">
        <f>northwind_order_details[[#This Row],[purchase amount]]*northwind_order_details[[#This Row],[discount]]</f>
        <v>0</v>
      </c>
      <c r="J6" s="1">
        <f>northwind_order_details[[#This Row],[purchase amount]]-northwind_order_details[[#This Row],[discount amount]]</f>
        <v>1696</v>
      </c>
      <c r="K6" s="6" t="str">
        <f>IF(northwind_order_details[[#This Row],[discount amount]]&gt;0,"Yes","No")</f>
        <v>No</v>
      </c>
      <c r="L6" s="1" t="str">
        <f>IF(northwind_order_details[[#This Row],[Revenue]]&gt;1000,"High",IF(northwind_order_details[[#This Row],[Revenue]]&gt;300,"Medium","Low"))</f>
        <v>High</v>
      </c>
      <c r="M6" s="1" t="str">
        <f>IF(northwind_order_details[[#This Row],[unit_price]]=_xlfn.XLOOKUP(northwind_order_details[[#This Row],[product_id]],'Price Validation'!$D$2:$D$78,'Price Validation'!$E$2:$E$78),"Match","Mismatch")</f>
        <v>Mismatch</v>
      </c>
      <c r="O6" s="9" t="str">
        <v>Switzerland</v>
      </c>
      <c r="P6" s="26">
        <f>SUMIF(northwind_order_details[country],$O6,northwind_order_details[Revenue])</f>
        <v>31194.559000000001</v>
      </c>
      <c r="Q6" s="26">
        <f>AVERAGEIF(northwind_order_details[country],$O6,northwind_order_details[Revenue])</f>
        <v>636.62365306122456</v>
      </c>
      <c r="R6" s="10">
        <f>COUNTIF(northwind_order_details[country],O6)</f>
        <v>49</v>
      </c>
      <c r="S6" s="24">
        <f>ROUND(SUMIF(northwind_order_details[country],$O6,northwind_order_details[discount amount]),2)</f>
        <v>1138.94</v>
      </c>
      <c r="T6" s="15">
        <f>COUNTIFS(northwind_order_details[Type of Revenue],T$1,northwind_order_details[country],$O6)</f>
        <v>9</v>
      </c>
      <c r="U6" s="7">
        <f>COUNTIFS(northwind_order_details[Type of Revenue],U$1,northwind_order_details[country],$O6)</f>
        <v>26</v>
      </c>
      <c r="V6" s="10">
        <f>COUNTIFS(northwind_order_details[Type of Revenue],V$1,northwind_order_details[country],$O6)</f>
        <v>14</v>
      </c>
      <c r="W6">
        <f>COUNTIFS(northwind_order_details[Price reconciliation],"Match",northwind_order_details[country],$O6)</f>
        <v>18</v>
      </c>
      <c r="X6" s="10">
        <f>COUNTIFS(northwind_order_details[Price reconciliation],"Mismatch",northwind_order_details[country],$O6)</f>
        <v>31</v>
      </c>
    </row>
    <row r="7" spans="1:24" x14ac:dyDescent="0.25">
      <c r="A7">
        <v>10250</v>
      </c>
      <c r="B7">
        <v>41</v>
      </c>
      <c r="C7" s="6">
        <v>7.7</v>
      </c>
      <c r="D7">
        <v>10</v>
      </c>
      <c r="E7" s="6" t="s">
        <v>6</v>
      </c>
      <c r="F7" t="str">
        <f>_xlfn.XLOOKUP(northwind_order_details[[#This Row],[order_id]],northwind_orders[order_id],northwind_orders[ship_country])</f>
        <v>Brazil</v>
      </c>
      <c r="G7">
        <f>INDEX(northwind_orders[],MATCH(northwind_order_details[[#This Row],[order_id]], northwind_orders[order_id], 0), MATCH("employee_id", northwind_orders[#Headers], 0))</f>
        <v>4</v>
      </c>
      <c r="H7">
        <f>northwind_order_details[[#This Row],[unit_price]]*northwind_order_details[[#This Row],[quantity]]</f>
        <v>77</v>
      </c>
      <c r="I7" s="1">
        <f>northwind_order_details[[#This Row],[purchase amount]]*northwind_order_details[[#This Row],[discount]]</f>
        <v>0</v>
      </c>
      <c r="J7" s="1">
        <f>northwind_order_details[[#This Row],[purchase amount]]-northwind_order_details[[#This Row],[discount amount]]</f>
        <v>77</v>
      </c>
      <c r="K7" s="6" t="str">
        <f>IF(northwind_order_details[[#This Row],[discount amount]]&gt;0,"Yes","No")</f>
        <v>No</v>
      </c>
      <c r="L7" s="1" t="str">
        <f>IF(northwind_order_details[[#This Row],[Revenue]]&gt;1000,"High",IF(northwind_order_details[[#This Row],[Revenue]]&gt;300,"Medium","Low"))</f>
        <v>Low</v>
      </c>
      <c r="M7" s="1" t="str">
        <f>IF(northwind_order_details[[#This Row],[unit_price]]=_xlfn.XLOOKUP(northwind_order_details[[#This Row],[product_id]],'Price Validation'!$D$2:$D$78,'Price Validation'!$E$2:$E$78),"Match","Mismatch")</f>
        <v>Mismatch</v>
      </c>
      <c r="O7" s="9" t="str">
        <v>Venezuela</v>
      </c>
      <c r="P7" s="26">
        <f>SUMIF(northwind_order_details[country],$O7,northwind_order_details[Revenue])</f>
        <v>53046.708999999988</v>
      </c>
      <c r="Q7" s="26">
        <f>AVERAGEIF(northwind_order_details[country],$O7,northwind_order_details[Revenue])</f>
        <v>482.24280909090896</v>
      </c>
      <c r="R7" s="10">
        <f>COUNTIF(northwind_order_details[country],O7)</f>
        <v>110</v>
      </c>
      <c r="S7" s="24">
        <f>ROUND(SUMIF(northwind_order_details[country],$O7,northwind_order_details[discount amount]),2)</f>
        <v>3915.62</v>
      </c>
      <c r="T7" s="15">
        <f>COUNTIFS(northwind_order_details[Type of Revenue],T$1,northwind_order_details[country],$O7)</f>
        <v>11</v>
      </c>
      <c r="U7" s="7">
        <f>COUNTIFS(northwind_order_details[Type of Revenue],U$1,northwind_order_details[country],$O7)</f>
        <v>45</v>
      </c>
      <c r="V7" s="10">
        <f>COUNTIFS(northwind_order_details[Type of Revenue],V$1,northwind_order_details[country],$O7)</f>
        <v>54</v>
      </c>
      <c r="W7">
        <f>COUNTIFS(northwind_order_details[Price reconciliation],"Match",northwind_order_details[country],$O7)</f>
        <v>37</v>
      </c>
      <c r="X7" s="10">
        <f>COUNTIFS(northwind_order_details[Price reconciliation],"Mismatch",northwind_order_details[country],$O7)</f>
        <v>73</v>
      </c>
    </row>
    <row r="8" spans="1:24" x14ac:dyDescent="0.25">
      <c r="A8">
        <v>10250</v>
      </c>
      <c r="B8">
        <v>51</v>
      </c>
      <c r="C8" s="6">
        <v>42.4</v>
      </c>
      <c r="D8">
        <v>35</v>
      </c>
      <c r="E8" s="6">
        <v>0.15</v>
      </c>
      <c r="F8" t="str">
        <f>_xlfn.XLOOKUP(northwind_order_details[[#This Row],[order_id]],northwind_orders[order_id],northwind_orders[ship_country])</f>
        <v>Brazil</v>
      </c>
      <c r="G8">
        <f>INDEX(northwind_orders[],MATCH(northwind_order_details[[#This Row],[order_id]], northwind_orders[order_id], 0), MATCH("employee_id", northwind_orders[#Headers], 0))</f>
        <v>4</v>
      </c>
      <c r="H8">
        <f>northwind_order_details[[#This Row],[unit_price]]*northwind_order_details[[#This Row],[quantity]]</f>
        <v>1484</v>
      </c>
      <c r="I8" s="1">
        <f>northwind_order_details[[#This Row],[purchase amount]]*northwind_order_details[[#This Row],[discount]]</f>
        <v>222.6</v>
      </c>
      <c r="J8" s="1">
        <f>northwind_order_details[[#This Row],[purchase amount]]-northwind_order_details[[#This Row],[discount amount]]</f>
        <v>1261.4000000000001</v>
      </c>
      <c r="K8" s="6" t="str">
        <f>IF(northwind_order_details[[#This Row],[discount amount]]&gt;0,"Yes","No")</f>
        <v>Yes</v>
      </c>
      <c r="L8" s="1" t="str">
        <f>IF(northwind_order_details[[#This Row],[Revenue]]&gt;1000,"High",IF(northwind_order_details[[#This Row],[Revenue]]&gt;300,"Medium","Low"))</f>
        <v>High</v>
      </c>
      <c r="M8" s="1" t="str">
        <f>IF(northwind_order_details[[#This Row],[unit_price]]=_xlfn.XLOOKUP(northwind_order_details[[#This Row],[product_id]],'Price Validation'!$D$2:$D$78,'Price Validation'!$E$2:$E$78),"Match","Mismatch")</f>
        <v>Mismatch</v>
      </c>
      <c r="O8" s="9" t="str">
        <v>Austria</v>
      </c>
      <c r="P8" s="26">
        <f>SUMIF(northwind_order_details[country],$O8,northwind_order_details[Revenue])</f>
        <v>118104.93850000002</v>
      </c>
      <c r="Q8" s="26">
        <f>AVERAGEIF(northwind_order_details[country],$O8,northwind_order_details[Revenue])</f>
        <v>1000.889309322034</v>
      </c>
      <c r="R8" s="10">
        <f>COUNTIF(northwind_order_details[country],O8)</f>
        <v>118</v>
      </c>
      <c r="S8" s="24">
        <f>ROUND(SUMIF(northwind_order_details[country],$O8,northwind_order_details[discount amount]),2)</f>
        <v>11270.19</v>
      </c>
      <c r="T8" s="15">
        <f>COUNTIFS(northwind_order_details[Type of Revenue],T$1,northwind_order_details[country],$O8)</f>
        <v>38</v>
      </c>
      <c r="U8" s="7">
        <f>COUNTIFS(northwind_order_details[Type of Revenue],U$1,northwind_order_details[country],$O8)</f>
        <v>51</v>
      </c>
      <c r="V8" s="10">
        <f>COUNTIFS(northwind_order_details[Type of Revenue],V$1,northwind_order_details[country],$O8)</f>
        <v>29</v>
      </c>
      <c r="W8">
        <f>COUNTIFS(northwind_order_details[Price reconciliation],"Match",northwind_order_details[country],$O8)</f>
        <v>37</v>
      </c>
      <c r="X8" s="10">
        <f>COUNTIFS(northwind_order_details[Price reconciliation],"Mismatch",northwind_order_details[country],$O8)</f>
        <v>81</v>
      </c>
    </row>
    <row r="9" spans="1:24" x14ac:dyDescent="0.25">
      <c r="A9">
        <v>10250</v>
      </c>
      <c r="B9">
        <v>65</v>
      </c>
      <c r="C9" s="6">
        <v>16.8</v>
      </c>
      <c r="D9">
        <v>15</v>
      </c>
      <c r="E9" s="6">
        <v>0.15</v>
      </c>
      <c r="F9" t="str">
        <f>_xlfn.XLOOKUP(northwind_order_details[[#This Row],[order_id]],northwind_orders[order_id],northwind_orders[ship_country])</f>
        <v>Brazil</v>
      </c>
      <c r="G9">
        <f>INDEX(northwind_orders[],MATCH(northwind_order_details[[#This Row],[order_id]], northwind_orders[order_id], 0), MATCH("employee_id", northwind_orders[#Headers], 0))</f>
        <v>4</v>
      </c>
      <c r="H9">
        <f>northwind_order_details[[#This Row],[unit_price]]*northwind_order_details[[#This Row],[quantity]]</f>
        <v>252</v>
      </c>
      <c r="I9" s="1">
        <f>northwind_order_details[[#This Row],[purchase amount]]*northwind_order_details[[#This Row],[discount]]</f>
        <v>37.799999999999997</v>
      </c>
      <c r="J9" s="1">
        <f>northwind_order_details[[#This Row],[purchase amount]]-northwind_order_details[[#This Row],[discount amount]]</f>
        <v>214.2</v>
      </c>
      <c r="K9" s="6" t="str">
        <f>IF(northwind_order_details[[#This Row],[discount amount]]&gt;0,"Yes","No")</f>
        <v>Yes</v>
      </c>
      <c r="L9" s="1" t="str">
        <f>IF(northwind_order_details[[#This Row],[Revenue]]&gt;1000,"High",IF(northwind_order_details[[#This Row],[Revenue]]&gt;300,"Medium","Low"))</f>
        <v>Low</v>
      </c>
      <c r="M9" s="1" t="str">
        <f>IF(northwind_order_details[[#This Row],[unit_price]]=_xlfn.XLOOKUP(northwind_order_details[[#This Row],[product_id]],'Price Validation'!$D$2:$D$78,'Price Validation'!$E$2:$E$78),"Match","Mismatch")</f>
        <v>Mismatch</v>
      </c>
      <c r="O9" s="9" t="str">
        <v>Mexico</v>
      </c>
      <c r="P9" s="26">
        <f>SUMIF(northwind_order_details[country],$O9,northwind_order_details[Revenue])</f>
        <v>23282.077500000003</v>
      </c>
      <c r="Q9" s="26">
        <f>AVERAGEIF(northwind_order_details[country],$O9,northwind_order_details[Revenue])</f>
        <v>332.60110714285719</v>
      </c>
      <c r="R9" s="10">
        <f>COUNTIF(northwind_order_details[country],O9)</f>
        <v>70</v>
      </c>
      <c r="S9" s="24">
        <f>ROUND(SUMIF(northwind_order_details[country],$O9,northwind_order_details[discount amount]),2)</f>
        <v>491.37</v>
      </c>
      <c r="T9" s="15">
        <f>COUNTIFS(northwind_order_details[Type of Revenue],T$1,northwind_order_details[country],$O9)</f>
        <v>2</v>
      </c>
      <c r="U9" s="7">
        <f>COUNTIFS(northwind_order_details[Type of Revenue],U$1,northwind_order_details[country],$O9)</f>
        <v>27</v>
      </c>
      <c r="V9" s="10">
        <f>COUNTIFS(northwind_order_details[Type of Revenue],V$1,northwind_order_details[country],$O9)</f>
        <v>41</v>
      </c>
      <c r="W9">
        <f>COUNTIFS(northwind_order_details[Price reconciliation],"Match",northwind_order_details[country],$O9)</f>
        <v>23</v>
      </c>
      <c r="X9" s="10">
        <f>COUNTIFS(northwind_order_details[Price reconciliation],"Mismatch",northwind_order_details[country],$O9)</f>
        <v>47</v>
      </c>
    </row>
    <row r="10" spans="1:24" x14ac:dyDescent="0.25">
      <c r="A10">
        <v>10251</v>
      </c>
      <c r="B10">
        <v>22</v>
      </c>
      <c r="C10" s="6">
        <v>16.8</v>
      </c>
      <c r="D10">
        <v>6</v>
      </c>
      <c r="E10" s="6">
        <v>0.05</v>
      </c>
      <c r="F10" t="str">
        <f>_xlfn.XLOOKUP(northwind_order_details[[#This Row],[order_id]],northwind_orders[order_id],northwind_orders[ship_country])</f>
        <v>France</v>
      </c>
      <c r="G10">
        <f>INDEX(northwind_orders[],MATCH(northwind_order_details[[#This Row],[order_id]], northwind_orders[order_id], 0), MATCH("employee_id", northwind_orders[#Headers], 0))</f>
        <v>3</v>
      </c>
      <c r="H10">
        <f>northwind_order_details[[#This Row],[unit_price]]*northwind_order_details[[#This Row],[quantity]]</f>
        <v>100.80000000000001</v>
      </c>
      <c r="I10" s="1">
        <f>northwind_order_details[[#This Row],[purchase amount]]*northwind_order_details[[#This Row],[discount]]</f>
        <v>5.0400000000000009</v>
      </c>
      <c r="J10" s="1">
        <f>northwind_order_details[[#This Row],[purchase amount]]-northwind_order_details[[#This Row],[discount amount]]</f>
        <v>95.76</v>
      </c>
      <c r="K10" s="6" t="str">
        <f>IF(northwind_order_details[[#This Row],[discount amount]]&gt;0,"Yes","No")</f>
        <v>Yes</v>
      </c>
      <c r="L10" s="1" t="str">
        <f>IF(northwind_order_details[[#This Row],[Revenue]]&gt;1000,"High",IF(northwind_order_details[[#This Row],[Revenue]]&gt;300,"Medium","Low"))</f>
        <v>Low</v>
      </c>
      <c r="M10" s="1" t="str">
        <f>IF(northwind_order_details[[#This Row],[unit_price]]=_xlfn.XLOOKUP(northwind_order_details[[#This Row],[product_id]],'Price Validation'!$D$2:$D$78,'Price Validation'!$E$2:$E$78),"Match","Mismatch")</f>
        <v>Mismatch</v>
      </c>
      <c r="O10" s="9" t="str">
        <v>USA</v>
      </c>
      <c r="P10" s="26">
        <f>SUMIF(northwind_order_details[country],$O10,northwind_order_details[Revenue])</f>
        <v>243618.89</v>
      </c>
      <c r="Q10" s="26">
        <f>AVERAGEIF(northwind_order_details[country],$O10,northwind_order_details[Revenue])</f>
        <v>749.5965846153847</v>
      </c>
      <c r="R10" s="10">
        <f>COUNTIF(northwind_order_details[country],O10)</f>
        <v>325</v>
      </c>
      <c r="S10" s="24">
        <f>ROUND(SUMIF(northwind_order_details[country],$O10,northwind_order_details[discount amount]),2)</f>
        <v>17863.490000000002</v>
      </c>
      <c r="T10" s="15">
        <f>COUNTIFS(northwind_order_details[Type of Revenue],T$1,northwind_order_details[country],$O10)</f>
        <v>67</v>
      </c>
      <c r="U10" s="7">
        <f>COUNTIFS(northwind_order_details[Type of Revenue],U$1,northwind_order_details[country],$O10)</f>
        <v>133</v>
      </c>
      <c r="V10" s="10">
        <f>COUNTIFS(northwind_order_details[Type of Revenue],V$1,northwind_order_details[country],$O10)</f>
        <v>125</v>
      </c>
      <c r="W10">
        <f>COUNTIFS(northwind_order_details[Price reconciliation],"Match",northwind_order_details[country],$O10)</f>
        <v>126</v>
      </c>
      <c r="X10" s="10">
        <f>COUNTIFS(northwind_order_details[Price reconciliation],"Mismatch",northwind_order_details[country],$O10)</f>
        <v>199</v>
      </c>
    </row>
    <row r="11" spans="1:24" x14ac:dyDescent="0.25">
      <c r="A11">
        <v>10251</v>
      </c>
      <c r="B11">
        <v>57</v>
      </c>
      <c r="C11" s="6">
        <v>15.6</v>
      </c>
      <c r="D11">
        <v>15</v>
      </c>
      <c r="E11" s="6">
        <v>0.05</v>
      </c>
      <c r="F11" t="str">
        <f>_xlfn.XLOOKUP(northwind_order_details[[#This Row],[order_id]],northwind_orders[order_id],northwind_orders[ship_country])</f>
        <v>France</v>
      </c>
      <c r="G11">
        <f>INDEX(northwind_orders[],MATCH(northwind_order_details[[#This Row],[order_id]], northwind_orders[order_id], 0), MATCH("employee_id", northwind_orders[#Headers], 0))</f>
        <v>3</v>
      </c>
      <c r="H11">
        <f>northwind_order_details[[#This Row],[unit_price]]*northwind_order_details[[#This Row],[quantity]]</f>
        <v>234</v>
      </c>
      <c r="I11" s="1">
        <f>northwind_order_details[[#This Row],[purchase amount]]*northwind_order_details[[#This Row],[discount]]</f>
        <v>11.700000000000001</v>
      </c>
      <c r="J11" s="1">
        <f>northwind_order_details[[#This Row],[purchase amount]]-northwind_order_details[[#This Row],[discount amount]]</f>
        <v>222.3</v>
      </c>
      <c r="K11" s="6" t="str">
        <f>IF(northwind_order_details[[#This Row],[discount amount]]&gt;0,"Yes","No")</f>
        <v>Yes</v>
      </c>
      <c r="L11" s="1" t="str">
        <f>IF(northwind_order_details[[#This Row],[Revenue]]&gt;1000,"High",IF(northwind_order_details[[#This Row],[Revenue]]&gt;300,"Medium","Low"))</f>
        <v>Low</v>
      </c>
      <c r="M11" s="1" t="str">
        <f>IF(northwind_order_details[[#This Row],[unit_price]]=_xlfn.XLOOKUP(northwind_order_details[[#This Row],[product_id]],'Price Validation'!$D$2:$D$78,'Price Validation'!$E$2:$E$78),"Match","Mismatch")</f>
        <v>Mismatch</v>
      </c>
      <c r="O11" s="9" t="str">
        <v>Sweden</v>
      </c>
      <c r="P11" s="26">
        <f>SUMIF(northwind_order_details[country],$O11,northwind_order_details[Revenue])</f>
        <v>54495.139999999992</v>
      </c>
      <c r="Q11" s="26">
        <f>AVERAGEIF(northwind_order_details[country],$O11,northwind_order_details[Revenue])</f>
        <v>561.80556701030923</v>
      </c>
      <c r="R11" s="10">
        <f>COUNTIF(northwind_order_details[country],O11)</f>
        <v>97</v>
      </c>
      <c r="S11" s="24">
        <f>ROUND(SUMIF(northwind_order_details[country],$O11,northwind_order_details[discount amount]),2)</f>
        <v>5028.5600000000004</v>
      </c>
      <c r="T11" s="15">
        <f>COUNTIFS(northwind_order_details[Type of Revenue],T$1,northwind_order_details[country],$O11)</f>
        <v>11</v>
      </c>
      <c r="U11" s="7">
        <f>COUNTIFS(northwind_order_details[Type of Revenue],U$1,northwind_order_details[country],$O11)</f>
        <v>34</v>
      </c>
      <c r="V11" s="10">
        <f>COUNTIFS(northwind_order_details[Type of Revenue],V$1,northwind_order_details[country],$O11)</f>
        <v>52</v>
      </c>
      <c r="W11">
        <f>COUNTIFS(northwind_order_details[Price reconciliation],"Match",northwind_order_details[country],$O11)</f>
        <v>36</v>
      </c>
      <c r="X11" s="10">
        <f>COUNTIFS(northwind_order_details[Price reconciliation],"Mismatch",northwind_order_details[country],$O11)</f>
        <v>61</v>
      </c>
    </row>
    <row r="12" spans="1:24" x14ac:dyDescent="0.25">
      <c r="A12">
        <v>10251</v>
      </c>
      <c r="B12">
        <v>65</v>
      </c>
      <c r="C12" s="6">
        <v>16.8</v>
      </c>
      <c r="D12">
        <v>20</v>
      </c>
      <c r="E12" s="6" t="s">
        <v>6</v>
      </c>
      <c r="F12" t="str">
        <f>_xlfn.XLOOKUP(northwind_order_details[[#This Row],[order_id]],northwind_orders[order_id],northwind_orders[ship_country])</f>
        <v>France</v>
      </c>
      <c r="G12">
        <f>INDEX(northwind_orders[],MATCH(northwind_order_details[[#This Row],[order_id]], northwind_orders[order_id], 0), MATCH("employee_id", northwind_orders[#Headers], 0))</f>
        <v>3</v>
      </c>
      <c r="H12">
        <f>northwind_order_details[[#This Row],[unit_price]]*northwind_order_details[[#This Row],[quantity]]</f>
        <v>336</v>
      </c>
      <c r="I12" s="1">
        <f>northwind_order_details[[#This Row],[purchase amount]]*northwind_order_details[[#This Row],[discount]]</f>
        <v>0</v>
      </c>
      <c r="J12" s="1">
        <f>northwind_order_details[[#This Row],[purchase amount]]-northwind_order_details[[#This Row],[discount amount]]</f>
        <v>336</v>
      </c>
      <c r="K12" s="6" t="str">
        <f>IF(northwind_order_details[[#This Row],[discount amount]]&gt;0,"Yes","No")</f>
        <v>No</v>
      </c>
      <c r="L12" s="1" t="str">
        <f>IF(northwind_order_details[[#This Row],[Revenue]]&gt;1000,"High",IF(northwind_order_details[[#This Row],[Revenue]]&gt;300,"Medium","Low"))</f>
        <v>Medium</v>
      </c>
      <c r="M12" s="1" t="str">
        <f>IF(northwind_order_details[[#This Row],[unit_price]]=_xlfn.XLOOKUP(northwind_order_details[[#This Row],[product_id]],'Price Validation'!$D$2:$D$78,'Price Validation'!$E$2:$E$78),"Match","Mismatch")</f>
        <v>Mismatch</v>
      </c>
      <c r="O12" s="9" t="str">
        <v>Finland</v>
      </c>
      <c r="P12" s="26">
        <f>SUMIF(northwind_order_details[country],$O12,northwind_order_details[Revenue])</f>
        <v>18810.052499999998</v>
      </c>
      <c r="Q12" s="26">
        <f>AVERAGEIF(northwind_order_details[country],$O12,northwind_order_details[Revenue])</f>
        <v>348.33430555555555</v>
      </c>
      <c r="R12" s="10">
        <f>COUNTIF(northwind_order_details[country],O12)</f>
        <v>54</v>
      </c>
      <c r="S12" s="24">
        <f>ROUND(SUMIF(northwind_order_details[country],$O12,northwind_order_details[discount amount]),2)</f>
        <v>968.4</v>
      </c>
      <c r="T12" s="15">
        <f>COUNTIFS(northwind_order_details[Type of Revenue],T$1,northwind_order_details[country],$O12)</f>
        <v>3</v>
      </c>
      <c r="U12" s="7">
        <f>COUNTIFS(northwind_order_details[Type of Revenue],U$1,northwind_order_details[country],$O12)</f>
        <v>22</v>
      </c>
      <c r="V12" s="10">
        <f>COUNTIFS(northwind_order_details[Type of Revenue],V$1,northwind_order_details[country],$O12)</f>
        <v>29</v>
      </c>
      <c r="W12">
        <f>COUNTIFS(northwind_order_details[Price reconciliation],"Match",northwind_order_details[country],$O12)</f>
        <v>14</v>
      </c>
      <c r="X12" s="10">
        <f>COUNTIFS(northwind_order_details[Price reconciliation],"Mismatch",northwind_order_details[country],$O12)</f>
        <v>40</v>
      </c>
    </row>
    <row r="13" spans="1:24" x14ac:dyDescent="0.25">
      <c r="A13">
        <v>10252</v>
      </c>
      <c r="B13">
        <v>20</v>
      </c>
      <c r="C13" s="6">
        <v>64.8</v>
      </c>
      <c r="D13">
        <v>40</v>
      </c>
      <c r="E13" s="6">
        <v>0.05</v>
      </c>
      <c r="F13" t="str">
        <f>_xlfn.XLOOKUP(northwind_order_details[[#This Row],[order_id]],northwind_orders[order_id],northwind_orders[ship_country])</f>
        <v>Belgium</v>
      </c>
      <c r="G13">
        <f>INDEX(northwind_orders[],MATCH(northwind_order_details[[#This Row],[order_id]], northwind_orders[order_id], 0), MATCH("employee_id", northwind_orders[#Headers], 0))</f>
        <v>4</v>
      </c>
      <c r="H13">
        <f>northwind_order_details[[#This Row],[unit_price]]*northwind_order_details[[#This Row],[quantity]]</f>
        <v>2592</v>
      </c>
      <c r="I13" s="1">
        <f>northwind_order_details[[#This Row],[purchase amount]]*northwind_order_details[[#This Row],[discount]]</f>
        <v>129.6</v>
      </c>
      <c r="J13" s="1">
        <f>northwind_order_details[[#This Row],[purchase amount]]-northwind_order_details[[#This Row],[discount amount]]</f>
        <v>2462.4</v>
      </c>
      <c r="K13" s="6" t="str">
        <f>IF(northwind_order_details[[#This Row],[discount amount]]&gt;0,"Yes","No")</f>
        <v>Yes</v>
      </c>
      <c r="L13" s="1" t="str">
        <f>IF(northwind_order_details[[#This Row],[Revenue]]&gt;1000,"High",IF(northwind_order_details[[#This Row],[Revenue]]&gt;300,"Medium","Low"))</f>
        <v>High</v>
      </c>
      <c r="M13" s="1" t="str">
        <f>IF(northwind_order_details[[#This Row],[unit_price]]=_xlfn.XLOOKUP(northwind_order_details[[#This Row],[product_id]],'Price Validation'!$D$2:$D$78,'Price Validation'!$E$2:$E$78),"Match","Mismatch")</f>
        <v>Mismatch</v>
      </c>
      <c r="O13" s="9" t="str">
        <v>Italy</v>
      </c>
      <c r="P13" s="26">
        <f>SUMIF(northwind_order_details[country],$O13,northwind_order_details[Revenue])</f>
        <v>15363.755000000001</v>
      </c>
      <c r="Q13" s="26">
        <f>AVERAGEIF(northwind_order_details[country],$O13,northwind_order_details[Revenue])</f>
        <v>301.25009803921569</v>
      </c>
      <c r="R13" s="10">
        <f>COUNTIF(northwind_order_details[country],O13)</f>
        <v>51</v>
      </c>
      <c r="S13" s="24">
        <f>ROUND(SUMIF(northwind_order_details[country],$O13,northwind_order_details[discount amount]),2)</f>
        <v>833.4</v>
      </c>
      <c r="T13" s="15">
        <f>COUNTIFS(northwind_order_details[Type of Revenue],T$1,northwind_order_details[country],$O13)</f>
        <v>1</v>
      </c>
      <c r="U13" s="7">
        <f>COUNTIFS(northwind_order_details[Type of Revenue],U$1,northwind_order_details[country],$O13)</f>
        <v>19</v>
      </c>
      <c r="V13" s="10">
        <f>COUNTIFS(northwind_order_details[Type of Revenue],V$1,northwind_order_details[country],$O13)</f>
        <v>31</v>
      </c>
      <c r="W13">
        <f>COUNTIFS(northwind_order_details[Price reconciliation],"Match",northwind_order_details[country],$O13)</f>
        <v>15</v>
      </c>
      <c r="X13" s="10">
        <f>COUNTIFS(northwind_order_details[Price reconciliation],"Mismatch",northwind_order_details[country],$O13)</f>
        <v>36</v>
      </c>
    </row>
    <row r="14" spans="1:24" x14ac:dyDescent="0.25">
      <c r="A14">
        <v>10252</v>
      </c>
      <c r="B14">
        <v>33</v>
      </c>
      <c r="C14" s="6" t="s">
        <v>7</v>
      </c>
      <c r="D14">
        <v>25</v>
      </c>
      <c r="E14" s="6">
        <v>0.05</v>
      </c>
      <c r="F14" t="str">
        <f>_xlfn.XLOOKUP(northwind_order_details[[#This Row],[order_id]],northwind_orders[order_id],northwind_orders[ship_country])</f>
        <v>Belgium</v>
      </c>
      <c r="G14">
        <f>INDEX(northwind_orders[],MATCH(northwind_order_details[[#This Row],[order_id]], northwind_orders[order_id], 0), MATCH("employee_id", northwind_orders[#Headers], 0))</f>
        <v>4</v>
      </c>
      <c r="H14">
        <f>northwind_order_details[[#This Row],[unit_price]]*northwind_order_details[[#This Row],[quantity]]</f>
        <v>50</v>
      </c>
      <c r="I14" s="1">
        <f>northwind_order_details[[#This Row],[purchase amount]]*northwind_order_details[[#This Row],[discount]]</f>
        <v>2.5</v>
      </c>
      <c r="J14" s="1">
        <f>northwind_order_details[[#This Row],[purchase amount]]-northwind_order_details[[#This Row],[discount amount]]</f>
        <v>47.5</v>
      </c>
      <c r="K14" s="6" t="str">
        <f>IF(northwind_order_details[[#This Row],[discount amount]]&gt;0,"Yes","No")</f>
        <v>Yes</v>
      </c>
      <c r="L14" s="1" t="str">
        <f>IF(northwind_order_details[[#This Row],[Revenue]]&gt;1000,"High",IF(northwind_order_details[[#This Row],[Revenue]]&gt;300,"Medium","Low"))</f>
        <v>Low</v>
      </c>
      <c r="M14" s="1" t="str">
        <f>IF(northwind_order_details[[#This Row],[unit_price]]=_xlfn.XLOOKUP(northwind_order_details[[#This Row],[product_id]],'Price Validation'!$D$2:$D$78,'Price Validation'!$E$2:$E$78),"Match","Mismatch")</f>
        <v>Mismatch</v>
      </c>
      <c r="O14" s="9" t="str">
        <v>Spain</v>
      </c>
      <c r="P14" s="26">
        <f>SUMIF(northwind_order_details[country],$O14,northwind_order_details[Revenue])</f>
        <v>17983.2</v>
      </c>
      <c r="Q14" s="26">
        <f>AVERAGEIF(northwind_order_details[country],$O14,northwind_order_details[Revenue])</f>
        <v>333.02222222222224</v>
      </c>
      <c r="R14" s="10">
        <f>COUNTIF(northwind_order_details[country],O14)</f>
        <v>54</v>
      </c>
      <c r="S14" s="24">
        <f>ROUND(SUMIF(northwind_order_details[country],$O14,northwind_order_details[discount amount]),2)</f>
        <v>1448.69</v>
      </c>
      <c r="T14" s="15">
        <f>COUNTIFS(northwind_order_details[Type of Revenue],T$1,northwind_order_details[country],$O14)</f>
        <v>4</v>
      </c>
      <c r="U14" s="7">
        <f>COUNTIFS(northwind_order_details[Type of Revenue],U$1,northwind_order_details[country],$O14)</f>
        <v>12</v>
      </c>
      <c r="V14" s="10">
        <f>COUNTIFS(northwind_order_details[Type of Revenue],V$1,northwind_order_details[country],$O14)</f>
        <v>38</v>
      </c>
      <c r="W14">
        <f>COUNTIFS(northwind_order_details[Price reconciliation],"Match",northwind_order_details[country],$O14)</f>
        <v>15</v>
      </c>
      <c r="X14" s="10">
        <f>COUNTIFS(northwind_order_details[Price reconciliation],"Mismatch",northwind_order_details[country],$O14)</f>
        <v>39</v>
      </c>
    </row>
    <row r="15" spans="1:24" x14ac:dyDescent="0.25">
      <c r="A15">
        <v>10252</v>
      </c>
      <c r="B15">
        <v>60</v>
      </c>
      <c r="C15" s="6">
        <v>27.2</v>
      </c>
      <c r="D15">
        <v>40</v>
      </c>
      <c r="E15" s="6" t="s">
        <v>6</v>
      </c>
      <c r="F15" t="str">
        <f>_xlfn.XLOOKUP(northwind_order_details[[#This Row],[order_id]],northwind_orders[order_id],northwind_orders[ship_country])</f>
        <v>Belgium</v>
      </c>
      <c r="G15">
        <f>INDEX(northwind_orders[],MATCH(northwind_order_details[[#This Row],[order_id]], northwind_orders[order_id], 0), MATCH("employee_id", northwind_orders[#Headers], 0))</f>
        <v>4</v>
      </c>
      <c r="H15">
        <f>northwind_order_details[[#This Row],[unit_price]]*northwind_order_details[[#This Row],[quantity]]</f>
        <v>1088</v>
      </c>
      <c r="I15" s="1">
        <f>northwind_order_details[[#This Row],[purchase amount]]*northwind_order_details[[#This Row],[discount]]</f>
        <v>0</v>
      </c>
      <c r="J15" s="1">
        <f>northwind_order_details[[#This Row],[purchase amount]]-northwind_order_details[[#This Row],[discount amount]]</f>
        <v>1088</v>
      </c>
      <c r="K15" s="6" t="str">
        <f>IF(northwind_order_details[[#This Row],[discount amount]]&gt;0,"Yes","No")</f>
        <v>No</v>
      </c>
      <c r="L15" s="1" t="str">
        <f>IF(northwind_order_details[[#This Row],[Revenue]]&gt;1000,"High",IF(northwind_order_details[[#This Row],[Revenue]]&gt;300,"Medium","Low"))</f>
        <v>High</v>
      </c>
      <c r="M15" s="1" t="str">
        <f>IF(northwind_order_details[[#This Row],[unit_price]]=_xlfn.XLOOKUP(northwind_order_details[[#This Row],[product_id]],'Price Validation'!$D$2:$D$78,'Price Validation'!$E$2:$E$78),"Match","Mismatch")</f>
        <v>Mismatch</v>
      </c>
      <c r="O15" s="9" t="str">
        <v>UK</v>
      </c>
      <c r="P15" s="26">
        <f>SUMIF(northwind_order_details[country],$O15,northwind_order_details[Revenue])</f>
        <v>58971.310000000005</v>
      </c>
      <c r="Q15" s="26">
        <f>AVERAGEIF(northwind_order_details[country],$O15,northwind_order_details[Revenue])</f>
        <v>436.82451851851857</v>
      </c>
      <c r="R15" s="10">
        <f>COUNTIF(northwind_order_details[country],O15)</f>
        <v>135</v>
      </c>
      <c r="S15" s="24">
        <f>ROUND(SUMIF(northwind_order_details[country],$O15,northwind_order_details[discount amount]),2)</f>
        <v>1645.2</v>
      </c>
      <c r="T15" s="15">
        <f>COUNTIFS(northwind_order_details[Type of Revenue],T$1,northwind_order_details[country],$O15)</f>
        <v>14</v>
      </c>
      <c r="U15" s="7">
        <f>COUNTIFS(northwind_order_details[Type of Revenue],U$1,northwind_order_details[country],$O15)</f>
        <v>49</v>
      </c>
      <c r="V15" s="10">
        <f>COUNTIFS(northwind_order_details[Type of Revenue],V$1,northwind_order_details[country],$O15)</f>
        <v>72</v>
      </c>
      <c r="W15">
        <f>COUNTIFS(northwind_order_details[Price reconciliation],"Match",northwind_order_details[country],$O15)</f>
        <v>31</v>
      </c>
      <c r="X15" s="10">
        <f>COUNTIFS(northwind_order_details[Price reconciliation],"Mismatch",northwind_order_details[country],$O15)</f>
        <v>104</v>
      </c>
    </row>
    <row r="16" spans="1:24" x14ac:dyDescent="0.25">
      <c r="A16">
        <v>10253</v>
      </c>
      <c r="B16">
        <v>31</v>
      </c>
      <c r="C16" s="6" t="s">
        <v>8</v>
      </c>
      <c r="D16">
        <v>20</v>
      </c>
      <c r="E16" s="6" t="s">
        <v>6</v>
      </c>
      <c r="F16" t="str">
        <f>_xlfn.XLOOKUP(northwind_order_details[[#This Row],[order_id]],northwind_orders[order_id],northwind_orders[ship_country])</f>
        <v>Brazil</v>
      </c>
      <c r="G16">
        <f>INDEX(northwind_orders[],MATCH(northwind_order_details[[#This Row],[order_id]], northwind_orders[order_id], 0), MATCH("employee_id", northwind_orders[#Headers], 0))</f>
        <v>3</v>
      </c>
      <c r="H16">
        <f>northwind_order_details[[#This Row],[unit_price]]*northwind_order_details[[#This Row],[quantity]]</f>
        <v>200</v>
      </c>
      <c r="I16" s="1">
        <f>northwind_order_details[[#This Row],[purchase amount]]*northwind_order_details[[#This Row],[discount]]</f>
        <v>0</v>
      </c>
      <c r="J16" s="1">
        <f>northwind_order_details[[#This Row],[purchase amount]]-northwind_order_details[[#This Row],[discount amount]]</f>
        <v>200</v>
      </c>
      <c r="K16" s="6" t="str">
        <f>IF(northwind_order_details[[#This Row],[discount amount]]&gt;0,"Yes","No")</f>
        <v>No</v>
      </c>
      <c r="L16" s="1" t="str">
        <f>IF(northwind_order_details[[#This Row],[Revenue]]&gt;1000,"High",IF(northwind_order_details[[#This Row],[Revenue]]&gt;300,"Medium","Low"))</f>
        <v>Low</v>
      </c>
      <c r="M16" s="1" t="str">
        <f>IF(northwind_order_details[[#This Row],[unit_price]]=_xlfn.XLOOKUP(northwind_order_details[[#This Row],[product_id]],'Price Validation'!$D$2:$D$78,'Price Validation'!$E$2:$E$78),"Match","Mismatch")</f>
        <v>Mismatch</v>
      </c>
      <c r="O16" s="9" t="str">
        <v>Portugal</v>
      </c>
      <c r="P16" s="26">
        <f>SUMIF(northwind_order_details[country],$O16,northwind_order_details[Revenue])</f>
        <v>11472.362499999999</v>
      </c>
      <c r="Q16" s="26">
        <f>AVERAGEIF(northwind_order_details[country],$O16,northwind_order_details[Revenue])</f>
        <v>382.41208333333333</v>
      </c>
      <c r="R16" s="10">
        <f>COUNTIF(northwind_order_details[country],O16)</f>
        <v>30</v>
      </c>
      <c r="S16" s="24">
        <f>ROUND(SUMIF(northwind_order_details[country],$O16,northwind_order_details[discount amount]),2)</f>
        <v>996.29</v>
      </c>
      <c r="T16" s="15">
        <f>COUNTIFS(northwind_order_details[Type of Revenue],T$1,northwind_order_details[country],$O16)</f>
        <v>2</v>
      </c>
      <c r="U16" s="7">
        <f>COUNTIFS(northwind_order_details[Type of Revenue],U$1,northwind_order_details[country],$O16)</f>
        <v>11</v>
      </c>
      <c r="V16" s="10">
        <f>COUNTIFS(northwind_order_details[Type of Revenue],V$1,northwind_order_details[country],$O16)</f>
        <v>17</v>
      </c>
      <c r="W16">
        <f>COUNTIFS(northwind_order_details[Price reconciliation],"Match",northwind_order_details[country],$O16)</f>
        <v>5</v>
      </c>
      <c r="X16" s="10">
        <f>COUNTIFS(northwind_order_details[Price reconciliation],"Mismatch",northwind_order_details[country],$O16)</f>
        <v>25</v>
      </c>
    </row>
    <row r="17" spans="1:24" x14ac:dyDescent="0.25">
      <c r="A17">
        <v>10253</v>
      </c>
      <c r="B17">
        <v>39</v>
      </c>
      <c r="C17" s="6">
        <v>14.4</v>
      </c>
      <c r="D17">
        <v>42</v>
      </c>
      <c r="E17" s="6" t="s">
        <v>6</v>
      </c>
      <c r="F17" t="str">
        <f>_xlfn.XLOOKUP(northwind_order_details[[#This Row],[order_id]],northwind_orders[order_id],northwind_orders[ship_country])</f>
        <v>Brazil</v>
      </c>
      <c r="G17">
        <f>INDEX(northwind_orders[],MATCH(northwind_order_details[[#This Row],[order_id]], northwind_orders[order_id], 0), MATCH("employee_id", northwind_orders[#Headers], 0))</f>
        <v>3</v>
      </c>
      <c r="H17">
        <f>northwind_order_details[[#This Row],[unit_price]]*northwind_order_details[[#This Row],[quantity]]</f>
        <v>604.80000000000007</v>
      </c>
      <c r="I17" s="1">
        <f>northwind_order_details[[#This Row],[purchase amount]]*northwind_order_details[[#This Row],[discount]]</f>
        <v>0</v>
      </c>
      <c r="J17" s="1">
        <f>northwind_order_details[[#This Row],[purchase amount]]-northwind_order_details[[#This Row],[discount amount]]</f>
        <v>604.80000000000007</v>
      </c>
      <c r="K17" s="6" t="str">
        <f>IF(northwind_order_details[[#This Row],[discount amount]]&gt;0,"Yes","No")</f>
        <v>No</v>
      </c>
      <c r="L17" s="1" t="str">
        <f>IF(northwind_order_details[[#This Row],[Revenue]]&gt;1000,"High",IF(northwind_order_details[[#This Row],[Revenue]]&gt;300,"Medium","Low"))</f>
        <v>Medium</v>
      </c>
      <c r="M17" s="1" t="str">
        <f>IF(northwind_order_details[[#This Row],[unit_price]]=_xlfn.XLOOKUP(northwind_order_details[[#This Row],[product_id]],'Price Validation'!$D$2:$D$78,'Price Validation'!$E$2:$E$78),"Match","Mismatch")</f>
        <v>Mismatch</v>
      </c>
      <c r="O17" s="9" t="str">
        <v>Canada</v>
      </c>
      <c r="P17" s="26">
        <f>SUMIF(northwind_order_details[country],$O17,northwind_order_details[Revenue])</f>
        <v>48886.79</v>
      </c>
      <c r="Q17" s="26">
        <f>AVERAGEIF(northwind_order_details[country],$O17,northwind_order_details[Revenue])</f>
        <v>669.68205479452058</v>
      </c>
      <c r="R17" s="10">
        <f>COUNTIF(northwind_order_details[country],O17)</f>
        <v>73</v>
      </c>
      <c r="S17" s="24">
        <f>ROUND(SUMIF(northwind_order_details[country],$O17,northwind_order_details[discount amount]),2)</f>
        <v>5137.8100000000004</v>
      </c>
      <c r="T17" s="15">
        <f>COUNTIFS(northwind_order_details[Type of Revenue],T$1,northwind_order_details[country],$O17)</f>
        <v>12</v>
      </c>
      <c r="U17" s="7">
        <f>COUNTIFS(northwind_order_details[Type of Revenue],U$1,northwind_order_details[country],$O17)</f>
        <v>29</v>
      </c>
      <c r="V17" s="10">
        <f>COUNTIFS(northwind_order_details[Type of Revenue],V$1,northwind_order_details[country],$O17)</f>
        <v>32</v>
      </c>
      <c r="W17">
        <f>COUNTIFS(northwind_order_details[Price reconciliation],"Match",northwind_order_details[country],$O17)</f>
        <v>15</v>
      </c>
      <c r="X17" s="10">
        <f>COUNTIFS(northwind_order_details[Price reconciliation],"Mismatch",northwind_order_details[country],$O17)</f>
        <v>58</v>
      </c>
    </row>
    <row r="18" spans="1:24" x14ac:dyDescent="0.25">
      <c r="A18">
        <v>10253</v>
      </c>
      <c r="B18">
        <v>49</v>
      </c>
      <c r="C18" s="6" t="s">
        <v>9</v>
      </c>
      <c r="D18">
        <v>40</v>
      </c>
      <c r="E18" s="6" t="s">
        <v>6</v>
      </c>
      <c r="F18" t="str">
        <f>_xlfn.XLOOKUP(northwind_order_details[[#This Row],[order_id]],northwind_orders[order_id],northwind_orders[ship_country])</f>
        <v>Brazil</v>
      </c>
      <c r="G18">
        <f>INDEX(northwind_orders[],MATCH(northwind_order_details[[#This Row],[order_id]], northwind_orders[order_id], 0), MATCH("employee_id", northwind_orders[#Headers], 0))</f>
        <v>3</v>
      </c>
      <c r="H18">
        <f>northwind_order_details[[#This Row],[unit_price]]*northwind_order_details[[#This Row],[quantity]]</f>
        <v>640</v>
      </c>
      <c r="I18" s="1">
        <f>northwind_order_details[[#This Row],[purchase amount]]*northwind_order_details[[#This Row],[discount]]</f>
        <v>0</v>
      </c>
      <c r="J18" s="1">
        <f>northwind_order_details[[#This Row],[purchase amount]]-northwind_order_details[[#This Row],[discount amount]]</f>
        <v>640</v>
      </c>
      <c r="K18" s="6" t="str">
        <f>IF(northwind_order_details[[#This Row],[discount amount]]&gt;0,"Yes","No")</f>
        <v>No</v>
      </c>
      <c r="L18" s="1" t="str">
        <f>IF(northwind_order_details[[#This Row],[Revenue]]&gt;1000,"High",IF(northwind_order_details[[#This Row],[Revenue]]&gt;300,"Medium","Low"))</f>
        <v>Medium</v>
      </c>
      <c r="M18" s="1" t="str">
        <f>IF(northwind_order_details[[#This Row],[unit_price]]=_xlfn.XLOOKUP(northwind_order_details[[#This Row],[product_id]],'Price Validation'!$D$2:$D$78,'Price Validation'!$E$2:$E$78),"Match","Mismatch")</f>
        <v>Mismatch</v>
      </c>
      <c r="O18" s="9" t="str">
        <v>Denmark</v>
      </c>
      <c r="P18" s="26">
        <f>SUMIF(northwind_order_details[country],$O18,northwind_order_details[Revenue])</f>
        <v>32428.937500000004</v>
      </c>
      <c r="Q18" s="26">
        <f>AVERAGEIF(northwind_order_details[country],$O18,northwind_order_details[Revenue])</f>
        <v>720.64305555555563</v>
      </c>
      <c r="R18" s="10">
        <f>COUNTIF(northwind_order_details[country],O18)</f>
        <v>45</v>
      </c>
      <c r="S18" s="24">
        <f>ROUND(SUMIF(northwind_order_details[country],$O18,northwind_order_details[discount amount]),2)</f>
        <v>2109.0100000000002</v>
      </c>
      <c r="T18" s="15">
        <f>COUNTIFS(northwind_order_details[Type of Revenue],T$1,northwind_order_details[country],$O18)</f>
        <v>6</v>
      </c>
      <c r="U18" s="7">
        <f>COUNTIFS(northwind_order_details[Type of Revenue],U$1,northwind_order_details[country],$O18)</f>
        <v>19</v>
      </c>
      <c r="V18" s="10">
        <f>COUNTIFS(northwind_order_details[Type of Revenue],V$1,northwind_order_details[country],$O18)</f>
        <v>20</v>
      </c>
      <c r="W18">
        <f>COUNTIFS(northwind_order_details[Price reconciliation],"Match",northwind_order_details[country],$O18)</f>
        <v>12</v>
      </c>
      <c r="X18" s="10">
        <f>COUNTIFS(northwind_order_details[Price reconciliation],"Mismatch",northwind_order_details[country],$O18)</f>
        <v>33</v>
      </c>
    </row>
    <row r="19" spans="1:24" x14ac:dyDescent="0.25">
      <c r="A19">
        <v>10254</v>
      </c>
      <c r="B19">
        <v>24</v>
      </c>
      <c r="C19" s="6">
        <v>3.6</v>
      </c>
      <c r="D19">
        <v>15</v>
      </c>
      <c r="E19" s="6">
        <v>0.15</v>
      </c>
      <c r="F19" t="str">
        <f>_xlfn.XLOOKUP(northwind_order_details[[#This Row],[order_id]],northwind_orders[order_id],northwind_orders[ship_country])</f>
        <v>Switzerland</v>
      </c>
      <c r="G19">
        <f>INDEX(northwind_orders[],MATCH(northwind_order_details[[#This Row],[order_id]], northwind_orders[order_id], 0), MATCH("employee_id", northwind_orders[#Headers], 0))</f>
        <v>5</v>
      </c>
      <c r="H19">
        <f>northwind_order_details[[#This Row],[unit_price]]*northwind_order_details[[#This Row],[quantity]]</f>
        <v>54</v>
      </c>
      <c r="I19" s="1">
        <f>northwind_order_details[[#This Row],[purchase amount]]*northwind_order_details[[#This Row],[discount]]</f>
        <v>8.1</v>
      </c>
      <c r="J19" s="1">
        <f>northwind_order_details[[#This Row],[purchase amount]]-northwind_order_details[[#This Row],[discount amount]]</f>
        <v>45.9</v>
      </c>
      <c r="K19" s="6" t="str">
        <f>IF(northwind_order_details[[#This Row],[discount amount]]&gt;0,"Yes","No")</f>
        <v>Yes</v>
      </c>
      <c r="L19" s="1" t="str">
        <f>IF(northwind_order_details[[#This Row],[Revenue]]&gt;1000,"High",IF(northwind_order_details[[#This Row],[Revenue]]&gt;300,"Medium","Low"))</f>
        <v>Low</v>
      </c>
      <c r="M19" s="1" t="str">
        <f>IF(northwind_order_details[[#This Row],[unit_price]]=_xlfn.XLOOKUP(northwind_order_details[[#This Row],[product_id]],'Price Validation'!$D$2:$D$78,'Price Validation'!$E$2:$E$78),"Match","Mismatch")</f>
        <v>Mismatch</v>
      </c>
      <c r="O19" s="9" t="str">
        <v>Poland</v>
      </c>
      <c r="P19" s="26">
        <f>SUMIF(northwind_order_details[country],$O19,northwind_order_details[Revenue])</f>
        <v>3531.95</v>
      </c>
      <c r="Q19" s="26">
        <f>AVERAGEIF(northwind_order_details[country],$O19,northwind_order_details[Revenue])</f>
        <v>220.74687499999999</v>
      </c>
      <c r="R19" s="10">
        <f>COUNTIF(northwind_order_details[country],O19)</f>
        <v>16</v>
      </c>
      <c r="S19" s="24">
        <f>ROUND(SUMIF(northwind_order_details[country],$O19,northwind_order_details[discount amount]),2)</f>
        <v>0</v>
      </c>
      <c r="T19" s="15">
        <f>COUNTIFS(northwind_order_details[Type of Revenue],T$1,northwind_order_details[country],$O19)</f>
        <v>0</v>
      </c>
      <c r="U19" s="7">
        <f>COUNTIFS(northwind_order_details[Type of Revenue],U$1,northwind_order_details[country],$O19)</f>
        <v>3</v>
      </c>
      <c r="V19" s="10">
        <f>COUNTIFS(northwind_order_details[Type of Revenue],V$1,northwind_order_details[country],$O19)</f>
        <v>13</v>
      </c>
      <c r="W19">
        <f>COUNTIFS(northwind_order_details[Price reconciliation],"Match",northwind_order_details[country],$O19)</f>
        <v>7</v>
      </c>
      <c r="X19" s="10">
        <f>COUNTIFS(northwind_order_details[Price reconciliation],"Mismatch",northwind_order_details[country],$O19)</f>
        <v>9</v>
      </c>
    </row>
    <row r="20" spans="1:24" x14ac:dyDescent="0.25">
      <c r="A20">
        <v>10254</v>
      </c>
      <c r="B20">
        <v>55</v>
      </c>
      <c r="C20" s="6">
        <v>19.2</v>
      </c>
      <c r="D20">
        <v>21</v>
      </c>
      <c r="E20" s="6">
        <v>0.15</v>
      </c>
      <c r="F20" t="str">
        <f>_xlfn.XLOOKUP(northwind_order_details[[#This Row],[order_id]],northwind_orders[order_id],northwind_orders[ship_country])</f>
        <v>Switzerland</v>
      </c>
      <c r="G20">
        <f>INDEX(northwind_orders[],MATCH(northwind_order_details[[#This Row],[order_id]], northwind_orders[order_id], 0), MATCH("employee_id", northwind_orders[#Headers], 0))</f>
        <v>5</v>
      </c>
      <c r="H20">
        <f>northwind_order_details[[#This Row],[unit_price]]*northwind_order_details[[#This Row],[quantity]]</f>
        <v>403.2</v>
      </c>
      <c r="I20" s="1">
        <f>northwind_order_details[[#This Row],[purchase amount]]*northwind_order_details[[#This Row],[discount]]</f>
        <v>60.48</v>
      </c>
      <c r="J20" s="1">
        <f>northwind_order_details[[#This Row],[purchase amount]]-northwind_order_details[[#This Row],[discount amount]]</f>
        <v>342.71999999999997</v>
      </c>
      <c r="K20" s="6" t="str">
        <f>IF(northwind_order_details[[#This Row],[discount amount]]&gt;0,"Yes","No")</f>
        <v>Yes</v>
      </c>
      <c r="L20" s="1" t="str">
        <f>IF(northwind_order_details[[#This Row],[Revenue]]&gt;1000,"High",IF(northwind_order_details[[#This Row],[Revenue]]&gt;300,"Medium","Low"))</f>
        <v>Medium</v>
      </c>
      <c r="M20" s="1" t="str">
        <f>IF(northwind_order_details[[#This Row],[unit_price]]=_xlfn.XLOOKUP(northwind_order_details[[#This Row],[product_id]],'Price Validation'!$D$2:$D$78,'Price Validation'!$E$2:$E$78),"Match","Mismatch")</f>
        <v>Mismatch</v>
      </c>
      <c r="O20" s="9" t="str">
        <v>Norway</v>
      </c>
      <c r="P20" s="26">
        <f>SUMIF(northwind_order_details[country],$O20,northwind_order_details[Revenue])</f>
        <v>5735.1500000000005</v>
      </c>
      <c r="Q20" s="26">
        <f>AVERAGEIF(northwind_order_details[country],$O20,northwind_order_details[Revenue])</f>
        <v>358.44687500000003</v>
      </c>
      <c r="R20" s="10">
        <f>COUNTIF(northwind_order_details[country],O20)</f>
        <v>16</v>
      </c>
      <c r="S20" s="24">
        <f>ROUND(SUMIF(northwind_order_details[country],$O20,northwind_order_details[discount amount]),2)</f>
        <v>0</v>
      </c>
      <c r="T20" s="15">
        <f>COUNTIFS(northwind_order_details[Type of Revenue],T$1,northwind_order_details[country],$O20)</f>
        <v>1</v>
      </c>
      <c r="U20" s="7">
        <f>COUNTIFS(northwind_order_details[Type of Revenue],U$1,northwind_order_details[country],$O20)</f>
        <v>5</v>
      </c>
      <c r="V20" s="10">
        <f>COUNTIFS(northwind_order_details[Type of Revenue],V$1,northwind_order_details[country],$O20)</f>
        <v>10</v>
      </c>
      <c r="W20">
        <f>COUNTIFS(northwind_order_details[Price reconciliation],"Match",northwind_order_details[country],$O20)</f>
        <v>8</v>
      </c>
      <c r="X20" s="10">
        <f>COUNTIFS(northwind_order_details[Price reconciliation],"Mismatch",northwind_order_details[country],$O20)</f>
        <v>8</v>
      </c>
    </row>
    <row r="21" spans="1:24" ht="15.75" thickBot="1" x14ac:dyDescent="0.3">
      <c r="A21">
        <v>10254</v>
      </c>
      <c r="B21">
        <v>74</v>
      </c>
      <c r="C21" s="6" t="s">
        <v>10</v>
      </c>
      <c r="D21">
        <v>21</v>
      </c>
      <c r="E21" s="6" t="s">
        <v>6</v>
      </c>
      <c r="F21" t="str">
        <f>_xlfn.XLOOKUP(northwind_order_details[[#This Row],[order_id]],northwind_orders[order_id],northwind_orders[ship_country])</f>
        <v>Switzerland</v>
      </c>
      <c r="G21">
        <f>INDEX(northwind_orders[],MATCH(northwind_order_details[[#This Row],[order_id]], northwind_orders[order_id], 0), MATCH("employee_id", northwind_orders[#Headers], 0))</f>
        <v>5</v>
      </c>
      <c r="H21">
        <f>northwind_order_details[[#This Row],[unit_price]]*northwind_order_details[[#This Row],[quantity]]</f>
        <v>168</v>
      </c>
      <c r="I21" s="1">
        <f>northwind_order_details[[#This Row],[purchase amount]]*northwind_order_details[[#This Row],[discount]]</f>
        <v>0</v>
      </c>
      <c r="J21" s="1">
        <f>northwind_order_details[[#This Row],[purchase amount]]-northwind_order_details[[#This Row],[discount amount]]</f>
        <v>168</v>
      </c>
      <c r="K21" s="6" t="str">
        <f>IF(northwind_order_details[[#This Row],[discount amount]]&gt;0,"Yes","No")</f>
        <v>No</v>
      </c>
      <c r="L21" s="1" t="str">
        <f>IF(northwind_order_details[[#This Row],[Revenue]]&gt;1000,"High",IF(northwind_order_details[[#This Row],[Revenue]]&gt;300,"Medium","Low"))</f>
        <v>Low</v>
      </c>
      <c r="M21" s="1" t="str">
        <f>IF(northwind_order_details[[#This Row],[unit_price]]=_xlfn.XLOOKUP(northwind_order_details[[#This Row],[product_id]],'Price Validation'!$D$2:$D$78,'Price Validation'!$E$2:$E$78),"Match","Mismatch")</f>
        <v>Mismatch</v>
      </c>
      <c r="O21" s="11" t="str">
        <v>Argentina</v>
      </c>
      <c r="P21" s="27">
        <f>SUMIF(northwind_order_details[country],$O21,northwind_order_details[Revenue])</f>
        <v>7738.0999999999995</v>
      </c>
      <c r="Q21" s="27">
        <f>AVERAGEIF(northwind_order_details[country],$O21,northwind_order_details[Revenue])</f>
        <v>257.93666666666667</v>
      </c>
      <c r="R21" s="12">
        <f>COUNTIF(northwind_order_details[country],O21)</f>
        <v>30</v>
      </c>
      <c r="S21" s="24">
        <f>ROUND(SUMIF(northwind_order_details[country],$O21,northwind_order_details[discount amount]),2)</f>
        <v>0</v>
      </c>
      <c r="T21" s="16">
        <f>COUNTIFS(northwind_order_details[Type of Revenue],T$1,northwind_order_details[country],$O21)</f>
        <v>1</v>
      </c>
      <c r="U21" s="17">
        <f>COUNTIFS(northwind_order_details[Type of Revenue],U$1,northwind_order_details[country],$O21)</f>
        <v>8</v>
      </c>
      <c r="V21" s="12">
        <f>COUNTIFS(northwind_order_details[Type of Revenue],V$1,northwind_order_details[country],$O21)</f>
        <v>21</v>
      </c>
      <c r="W21">
        <f>COUNTIFS(northwind_order_details[Price reconciliation],"Match",northwind_order_details[country],$O21)</f>
        <v>11</v>
      </c>
      <c r="X21" s="10">
        <f>COUNTIFS(northwind_order_details[Price reconciliation],"Mismatch",northwind_order_details[country],$O21)</f>
        <v>19</v>
      </c>
    </row>
    <row r="22" spans="1:24" ht="15.75" thickBot="1" x14ac:dyDescent="0.3">
      <c r="A22">
        <v>10255</v>
      </c>
      <c r="B22">
        <v>2</v>
      </c>
      <c r="C22" s="6">
        <v>15.2</v>
      </c>
      <c r="D22">
        <v>20</v>
      </c>
      <c r="E22" s="6" t="s">
        <v>6</v>
      </c>
      <c r="F22" t="str">
        <f>_xlfn.XLOOKUP(northwind_order_details[[#This Row],[order_id]],northwind_orders[order_id],northwind_orders[ship_country])</f>
        <v>Switzerland</v>
      </c>
      <c r="G22">
        <f>INDEX(northwind_orders[],MATCH(northwind_order_details[[#This Row],[order_id]], northwind_orders[order_id], 0), MATCH("employee_id", northwind_orders[#Headers], 0))</f>
        <v>9</v>
      </c>
      <c r="H22">
        <f>northwind_order_details[[#This Row],[unit_price]]*northwind_order_details[[#This Row],[quantity]]</f>
        <v>304</v>
      </c>
      <c r="I22" s="1">
        <f>northwind_order_details[[#This Row],[purchase amount]]*northwind_order_details[[#This Row],[discount]]</f>
        <v>0</v>
      </c>
      <c r="J22" s="1">
        <f>northwind_order_details[[#This Row],[purchase amount]]-northwind_order_details[[#This Row],[discount amount]]</f>
        <v>304</v>
      </c>
      <c r="K22" s="6" t="str">
        <f>IF(northwind_order_details[[#This Row],[discount amount]]&gt;0,"Yes","No")</f>
        <v>No</v>
      </c>
      <c r="L22" s="1" t="str">
        <f>IF(northwind_order_details[[#This Row],[Revenue]]&gt;1000,"High",IF(northwind_order_details[[#This Row],[Revenue]]&gt;300,"Medium","Low"))</f>
        <v>Medium</v>
      </c>
      <c r="M22" s="1" t="str">
        <f>IF(northwind_order_details[[#This Row],[unit_price]]=_xlfn.XLOOKUP(northwind_order_details[[#This Row],[product_id]],'Price Validation'!$D$2:$D$78,'Price Validation'!$E$2:$E$78),"Match","Mismatch")</f>
        <v>Mismatch</v>
      </c>
      <c r="O22" s="18" t="s">
        <v>527</v>
      </c>
      <c r="P22" s="25">
        <f>SUM(P2:P21)</f>
        <v>1189875.7040000001</v>
      </c>
      <c r="Q22" s="28">
        <f>AVERAGE(Q2:Q21)</f>
        <v>503.86286107720582</v>
      </c>
      <c r="R22" s="29">
        <f>AVERAGE(R2:R21)</f>
        <v>101.35</v>
      </c>
      <c r="S22" s="25">
        <f>SUM(S2:S21)</f>
        <v>79821.739999999976</v>
      </c>
      <c r="T22" s="13">
        <f>SUM(T2:T21)</f>
        <v>297</v>
      </c>
      <c r="U22" s="13">
        <f t="shared" ref="U22:X22" si="0">SUM(U2:U21)</f>
        <v>792</v>
      </c>
      <c r="V22" s="13">
        <f t="shared" si="0"/>
        <v>938</v>
      </c>
      <c r="W22" s="13">
        <f t="shared" si="0"/>
        <v>647</v>
      </c>
      <c r="X22" s="14">
        <f t="shared" si="0"/>
        <v>1380</v>
      </c>
    </row>
    <row r="23" spans="1:24" x14ac:dyDescent="0.25">
      <c r="A23">
        <v>10255</v>
      </c>
      <c r="B23">
        <v>16</v>
      </c>
      <c r="C23" s="6">
        <v>13.9</v>
      </c>
      <c r="D23">
        <v>35</v>
      </c>
      <c r="E23" s="6" t="s">
        <v>6</v>
      </c>
      <c r="F23" t="str">
        <f>_xlfn.XLOOKUP(northwind_order_details[[#This Row],[order_id]],northwind_orders[order_id],northwind_orders[ship_country])</f>
        <v>Switzerland</v>
      </c>
      <c r="G23">
        <f>INDEX(northwind_orders[],MATCH(northwind_order_details[[#This Row],[order_id]], northwind_orders[order_id], 0), MATCH("employee_id", northwind_orders[#Headers], 0))</f>
        <v>9</v>
      </c>
      <c r="H23">
        <f>northwind_order_details[[#This Row],[unit_price]]*northwind_order_details[[#This Row],[quantity]]</f>
        <v>486.5</v>
      </c>
      <c r="I23" s="1">
        <f>northwind_order_details[[#This Row],[purchase amount]]*northwind_order_details[[#This Row],[discount]]</f>
        <v>0</v>
      </c>
      <c r="J23" s="1">
        <f>northwind_order_details[[#This Row],[purchase amount]]-northwind_order_details[[#This Row],[discount amount]]</f>
        <v>486.5</v>
      </c>
      <c r="K23" s="6" t="str">
        <f>IF(northwind_order_details[[#This Row],[discount amount]]&gt;0,"Yes","No")</f>
        <v>No</v>
      </c>
      <c r="L23" s="1" t="str">
        <f>IF(northwind_order_details[[#This Row],[Revenue]]&gt;1000,"High",IF(northwind_order_details[[#This Row],[Revenue]]&gt;300,"Medium","Low"))</f>
        <v>Medium</v>
      </c>
      <c r="M23" s="1" t="str">
        <f>IF(northwind_order_details[[#This Row],[unit_price]]=_xlfn.XLOOKUP(northwind_order_details[[#This Row],[product_id]],'Price Validation'!$D$2:$D$78,'Price Validation'!$E$2:$E$78),"Match","Mismatch")</f>
        <v>Mismatch</v>
      </c>
      <c r="Q23" s="30" t="s">
        <v>535</v>
      </c>
      <c r="R23" s="30" t="s">
        <v>535</v>
      </c>
    </row>
    <row r="24" spans="1:24" x14ac:dyDescent="0.25">
      <c r="A24">
        <v>10255</v>
      </c>
      <c r="B24">
        <v>36</v>
      </c>
      <c r="C24" s="6">
        <v>15.2</v>
      </c>
      <c r="D24">
        <v>25</v>
      </c>
      <c r="E24" s="6" t="s">
        <v>6</v>
      </c>
      <c r="F24" t="str">
        <f>_xlfn.XLOOKUP(northwind_order_details[[#This Row],[order_id]],northwind_orders[order_id],northwind_orders[ship_country])</f>
        <v>Switzerland</v>
      </c>
      <c r="G24">
        <f>INDEX(northwind_orders[],MATCH(northwind_order_details[[#This Row],[order_id]], northwind_orders[order_id], 0), MATCH("employee_id", northwind_orders[#Headers], 0))</f>
        <v>9</v>
      </c>
      <c r="H24">
        <f>northwind_order_details[[#This Row],[unit_price]]*northwind_order_details[[#This Row],[quantity]]</f>
        <v>380</v>
      </c>
      <c r="I24" s="1">
        <f>northwind_order_details[[#This Row],[purchase amount]]*northwind_order_details[[#This Row],[discount]]</f>
        <v>0</v>
      </c>
      <c r="J24" s="1">
        <f>northwind_order_details[[#This Row],[purchase amount]]-northwind_order_details[[#This Row],[discount amount]]</f>
        <v>380</v>
      </c>
      <c r="K24" s="6" t="str">
        <f>IF(northwind_order_details[[#This Row],[discount amount]]&gt;0,"Yes","No")</f>
        <v>No</v>
      </c>
      <c r="L24" s="1" t="str">
        <f>IF(northwind_order_details[[#This Row],[Revenue]]&gt;1000,"High",IF(northwind_order_details[[#This Row],[Revenue]]&gt;300,"Medium","Low"))</f>
        <v>Medium</v>
      </c>
      <c r="M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" spans="1:24" x14ac:dyDescent="0.25">
      <c r="A25">
        <v>10255</v>
      </c>
      <c r="B25">
        <v>59</v>
      </c>
      <c r="C25" s="6" t="s">
        <v>11</v>
      </c>
      <c r="D25">
        <v>30</v>
      </c>
      <c r="E25" s="6" t="s">
        <v>6</v>
      </c>
      <c r="F25" t="str">
        <f>_xlfn.XLOOKUP(northwind_order_details[[#This Row],[order_id]],northwind_orders[order_id],northwind_orders[ship_country])</f>
        <v>Switzerland</v>
      </c>
      <c r="G25">
        <f>INDEX(northwind_orders[],MATCH(northwind_order_details[[#This Row],[order_id]], northwind_orders[order_id], 0), MATCH("employee_id", northwind_orders[#Headers], 0))</f>
        <v>9</v>
      </c>
      <c r="H25">
        <f>northwind_order_details[[#This Row],[unit_price]]*northwind_order_details[[#This Row],[quantity]]</f>
        <v>1320</v>
      </c>
      <c r="I25" s="1">
        <f>northwind_order_details[[#This Row],[purchase amount]]*northwind_order_details[[#This Row],[discount]]</f>
        <v>0</v>
      </c>
      <c r="J25" s="1">
        <f>northwind_order_details[[#This Row],[purchase amount]]-northwind_order_details[[#This Row],[discount amount]]</f>
        <v>1320</v>
      </c>
      <c r="K25" s="6" t="str">
        <f>IF(northwind_order_details[[#This Row],[discount amount]]&gt;0,"Yes","No")</f>
        <v>No</v>
      </c>
      <c r="L25" s="1" t="str">
        <f>IF(northwind_order_details[[#This Row],[Revenue]]&gt;1000,"High",IF(northwind_order_details[[#This Row],[Revenue]]&gt;300,"Medium","Low"))</f>
        <v>High</v>
      </c>
      <c r="M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" spans="1:24" x14ac:dyDescent="0.25">
      <c r="A26">
        <v>10256</v>
      </c>
      <c r="B26">
        <v>53</v>
      </c>
      <c r="C26" s="6">
        <v>26.2</v>
      </c>
      <c r="D26">
        <v>15</v>
      </c>
      <c r="E26" s="6" t="s">
        <v>6</v>
      </c>
      <c r="F26" t="str">
        <f>_xlfn.XLOOKUP(northwind_order_details[[#This Row],[order_id]],northwind_orders[order_id],northwind_orders[ship_country])</f>
        <v>Brazil</v>
      </c>
      <c r="G26">
        <f>INDEX(northwind_orders[],MATCH(northwind_order_details[[#This Row],[order_id]], northwind_orders[order_id], 0), MATCH("employee_id", northwind_orders[#Headers], 0))</f>
        <v>3</v>
      </c>
      <c r="H26">
        <f>northwind_order_details[[#This Row],[unit_price]]*northwind_order_details[[#This Row],[quantity]]</f>
        <v>393</v>
      </c>
      <c r="I26" s="1">
        <f>northwind_order_details[[#This Row],[purchase amount]]*northwind_order_details[[#This Row],[discount]]</f>
        <v>0</v>
      </c>
      <c r="J26" s="1">
        <f>northwind_order_details[[#This Row],[purchase amount]]-northwind_order_details[[#This Row],[discount amount]]</f>
        <v>393</v>
      </c>
      <c r="K26" s="6" t="str">
        <f>IF(northwind_order_details[[#This Row],[discount amount]]&gt;0,"Yes","No")</f>
        <v>No</v>
      </c>
      <c r="L26" s="1" t="str">
        <f>IF(northwind_order_details[[#This Row],[Revenue]]&gt;1000,"High",IF(northwind_order_details[[#This Row],[Revenue]]&gt;300,"Medium","Low"))</f>
        <v>Medium</v>
      </c>
      <c r="M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" spans="1:24" x14ac:dyDescent="0.25">
      <c r="A27">
        <v>10256</v>
      </c>
      <c r="B27">
        <v>77</v>
      </c>
      <c r="C27" s="6">
        <v>10.4</v>
      </c>
      <c r="D27">
        <v>12</v>
      </c>
      <c r="E27" s="6" t="s">
        <v>6</v>
      </c>
      <c r="F27" t="str">
        <f>_xlfn.XLOOKUP(northwind_order_details[[#This Row],[order_id]],northwind_orders[order_id],northwind_orders[ship_country])</f>
        <v>Brazil</v>
      </c>
      <c r="G27">
        <f>INDEX(northwind_orders[],MATCH(northwind_order_details[[#This Row],[order_id]], northwind_orders[order_id], 0), MATCH("employee_id", northwind_orders[#Headers], 0))</f>
        <v>3</v>
      </c>
      <c r="H27">
        <f>northwind_order_details[[#This Row],[unit_price]]*northwind_order_details[[#This Row],[quantity]]</f>
        <v>124.80000000000001</v>
      </c>
      <c r="I27" s="1">
        <f>northwind_order_details[[#This Row],[purchase amount]]*northwind_order_details[[#This Row],[discount]]</f>
        <v>0</v>
      </c>
      <c r="J27" s="1">
        <f>northwind_order_details[[#This Row],[purchase amount]]-northwind_order_details[[#This Row],[discount amount]]</f>
        <v>124.80000000000001</v>
      </c>
      <c r="K27" s="6" t="str">
        <f>IF(northwind_order_details[[#This Row],[discount amount]]&gt;0,"Yes","No")</f>
        <v>No</v>
      </c>
      <c r="L27" s="1" t="str">
        <f>IF(northwind_order_details[[#This Row],[Revenue]]&gt;1000,"High",IF(northwind_order_details[[#This Row],[Revenue]]&gt;300,"Medium","Low"))</f>
        <v>Low</v>
      </c>
      <c r="M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" spans="1:24" x14ac:dyDescent="0.25">
      <c r="A28">
        <v>10257</v>
      </c>
      <c r="B28">
        <v>27</v>
      </c>
      <c r="C28" s="6">
        <v>35.1</v>
      </c>
      <c r="D28">
        <v>25</v>
      </c>
      <c r="E28" s="6" t="s">
        <v>6</v>
      </c>
      <c r="F28" t="str">
        <f>_xlfn.XLOOKUP(northwind_order_details[[#This Row],[order_id]],northwind_orders[order_id],northwind_orders[ship_country])</f>
        <v>Venezuela</v>
      </c>
      <c r="G28">
        <f>INDEX(northwind_orders[],MATCH(northwind_order_details[[#This Row],[order_id]], northwind_orders[order_id], 0), MATCH("employee_id", northwind_orders[#Headers], 0))</f>
        <v>4</v>
      </c>
      <c r="H28">
        <f>northwind_order_details[[#This Row],[unit_price]]*northwind_order_details[[#This Row],[quantity]]</f>
        <v>877.5</v>
      </c>
      <c r="I28" s="1">
        <f>northwind_order_details[[#This Row],[purchase amount]]*northwind_order_details[[#This Row],[discount]]</f>
        <v>0</v>
      </c>
      <c r="J28" s="1">
        <f>northwind_order_details[[#This Row],[purchase amount]]-northwind_order_details[[#This Row],[discount amount]]</f>
        <v>877.5</v>
      </c>
      <c r="K28" s="6" t="str">
        <f>IF(northwind_order_details[[#This Row],[discount amount]]&gt;0,"Yes","No")</f>
        <v>No</v>
      </c>
      <c r="L28" s="1" t="str">
        <f>IF(northwind_order_details[[#This Row],[Revenue]]&gt;1000,"High",IF(northwind_order_details[[#This Row],[Revenue]]&gt;300,"Medium","Low"))</f>
        <v>Medium</v>
      </c>
      <c r="M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" spans="1:24" x14ac:dyDescent="0.25">
      <c r="A29">
        <v>10257</v>
      </c>
      <c r="B29">
        <v>39</v>
      </c>
      <c r="C29" s="6">
        <v>14.4</v>
      </c>
      <c r="D29">
        <v>6</v>
      </c>
      <c r="E29" s="6" t="s">
        <v>6</v>
      </c>
      <c r="F29" t="str">
        <f>_xlfn.XLOOKUP(northwind_order_details[[#This Row],[order_id]],northwind_orders[order_id],northwind_orders[ship_country])</f>
        <v>Venezuela</v>
      </c>
      <c r="G29">
        <f>INDEX(northwind_orders[],MATCH(northwind_order_details[[#This Row],[order_id]], northwind_orders[order_id], 0), MATCH("employee_id", northwind_orders[#Headers], 0))</f>
        <v>4</v>
      </c>
      <c r="H29">
        <f>northwind_order_details[[#This Row],[unit_price]]*northwind_order_details[[#This Row],[quantity]]</f>
        <v>86.4</v>
      </c>
      <c r="I29" s="1">
        <f>northwind_order_details[[#This Row],[purchase amount]]*northwind_order_details[[#This Row],[discount]]</f>
        <v>0</v>
      </c>
      <c r="J29" s="1">
        <f>northwind_order_details[[#This Row],[purchase amount]]-northwind_order_details[[#This Row],[discount amount]]</f>
        <v>86.4</v>
      </c>
      <c r="K29" s="6" t="str">
        <f>IF(northwind_order_details[[#This Row],[discount amount]]&gt;0,"Yes","No")</f>
        <v>No</v>
      </c>
      <c r="L29" s="1" t="str">
        <f>IF(northwind_order_details[[#This Row],[Revenue]]&gt;1000,"High",IF(northwind_order_details[[#This Row],[Revenue]]&gt;300,"Medium","Low"))</f>
        <v>Low</v>
      </c>
      <c r="M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" spans="1:24" x14ac:dyDescent="0.25">
      <c r="A30">
        <v>10257</v>
      </c>
      <c r="B30">
        <v>77</v>
      </c>
      <c r="C30" s="6">
        <v>10.4</v>
      </c>
      <c r="D30">
        <v>15</v>
      </c>
      <c r="E30" s="6" t="s">
        <v>6</v>
      </c>
      <c r="F30" t="str">
        <f>_xlfn.XLOOKUP(northwind_order_details[[#This Row],[order_id]],northwind_orders[order_id],northwind_orders[ship_country])</f>
        <v>Venezuela</v>
      </c>
      <c r="G30">
        <f>INDEX(northwind_orders[],MATCH(northwind_order_details[[#This Row],[order_id]], northwind_orders[order_id], 0), MATCH("employee_id", northwind_orders[#Headers], 0))</f>
        <v>4</v>
      </c>
      <c r="H30">
        <f>northwind_order_details[[#This Row],[unit_price]]*northwind_order_details[[#This Row],[quantity]]</f>
        <v>156</v>
      </c>
      <c r="I30" s="1">
        <f>northwind_order_details[[#This Row],[purchase amount]]*northwind_order_details[[#This Row],[discount]]</f>
        <v>0</v>
      </c>
      <c r="J30" s="1">
        <f>northwind_order_details[[#This Row],[purchase amount]]-northwind_order_details[[#This Row],[discount amount]]</f>
        <v>156</v>
      </c>
      <c r="K30" s="6" t="str">
        <f>IF(northwind_order_details[[#This Row],[discount amount]]&gt;0,"Yes","No")</f>
        <v>No</v>
      </c>
      <c r="L30" s="1" t="str">
        <f>IF(northwind_order_details[[#This Row],[Revenue]]&gt;1000,"High",IF(northwind_order_details[[#This Row],[Revenue]]&gt;300,"Medium","Low"))</f>
        <v>Low</v>
      </c>
      <c r="M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" spans="1:24" x14ac:dyDescent="0.25">
      <c r="A31">
        <v>10258</v>
      </c>
      <c r="B31">
        <v>2</v>
      </c>
      <c r="C31" s="6">
        <v>15.2</v>
      </c>
      <c r="D31">
        <v>50</v>
      </c>
      <c r="E31" s="6">
        <v>0.2</v>
      </c>
      <c r="F31" t="str">
        <f>_xlfn.XLOOKUP(northwind_order_details[[#This Row],[order_id]],northwind_orders[order_id],northwind_orders[ship_country])</f>
        <v>Austria</v>
      </c>
      <c r="G31">
        <f>INDEX(northwind_orders[],MATCH(northwind_order_details[[#This Row],[order_id]], northwind_orders[order_id], 0), MATCH("employee_id", northwind_orders[#Headers], 0))</f>
        <v>1</v>
      </c>
      <c r="H31">
        <f>northwind_order_details[[#This Row],[unit_price]]*northwind_order_details[[#This Row],[quantity]]</f>
        <v>760</v>
      </c>
      <c r="I31" s="1">
        <f>northwind_order_details[[#This Row],[purchase amount]]*northwind_order_details[[#This Row],[discount]]</f>
        <v>152</v>
      </c>
      <c r="J31" s="1">
        <f>northwind_order_details[[#This Row],[purchase amount]]-northwind_order_details[[#This Row],[discount amount]]</f>
        <v>608</v>
      </c>
      <c r="K31" s="6" t="str">
        <f>IF(northwind_order_details[[#This Row],[discount amount]]&gt;0,"Yes","No")</f>
        <v>Yes</v>
      </c>
      <c r="L31" s="1" t="str">
        <f>IF(northwind_order_details[[#This Row],[Revenue]]&gt;1000,"High",IF(northwind_order_details[[#This Row],[Revenue]]&gt;300,"Medium","Low"))</f>
        <v>Medium</v>
      </c>
      <c r="M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" spans="1:24" x14ac:dyDescent="0.25">
      <c r="A32">
        <v>10258</v>
      </c>
      <c r="B32">
        <v>5</v>
      </c>
      <c r="C32" s="6" t="s">
        <v>12</v>
      </c>
      <c r="D32">
        <v>65</v>
      </c>
      <c r="E32" s="6">
        <v>0.2</v>
      </c>
      <c r="F32" t="str">
        <f>_xlfn.XLOOKUP(northwind_order_details[[#This Row],[order_id]],northwind_orders[order_id],northwind_orders[ship_country])</f>
        <v>Austria</v>
      </c>
      <c r="G32">
        <f>INDEX(northwind_orders[],MATCH(northwind_order_details[[#This Row],[order_id]], northwind_orders[order_id], 0), MATCH("employee_id", northwind_orders[#Headers], 0))</f>
        <v>1</v>
      </c>
      <c r="H32">
        <f>northwind_order_details[[#This Row],[unit_price]]*northwind_order_details[[#This Row],[quantity]]</f>
        <v>1105</v>
      </c>
      <c r="I32" s="1">
        <f>northwind_order_details[[#This Row],[purchase amount]]*northwind_order_details[[#This Row],[discount]]</f>
        <v>221</v>
      </c>
      <c r="J32" s="1">
        <f>northwind_order_details[[#This Row],[purchase amount]]-northwind_order_details[[#This Row],[discount amount]]</f>
        <v>884</v>
      </c>
      <c r="K32" s="6" t="str">
        <f>IF(northwind_order_details[[#This Row],[discount amount]]&gt;0,"Yes","No")</f>
        <v>Yes</v>
      </c>
      <c r="L32" s="1" t="str">
        <f>IF(northwind_order_details[[#This Row],[Revenue]]&gt;1000,"High",IF(northwind_order_details[[#This Row],[Revenue]]&gt;300,"Medium","Low"))</f>
        <v>Medium</v>
      </c>
      <c r="M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" spans="1:13" x14ac:dyDescent="0.25">
      <c r="A33">
        <v>10258</v>
      </c>
      <c r="B33">
        <v>32</v>
      </c>
      <c r="C33" s="6">
        <v>25.6</v>
      </c>
      <c r="D33">
        <v>6</v>
      </c>
      <c r="E33" s="6">
        <v>0.2</v>
      </c>
      <c r="F33" t="str">
        <f>_xlfn.XLOOKUP(northwind_order_details[[#This Row],[order_id]],northwind_orders[order_id],northwind_orders[ship_country])</f>
        <v>Austria</v>
      </c>
      <c r="G33">
        <f>INDEX(northwind_orders[],MATCH(northwind_order_details[[#This Row],[order_id]], northwind_orders[order_id], 0), MATCH("employee_id", northwind_orders[#Headers], 0))</f>
        <v>1</v>
      </c>
      <c r="H33">
        <f>northwind_order_details[[#This Row],[unit_price]]*northwind_order_details[[#This Row],[quantity]]</f>
        <v>153.60000000000002</v>
      </c>
      <c r="I33" s="1">
        <f>northwind_order_details[[#This Row],[purchase amount]]*northwind_order_details[[#This Row],[discount]]</f>
        <v>30.720000000000006</v>
      </c>
      <c r="J33" s="1">
        <f>northwind_order_details[[#This Row],[purchase amount]]-northwind_order_details[[#This Row],[discount amount]]</f>
        <v>122.88000000000002</v>
      </c>
      <c r="K33" s="6" t="str">
        <f>IF(northwind_order_details[[#This Row],[discount amount]]&gt;0,"Yes","No")</f>
        <v>Yes</v>
      </c>
      <c r="L33" s="1" t="str">
        <f>IF(northwind_order_details[[#This Row],[Revenue]]&gt;1000,"High",IF(northwind_order_details[[#This Row],[Revenue]]&gt;300,"Medium","Low"))</f>
        <v>Low</v>
      </c>
      <c r="M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" spans="1:13" x14ac:dyDescent="0.25">
      <c r="A34">
        <v>10259</v>
      </c>
      <c r="B34">
        <v>21</v>
      </c>
      <c r="C34" s="6" t="s">
        <v>10</v>
      </c>
      <c r="D34">
        <v>10</v>
      </c>
      <c r="E34" s="6" t="s">
        <v>6</v>
      </c>
      <c r="F34" t="str">
        <f>_xlfn.XLOOKUP(northwind_order_details[[#This Row],[order_id]],northwind_orders[order_id],northwind_orders[ship_country])</f>
        <v>Mexico</v>
      </c>
      <c r="G34">
        <f>INDEX(northwind_orders[],MATCH(northwind_order_details[[#This Row],[order_id]], northwind_orders[order_id], 0), MATCH("employee_id", northwind_orders[#Headers], 0))</f>
        <v>4</v>
      </c>
      <c r="H34">
        <f>northwind_order_details[[#This Row],[unit_price]]*northwind_order_details[[#This Row],[quantity]]</f>
        <v>80</v>
      </c>
      <c r="I34" s="1">
        <f>northwind_order_details[[#This Row],[purchase amount]]*northwind_order_details[[#This Row],[discount]]</f>
        <v>0</v>
      </c>
      <c r="J34" s="1">
        <f>northwind_order_details[[#This Row],[purchase amount]]-northwind_order_details[[#This Row],[discount amount]]</f>
        <v>80</v>
      </c>
      <c r="K34" s="6" t="str">
        <f>IF(northwind_order_details[[#This Row],[discount amount]]&gt;0,"Yes","No")</f>
        <v>No</v>
      </c>
      <c r="L34" s="1" t="str">
        <f>IF(northwind_order_details[[#This Row],[Revenue]]&gt;1000,"High",IF(northwind_order_details[[#This Row],[Revenue]]&gt;300,"Medium","Low"))</f>
        <v>Low</v>
      </c>
      <c r="M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" spans="1:13" x14ac:dyDescent="0.25">
      <c r="A35">
        <v>10259</v>
      </c>
      <c r="B35">
        <v>37</v>
      </c>
      <c r="C35" s="6">
        <v>20.8</v>
      </c>
      <c r="D35">
        <v>1</v>
      </c>
      <c r="E35" s="6" t="s">
        <v>6</v>
      </c>
      <c r="F35" t="str">
        <f>_xlfn.XLOOKUP(northwind_order_details[[#This Row],[order_id]],northwind_orders[order_id],northwind_orders[ship_country])</f>
        <v>Mexico</v>
      </c>
      <c r="G35">
        <f>INDEX(northwind_orders[],MATCH(northwind_order_details[[#This Row],[order_id]], northwind_orders[order_id], 0), MATCH("employee_id", northwind_orders[#Headers], 0))</f>
        <v>4</v>
      </c>
      <c r="H35">
        <f>northwind_order_details[[#This Row],[unit_price]]*northwind_order_details[[#This Row],[quantity]]</f>
        <v>20.8</v>
      </c>
      <c r="I35" s="1">
        <f>northwind_order_details[[#This Row],[purchase amount]]*northwind_order_details[[#This Row],[discount]]</f>
        <v>0</v>
      </c>
      <c r="J35" s="1">
        <f>northwind_order_details[[#This Row],[purchase amount]]-northwind_order_details[[#This Row],[discount amount]]</f>
        <v>20.8</v>
      </c>
      <c r="K35" s="6" t="str">
        <f>IF(northwind_order_details[[#This Row],[discount amount]]&gt;0,"Yes","No")</f>
        <v>No</v>
      </c>
      <c r="L35" s="1" t="str">
        <f>IF(northwind_order_details[[#This Row],[Revenue]]&gt;1000,"High",IF(northwind_order_details[[#This Row],[Revenue]]&gt;300,"Medium","Low"))</f>
        <v>Low</v>
      </c>
      <c r="M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" spans="1:13" x14ac:dyDescent="0.25">
      <c r="A36">
        <v>10260</v>
      </c>
      <c r="B36">
        <v>41</v>
      </c>
      <c r="C36" s="6">
        <v>7.7</v>
      </c>
      <c r="D36">
        <v>16</v>
      </c>
      <c r="E36" s="6">
        <v>0.25</v>
      </c>
      <c r="F36" t="str">
        <f>_xlfn.XLOOKUP(northwind_order_details[[#This Row],[order_id]],northwind_orders[order_id],northwind_orders[ship_country])</f>
        <v>Germany</v>
      </c>
      <c r="G36">
        <f>INDEX(northwind_orders[],MATCH(northwind_order_details[[#This Row],[order_id]], northwind_orders[order_id], 0), MATCH("employee_id", northwind_orders[#Headers], 0))</f>
        <v>4</v>
      </c>
      <c r="H36">
        <f>northwind_order_details[[#This Row],[unit_price]]*northwind_order_details[[#This Row],[quantity]]</f>
        <v>123.2</v>
      </c>
      <c r="I36" s="1">
        <f>northwind_order_details[[#This Row],[purchase amount]]*northwind_order_details[[#This Row],[discount]]</f>
        <v>30.8</v>
      </c>
      <c r="J36" s="1">
        <f>northwind_order_details[[#This Row],[purchase amount]]-northwind_order_details[[#This Row],[discount amount]]</f>
        <v>92.4</v>
      </c>
      <c r="K36" s="6" t="str">
        <f>IF(northwind_order_details[[#This Row],[discount amount]]&gt;0,"Yes","No")</f>
        <v>Yes</v>
      </c>
      <c r="L36" s="1" t="str">
        <f>IF(northwind_order_details[[#This Row],[Revenue]]&gt;1000,"High",IF(northwind_order_details[[#This Row],[Revenue]]&gt;300,"Medium","Low"))</f>
        <v>Low</v>
      </c>
      <c r="M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" spans="1:13" x14ac:dyDescent="0.25">
      <c r="A37">
        <v>10260</v>
      </c>
      <c r="B37">
        <v>57</v>
      </c>
      <c r="C37" s="6">
        <v>15.6</v>
      </c>
      <c r="D37">
        <v>50</v>
      </c>
      <c r="E37" s="6" t="s">
        <v>6</v>
      </c>
      <c r="F37" t="str">
        <f>_xlfn.XLOOKUP(northwind_order_details[[#This Row],[order_id]],northwind_orders[order_id],northwind_orders[ship_country])</f>
        <v>Germany</v>
      </c>
      <c r="G37">
        <f>INDEX(northwind_orders[],MATCH(northwind_order_details[[#This Row],[order_id]], northwind_orders[order_id], 0), MATCH("employee_id", northwind_orders[#Headers], 0))</f>
        <v>4</v>
      </c>
      <c r="H37">
        <f>northwind_order_details[[#This Row],[unit_price]]*northwind_order_details[[#This Row],[quantity]]</f>
        <v>780</v>
      </c>
      <c r="I37" s="1">
        <f>northwind_order_details[[#This Row],[purchase amount]]*northwind_order_details[[#This Row],[discount]]</f>
        <v>0</v>
      </c>
      <c r="J37" s="1">
        <f>northwind_order_details[[#This Row],[purchase amount]]-northwind_order_details[[#This Row],[discount amount]]</f>
        <v>780</v>
      </c>
      <c r="K37" s="6" t="str">
        <f>IF(northwind_order_details[[#This Row],[discount amount]]&gt;0,"Yes","No")</f>
        <v>No</v>
      </c>
      <c r="L37" s="1" t="str">
        <f>IF(northwind_order_details[[#This Row],[Revenue]]&gt;1000,"High",IF(northwind_order_details[[#This Row],[Revenue]]&gt;300,"Medium","Low"))</f>
        <v>Medium</v>
      </c>
      <c r="M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" spans="1:13" x14ac:dyDescent="0.25">
      <c r="A38">
        <v>10260</v>
      </c>
      <c r="B38">
        <v>62</v>
      </c>
      <c r="C38" s="6">
        <v>39.4</v>
      </c>
      <c r="D38">
        <v>15</v>
      </c>
      <c r="E38" s="6">
        <v>0.25</v>
      </c>
      <c r="F38" t="str">
        <f>_xlfn.XLOOKUP(northwind_order_details[[#This Row],[order_id]],northwind_orders[order_id],northwind_orders[ship_country])</f>
        <v>Germany</v>
      </c>
      <c r="G38">
        <f>INDEX(northwind_orders[],MATCH(northwind_order_details[[#This Row],[order_id]], northwind_orders[order_id], 0), MATCH("employee_id", northwind_orders[#Headers], 0))</f>
        <v>4</v>
      </c>
      <c r="H38">
        <f>northwind_order_details[[#This Row],[unit_price]]*northwind_order_details[[#This Row],[quantity]]</f>
        <v>591</v>
      </c>
      <c r="I38" s="1">
        <f>northwind_order_details[[#This Row],[purchase amount]]*northwind_order_details[[#This Row],[discount]]</f>
        <v>147.75</v>
      </c>
      <c r="J38" s="1">
        <f>northwind_order_details[[#This Row],[purchase amount]]-northwind_order_details[[#This Row],[discount amount]]</f>
        <v>443.25</v>
      </c>
      <c r="K38" s="6" t="str">
        <f>IF(northwind_order_details[[#This Row],[discount amount]]&gt;0,"Yes","No")</f>
        <v>Yes</v>
      </c>
      <c r="L38" s="1" t="str">
        <f>IF(northwind_order_details[[#This Row],[Revenue]]&gt;1000,"High",IF(northwind_order_details[[#This Row],[Revenue]]&gt;300,"Medium","Low"))</f>
        <v>Medium</v>
      </c>
      <c r="M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" spans="1:13" x14ac:dyDescent="0.25">
      <c r="A39">
        <v>10260</v>
      </c>
      <c r="B39">
        <v>70</v>
      </c>
      <c r="C39" s="6" t="s">
        <v>13</v>
      </c>
      <c r="D39">
        <v>21</v>
      </c>
      <c r="E39" s="6">
        <v>0.25</v>
      </c>
      <c r="F39" t="str">
        <f>_xlfn.XLOOKUP(northwind_order_details[[#This Row],[order_id]],northwind_orders[order_id],northwind_orders[ship_country])</f>
        <v>Germany</v>
      </c>
      <c r="G39">
        <f>INDEX(northwind_orders[],MATCH(northwind_order_details[[#This Row],[order_id]], northwind_orders[order_id], 0), MATCH("employee_id", northwind_orders[#Headers], 0))</f>
        <v>4</v>
      </c>
      <c r="H39">
        <f>northwind_order_details[[#This Row],[unit_price]]*northwind_order_details[[#This Row],[quantity]]</f>
        <v>252</v>
      </c>
      <c r="I39" s="1">
        <f>northwind_order_details[[#This Row],[purchase amount]]*northwind_order_details[[#This Row],[discount]]</f>
        <v>63</v>
      </c>
      <c r="J39" s="1">
        <f>northwind_order_details[[#This Row],[purchase amount]]-northwind_order_details[[#This Row],[discount amount]]</f>
        <v>189</v>
      </c>
      <c r="K39" s="6" t="str">
        <f>IF(northwind_order_details[[#This Row],[discount amount]]&gt;0,"Yes","No")</f>
        <v>Yes</v>
      </c>
      <c r="L39" s="1" t="str">
        <f>IF(northwind_order_details[[#This Row],[Revenue]]&gt;1000,"High",IF(northwind_order_details[[#This Row],[Revenue]]&gt;300,"Medium","Low"))</f>
        <v>Low</v>
      </c>
      <c r="M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" spans="1:13" x14ac:dyDescent="0.25">
      <c r="A40">
        <v>10261</v>
      </c>
      <c r="B40">
        <v>21</v>
      </c>
      <c r="C40" s="6" t="s">
        <v>10</v>
      </c>
      <c r="D40">
        <v>20</v>
      </c>
      <c r="E40" s="6" t="s">
        <v>6</v>
      </c>
      <c r="F40" t="str">
        <f>_xlfn.XLOOKUP(northwind_order_details[[#This Row],[order_id]],northwind_orders[order_id],northwind_orders[ship_country])</f>
        <v>Brazil</v>
      </c>
      <c r="G40">
        <f>INDEX(northwind_orders[],MATCH(northwind_order_details[[#This Row],[order_id]], northwind_orders[order_id], 0), MATCH("employee_id", northwind_orders[#Headers], 0))</f>
        <v>4</v>
      </c>
      <c r="H40">
        <f>northwind_order_details[[#This Row],[unit_price]]*northwind_order_details[[#This Row],[quantity]]</f>
        <v>160</v>
      </c>
      <c r="I40" s="1">
        <f>northwind_order_details[[#This Row],[purchase amount]]*northwind_order_details[[#This Row],[discount]]</f>
        <v>0</v>
      </c>
      <c r="J40" s="1">
        <f>northwind_order_details[[#This Row],[purchase amount]]-northwind_order_details[[#This Row],[discount amount]]</f>
        <v>160</v>
      </c>
      <c r="K40" s="6" t="str">
        <f>IF(northwind_order_details[[#This Row],[discount amount]]&gt;0,"Yes","No")</f>
        <v>No</v>
      </c>
      <c r="L40" s="1" t="str">
        <f>IF(northwind_order_details[[#This Row],[Revenue]]&gt;1000,"High",IF(northwind_order_details[[#This Row],[Revenue]]&gt;300,"Medium","Low"))</f>
        <v>Low</v>
      </c>
      <c r="M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" spans="1:13" x14ac:dyDescent="0.25">
      <c r="A41">
        <v>10261</v>
      </c>
      <c r="B41">
        <v>35</v>
      </c>
      <c r="C41" s="6">
        <v>14.4</v>
      </c>
      <c r="D41">
        <v>20</v>
      </c>
      <c r="E41" s="6" t="s">
        <v>6</v>
      </c>
      <c r="F41" t="str">
        <f>_xlfn.XLOOKUP(northwind_order_details[[#This Row],[order_id]],northwind_orders[order_id],northwind_orders[ship_country])</f>
        <v>Brazil</v>
      </c>
      <c r="G41">
        <f>INDEX(northwind_orders[],MATCH(northwind_order_details[[#This Row],[order_id]], northwind_orders[order_id], 0), MATCH("employee_id", northwind_orders[#Headers], 0))</f>
        <v>4</v>
      </c>
      <c r="H41">
        <f>northwind_order_details[[#This Row],[unit_price]]*northwind_order_details[[#This Row],[quantity]]</f>
        <v>288</v>
      </c>
      <c r="I41" s="1">
        <f>northwind_order_details[[#This Row],[purchase amount]]*northwind_order_details[[#This Row],[discount]]</f>
        <v>0</v>
      </c>
      <c r="J41" s="1">
        <f>northwind_order_details[[#This Row],[purchase amount]]-northwind_order_details[[#This Row],[discount amount]]</f>
        <v>288</v>
      </c>
      <c r="K41" s="6" t="str">
        <f>IF(northwind_order_details[[#This Row],[discount amount]]&gt;0,"Yes","No")</f>
        <v>No</v>
      </c>
      <c r="L41" s="1" t="str">
        <f>IF(northwind_order_details[[#This Row],[Revenue]]&gt;1000,"High",IF(northwind_order_details[[#This Row],[Revenue]]&gt;300,"Medium","Low"))</f>
        <v>Low</v>
      </c>
      <c r="M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" spans="1:13" x14ac:dyDescent="0.25">
      <c r="A42">
        <v>10262</v>
      </c>
      <c r="B42">
        <v>5</v>
      </c>
      <c r="C42" s="6" t="s">
        <v>12</v>
      </c>
      <c r="D42">
        <v>12</v>
      </c>
      <c r="E42" s="6">
        <v>0.2</v>
      </c>
      <c r="F42" t="str">
        <f>_xlfn.XLOOKUP(northwind_order_details[[#This Row],[order_id]],northwind_orders[order_id],northwind_orders[ship_country])</f>
        <v>USA</v>
      </c>
      <c r="G42">
        <f>INDEX(northwind_orders[],MATCH(northwind_order_details[[#This Row],[order_id]], northwind_orders[order_id], 0), MATCH("employee_id", northwind_orders[#Headers], 0))</f>
        <v>8</v>
      </c>
      <c r="H42">
        <f>northwind_order_details[[#This Row],[unit_price]]*northwind_order_details[[#This Row],[quantity]]</f>
        <v>204</v>
      </c>
      <c r="I42" s="1">
        <f>northwind_order_details[[#This Row],[purchase amount]]*northwind_order_details[[#This Row],[discount]]</f>
        <v>40.800000000000004</v>
      </c>
      <c r="J42" s="1">
        <f>northwind_order_details[[#This Row],[purchase amount]]-northwind_order_details[[#This Row],[discount amount]]</f>
        <v>163.19999999999999</v>
      </c>
      <c r="K42" s="6" t="str">
        <f>IF(northwind_order_details[[#This Row],[discount amount]]&gt;0,"Yes","No")</f>
        <v>Yes</v>
      </c>
      <c r="L42" s="1" t="str">
        <f>IF(northwind_order_details[[#This Row],[Revenue]]&gt;1000,"High",IF(northwind_order_details[[#This Row],[Revenue]]&gt;300,"Medium","Low"))</f>
        <v>Low</v>
      </c>
      <c r="M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" spans="1:13" x14ac:dyDescent="0.25">
      <c r="A43">
        <v>10262</v>
      </c>
      <c r="B43">
        <v>7</v>
      </c>
      <c r="C43" s="6" t="s">
        <v>14</v>
      </c>
      <c r="D43">
        <v>15</v>
      </c>
      <c r="E43" s="6" t="s">
        <v>6</v>
      </c>
      <c r="F43" t="str">
        <f>_xlfn.XLOOKUP(northwind_order_details[[#This Row],[order_id]],northwind_orders[order_id],northwind_orders[ship_country])</f>
        <v>USA</v>
      </c>
      <c r="G43">
        <f>INDEX(northwind_orders[],MATCH(northwind_order_details[[#This Row],[order_id]], northwind_orders[order_id], 0), MATCH("employee_id", northwind_orders[#Headers], 0))</f>
        <v>8</v>
      </c>
      <c r="H43">
        <f>northwind_order_details[[#This Row],[unit_price]]*northwind_order_details[[#This Row],[quantity]]</f>
        <v>360</v>
      </c>
      <c r="I43" s="1">
        <f>northwind_order_details[[#This Row],[purchase amount]]*northwind_order_details[[#This Row],[discount]]</f>
        <v>0</v>
      </c>
      <c r="J43" s="1">
        <f>northwind_order_details[[#This Row],[purchase amount]]-northwind_order_details[[#This Row],[discount amount]]</f>
        <v>360</v>
      </c>
      <c r="K43" s="6" t="str">
        <f>IF(northwind_order_details[[#This Row],[discount amount]]&gt;0,"Yes","No")</f>
        <v>No</v>
      </c>
      <c r="L43" s="1" t="str">
        <f>IF(northwind_order_details[[#This Row],[Revenue]]&gt;1000,"High",IF(northwind_order_details[[#This Row],[Revenue]]&gt;300,"Medium","Low"))</f>
        <v>Medium</v>
      </c>
      <c r="M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" spans="1:13" x14ac:dyDescent="0.25">
      <c r="A44">
        <v>10262</v>
      </c>
      <c r="B44">
        <v>56</v>
      </c>
      <c r="C44" s="6">
        <v>30.4</v>
      </c>
      <c r="D44">
        <v>2</v>
      </c>
      <c r="E44" s="6" t="s">
        <v>6</v>
      </c>
      <c r="F44" t="str">
        <f>_xlfn.XLOOKUP(northwind_order_details[[#This Row],[order_id]],northwind_orders[order_id],northwind_orders[ship_country])</f>
        <v>USA</v>
      </c>
      <c r="G44">
        <f>INDEX(northwind_orders[],MATCH(northwind_order_details[[#This Row],[order_id]], northwind_orders[order_id], 0), MATCH("employee_id", northwind_orders[#Headers], 0))</f>
        <v>8</v>
      </c>
      <c r="H44">
        <f>northwind_order_details[[#This Row],[unit_price]]*northwind_order_details[[#This Row],[quantity]]</f>
        <v>60.8</v>
      </c>
      <c r="I44" s="1">
        <f>northwind_order_details[[#This Row],[purchase amount]]*northwind_order_details[[#This Row],[discount]]</f>
        <v>0</v>
      </c>
      <c r="J44" s="1">
        <f>northwind_order_details[[#This Row],[purchase amount]]-northwind_order_details[[#This Row],[discount amount]]</f>
        <v>60.8</v>
      </c>
      <c r="K44" s="6" t="str">
        <f>IF(northwind_order_details[[#This Row],[discount amount]]&gt;0,"Yes","No")</f>
        <v>No</v>
      </c>
      <c r="L44" s="1" t="str">
        <f>IF(northwind_order_details[[#This Row],[Revenue]]&gt;1000,"High",IF(northwind_order_details[[#This Row],[Revenue]]&gt;300,"Medium","Low"))</f>
        <v>Low</v>
      </c>
      <c r="M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" spans="1:13" x14ac:dyDescent="0.25">
      <c r="A45">
        <v>10263</v>
      </c>
      <c r="B45">
        <v>16</v>
      </c>
      <c r="C45" s="6">
        <v>13.9</v>
      </c>
      <c r="D45">
        <v>60</v>
      </c>
      <c r="E45" s="6">
        <v>0.25</v>
      </c>
      <c r="F45" t="str">
        <f>_xlfn.XLOOKUP(northwind_order_details[[#This Row],[order_id]],northwind_orders[order_id],northwind_orders[ship_country])</f>
        <v>Austria</v>
      </c>
      <c r="G45">
        <f>INDEX(northwind_orders[],MATCH(northwind_order_details[[#This Row],[order_id]], northwind_orders[order_id], 0), MATCH("employee_id", northwind_orders[#Headers], 0))</f>
        <v>9</v>
      </c>
      <c r="H45">
        <f>northwind_order_details[[#This Row],[unit_price]]*northwind_order_details[[#This Row],[quantity]]</f>
        <v>834</v>
      </c>
      <c r="I45" s="1">
        <f>northwind_order_details[[#This Row],[purchase amount]]*northwind_order_details[[#This Row],[discount]]</f>
        <v>208.5</v>
      </c>
      <c r="J45" s="1">
        <f>northwind_order_details[[#This Row],[purchase amount]]-northwind_order_details[[#This Row],[discount amount]]</f>
        <v>625.5</v>
      </c>
      <c r="K45" s="6" t="str">
        <f>IF(northwind_order_details[[#This Row],[discount amount]]&gt;0,"Yes","No")</f>
        <v>Yes</v>
      </c>
      <c r="L45" s="1" t="str">
        <f>IF(northwind_order_details[[#This Row],[Revenue]]&gt;1000,"High",IF(northwind_order_details[[#This Row],[Revenue]]&gt;300,"Medium","Low"))</f>
        <v>Medium</v>
      </c>
      <c r="M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" spans="1:13" x14ac:dyDescent="0.25">
      <c r="A46">
        <v>10263</v>
      </c>
      <c r="B46">
        <v>24</v>
      </c>
      <c r="C46" s="6">
        <v>3.6</v>
      </c>
      <c r="D46">
        <v>28</v>
      </c>
      <c r="E46" s="6" t="s">
        <v>6</v>
      </c>
      <c r="F46" t="str">
        <f>_xlfn.XLOOKUP(northwind_order_details[[#This Row],[order_id]],northwind_orders[order_id],northwind_orders[ship_country])</f>
        <v>Austria</v>
      </c>
      <c r="G46">
        <f>INDEX(northwind_orders[],MATCH(northwind_order_details[[#This Row],[order_id]], northwind_orders[order_id], 0), MATCH("employee_id", northwind_orders[#Headers], 0))</f>
        <v>9</v>
      </c>
      <c r="H46">
        <f>northwind_order_details[[#This Row],[unit_price]]*northwind_order_details[[#This Row],[quantity]]</f>
        <v>100.8</v>
      </c>
      <c r="I46" s="1">
        <f>northwind_order_details[[#This Row],[purchase amount]]*northwind_order_details[[#This Row],[discount]]</f>
        <v>0</v>
      </c>
      <c r="J46" s="1">
        <f>northwind_order_details[[#This Row],[purchase amount]]-northwind_order_details[[#This Row],[discount amount]]</f>
        <v>100.8</v>
      </c>
      <c r="K46" s="6" t="str">
        <f>IF(northwind_order_details[[#This Row],[discount amount]]&gt;0,"Yes","No")</f>
        <v>No</v>
      </c>
      <c r="L46" s="1" t="str">
        <f>IF(northwind_order_details[[#This Row],[Revenue]]&gt;1000,"High",IF(northwind_order_details[[#This Row],[Revenue]]&gt;300,"Medium","Low"))</f>
        <v>Low</v>
      </c>
      <c r="M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" spans="1:13" x14ac:dyDescent="0.25">
      <c r="A47">
        <v>10263</v>
      </c>
      <c r="B47">
        <v>30</v>
      </c>
      <c r="C47" s="6">
        <v>20.7</v>
      </c>
      <c r="D47">
        <v>60</v>
      </c>
      <c r="E47" s="6">
        <v>0.25</v>
      </c>
      <c r="F47" t="str">
        <f>_xlfn.XLOOKUP(northwind_order_details[[#This Row],[order_id]],northwind_orders[order_id],northwind_orders[ship_country])</f>
        <v>Austria</v>
      </c>
      <c r="G47">
        <f>INDEX(northwind_orders[],MATCH(northwind_order_details[[#This Row],[order_id]], northwind_orders[order_id], 0), MATCH("employee_id", northwind_orders[#Headers], 0))</f>
        <v>9</v>
      </c>
      <c r="H47">
        <f>northwind_order_details[[#This Row],[unit_price]]*northwind_order_details[[#This Row],[quantity]]</f>
        <v>1242</v>
      </c>
      <c r="I47" s="1">
        <f>northwind_order_details[[#This Row],[purchase amount]]*northwind_order_details[[#This Row],[discount]]</f>
        <v>310.5</v>
      </c>
      <c r="J47" s="1">
        <f>northwind_order_details[[#This Row],[purchase amount]]-northwind_order_details[[#This Row],[discount amount]]</f>
        <v>931.5</v>
      </c>
      <c r="K47" s="6" t="str">
        <f>IF(northwind_order_details[[#This Row],[discount amount]]&gt;0,"Yes","No")</f>
        <v>Yes</v>
      </c>
      <c r="L47" s="1" t="str">
        <f>IF(northwind_order_details[[#This Row],[Revenue]]&gt;1000,"High",IF(northwind_order_details[[#This Row],[Revenue]]&gt;300,"Medium","Low"))</f>
        <v>Medium</v>
      </c>
      <c r="M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" spans="1:13" x14ac:dyDescent="0.25">
      <c r="A48">
        <v>10263</v>
      </c>
      <c r="B48">
        <v>74</v>
      </c>
      <c r="C48" s="6" t="s">
        <v>10</v>
      </c>
      <c r="D48">
        <v>36</v>
      </c>
      <c r="E48" s="6">
        <v>0.25</v>
      </c>
      <c r="F48" t="str">
        <f>_xlfn.XLOOKUP(northwind_order_details[[#This Row],[order_id]],northwind_orders[order_id],northwind_orders[ship_country])</f>
        <v>Austria</v>
      </c>
      <c r="G48">
        <f>INDEX(northwind_orders[],MATCH(northwind_order_details[[#This Row],[order_id]], northwind_orders[order_id], 0), MATCH("employee_id", northwind_orders[#Headers], 0))</f>
        <v>9</v>
      </c>
      <c r="H48">
        <f>northwind_order_details[[#This Row],[unit_price]]*northwind_order_details[[#This Row],[quantity]]</f>
        <v>288</v>
      </c>
      <c r="I48" s="1">
        <f>northwind_order_details[[#This Row],[purchase amount]]*northwind_order_details[[#This Row],[discount]]</f>
        <v>72</v>
      </c>
      <c r="J48" s="1">
        <f>northwind_order_details[[#This Row],[purchase amount]]-northwind_order_details[[#This Row],[discount amount]]</f>
        <v>216</v>
      </c>
      <c r="K48" s="6" t="str">
        <f>IF(northwind_order_details[[#This Row],[discount amount]]&gt;0,"Yes","No")</f>
        <v>Yes</v>
      </c>
      <c r="L48" s="1" t="str">
        <f>IF(northwind_order_details[[#This Row],[Revenue]]&gt;1000,"High",IF(northwind_order_details[[#This Row],[Revenue]]&gt;300,"Medium","Low"))</f>
        <v>Low</v>
      </c>
      <c r="M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" spans="1:13" x14ac:dyDescent="0.25">
      <c r="A49">
        <v>10264</v>
      </c>
      <c r="B49">
        <v>2</v>
      </c>
      <c r="C49" s="6">
        <v>15.2</v>
      </c>
      <c r="D49">
        <v>35</v>
      </c>
      <c r="E49" s="6" t="s">
        <v>6</v>
      </c>
      <c r="F49" t="str">
        <f>_xlfn.XLOOKUP(northwind_order_details[[#This Row],[order_id]],northwind_orders[order_id],northwind_orders[ship_country])</f>
        <v>Sweden</v>
      </c>
      <c r="G49">
        <f>INDEX(northwind_orders[],MATCH(northwind_order_details[[#This Row],[order_id]], northwind_orders[order_id], 0), MATCH("employee_id", northwind_orders[#Headers], 0))</f>
        <v>6</v>
      </c>
      <c r="H49">
        <f>northwind_order_details[[#This Row],[unit_price]]*northwind_order_details[[#This Row],[quantity]]</f>
        <v>532</v>
      </c>
      <c r="I49" s="1">
        <f>northwind_order_details[[#This Row],[purchase amount]]*northwind_order_details[[#This Row],[discount]]</f>
        <v>0</v>
      </c>
      <c r="J49" s="1">
        <f>northwind_order_details[[#This Row],[purchase amount]]-northwind_order_details[[#This Row],[discount amount]]</f>
        <v>532</v>
      </c>
      <c r="K49" s="6" t="str">
        <f>IF(northwind_order_details[[#This Row],[discount amount]]&gt;0,"Yes","No")</f>
        <v>No</v>
      </c>
      <c r="L49" s="1" t="str">
        <f>IF(northwind_order_details[[#This Row],[Revenue]]&gt;1000,"High",IF(northwind_order_details[[#This Row],[Revenue]]&gt;300,"Medium","Low"))</f>
        <v>Medium</v>
      </c>
      <c r="M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" spans="1:13" x14ac:dyDescent="0.25">
      <c r="A50">
        <v>10264</v>
      </c>
      <c r="B50">
        <v>41</v>
      </c>
      <c r="C50" s="6">
        <v>7.7</v>
      </c>
      <c r="D50">
        <v>25</v>
      </c>
      <c r="E50" s="6">
        <v>0.15</v>
      </c>
      <c r="F50" t="str">
        <f>_xlfn.XLOOKUP(northwind_order_details[[#This Row],[order_id]],northwind_orders[order_id],northwind_orders[ship_country])</f>
        <v>Sweden</v>
      </c>
      <c r="G50">
        <f>INDEX(northwind_orders[],MATCH(northwind_order_details[[#This Row],[order_id]], northwind_orders[order_id], 0), MATCH("employee_id", northwind_orders[#Headers], 0))</f>
        <v>6</v>
      </c>
      <c r="H50">
        <f>northwind_order_details[[#This Row],[unit_price]]*northwind_order_details[[#This Row],[quantity]]</f>
        <v>192.5</v>
      </c>
      <c r="I50" s="1">
        <f>northwind_order_details[[#This Row],[purchase amount]]*northwind_order_details[[#This Row],[discount]]</f>
        <v>28.875</v>
      </c>
      <c r="J50" s="1">
        <f>northwind_order_details[[#This Row],[purchase amount]]-northwind_order_details[[#This Row],[discount amount]]</f>
        <v>163.625</v>
      </c>
      <c r="K50" s="6" t="str">
        <f>IF(northwind_order_details[[#This Row],[discount amount]]&gt;0,"Yes","No")</f>
        <v>Yes</v>
      </c>
      <c r="L50" s="1" t="str">
        <f>IF(northwind_order_details[[#This Row],[Revenue]]&gt;1000,"High",IF(northwind_order_details[[#This Row],[Revenue]]&gt;300,"Medium","Low"))</f>
        <v>Low</v>
      </c>
      <c r="M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" spans="1:13" x14ac:dyDescent="0.25">
      <c r="A51">
        <v>10265</v>
      </c>
      <c r="B51">
        <v>17</v>
      </c>
      <c r="C51" s="6">
        <v>31.2</v>
      </c>
      <c r="D51">
        <v>30</v>
      </c>
      <c r="E51" s="6" t="s">
        <v>6</v>
      </c>
      <c r="F51" t="str">
        <f>_xlfn.XLOOKUP(northwind_order_details[[#This Row],[order_id]],northwind_orders[order_id],northwind_orders[ship_country])</f>
        <v>France</v>
      </c>
      <c r="G51">
        <f>INDEX(northwind_orders[],MATCH(northwind_order_details[[#This Row],[order_id]], northwind_orders[order_id], 0), MATCH("employee_id", northwind_orders[#Headers], 0))</f>
        <v>2</v>
      </c>
      <c r="H51">
        <f>northwind_order_details[[#This Row],[unit_price]]*northwind_order_details[[#This Row],[quantity]]</f>
        <v>936</v>
      </c>
      <c r="I51" s="1">
        <f>northwind_order_details[[#This Row],[purchase amount]]*northwind_order_details[[#This Row],[discount]]</f>
        <v>0</v>
      </c>
      <c r="J51" s="1">
        <f>northwind_order_details[[#This Row],[purchase amount]]-northwind_order_details[[#This Row],[discount amount]]</f>
        <v>936</v>
      </c>
      <c r="K51" s="6" t="str">
        <f>IF(northwind_order_details[[#This Row],[discount amount]]&gt;0,"Yes","No")</f>
        <v>No</v>
      </c>
      <c r="L51" s="1" t="str">
        <f>IF(northwind_order_details[[#This Row],[Revenue]]&gt;1000,"High",IF(northwind_order_details[[#This Row],[Revenue]]&gt;300,"Medium","Low"))</f>
        <v>Medium</v>
      </c>
      <c r="M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" spans="1:13" x14ac:dyDescent="0.25">
      <c r="A52">
        <v>10265</v>
      </c>
      <c r="B52">
        <v>70</v>
      </c>
      <c r="C52" s="6" t="s">
        <v>13</v>
      </c>
      <c r="D52">
        <v>20</v>
      </c>
      <c r="E52" s="6" t="s">
        <v>6</v>
      </c>
      <c r="F52" t="str">
        <f>_xlfn.XLOOKUP(northwind_order_details[[#This Row],[order_id]],northwind_orders[order_id],northwind_orders[ship_country])</f>
        <v>France</v>
      </c>
      <c r="G52">
        <f>INDEX(northwind_orders[],MATCH(northwind_order_details[[#This Row],[order_id]], northwind_orders[order_id], 0), MATCH("employee_id", northwind_orders[#Headers], 0))</f>
        <v>2</v>
      </c>
      <c r="H52">
        <f>northwind_order_details[[#This Row],[unit_price]]*northwind_order_details[[#This Row],[quantity]]</f>
        <v>240</v>
      </c>
      <c r="I52" s="1">
        <f>northwind_order_details[[#This Row],[purchase amount]]*northwind_order_details[[#This Row],[discount]]</f>
        <v>0</v>
      </c>
      <c r="J52" s="1">
        <f>northwind_order_details[[#This Row],[purchase amount]]-northwind_order_details[[#This Row],[discount amount]]</f>
        <v>240</v>
      </c>
      <c r="K52" s="6" t="str">
        <f>IF(northwind_order_details[[#This Row],[discount amount]]&gt;0,"Yes","No")</f>
        <v>No</v>
      </c>
      <c r="L52" s="1" t="str">
        <f>IF(northwind_order_details[[#This Row],[Revenue]]&gt;1000,"High",IF(northwind_order_details[[#This Row],[Revenue]]&gt;300,"Medium","Low"))</f>
        <v>Low</v>
      </c>
      <c r="M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" spans="1:13" x14ac:dyDescent="0.25">
      <c r="A53">
        <v>10266</v>
      </c>
      <c r="B53">
        <v>12</v>
      </c>
      <c r="C53" s="6">
        <v>30.4</v>
      </c>
      <c r="D53">
        <v>12</v>
      </c>
      <c r="E53" s="6">
        <v>0.05</v>
      </c>
      <c r="F53" t="str">
        <f>_xlfn.XLOOKUP(northwind_order_details[[#This Row],[order_id]],northwind_orders[order_id],northwind_orders[ship_country])</f>
        <v>Finland</v>
      </c>
      <c r="G53">
        <f>INDEX(northwind_orders[],MATCH(northwind_order_details[[#This Row],[order_id]], northwind_orders[order_id], 0), MATCH("employee_id", northwind_orders[#Headers], 0))</f>
        <v>3</v>
      </c>
      <c r="H53">
        <f>northwind_order_details[[#This Row],[unit_price]]*northwind_order_details[[#This Row],[quantity]]</f>
        <v>364.79999999999995</v>
      </c>
      <c r="I53" s="1">
        <f>northwind_order_details[[#This Row],[purchase amount]]*northwind_order_details[[#This Row],[discount]]</f>
        <v>18.239999999999998</v>
      </c>
      <c r="J53" s="1">
        <f>northwind_order_details[[#This Row],[purchase amount]]-northwind_order_details[[#This Row],[discount amount]]</f>
        <v>346.55999999999995</v>
      </c>
      <c r="K53" s="6" t="str">
        <f>IF(northwind_order_details[[#This Row],[discount amount]]&gt;0,"Yes","No")</f>
        <v>Yes</v>
      </c>
      <c r="L53" s="1" t="str">
        <f>IF(northwind_order_details[[#This Row],[Revenue]]&gt;1000,"High",IF(northwind_order_details[[#This Row],[Revenue]]&gt;300,"Medium","Low"))</f>
        <v>Medium</v>
      </c>
      <c r="M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" spans="1:13" x14ac:dyDescent="0.25">
      <c r="A54">
        <v>10267</v>
      </c>
      <c r="B54">
        <v>40</v>
      </c>
      <c r="C54" s="6">
        <v>14.7</v>
      </c>
      <c r="D54">
        <v>50</v>
      </c>
      <c r="E54" s="6" t="s">
        <v>6</v>
      </c>
      <c r="F54" t="str">
        <f>_xlfn.XLOOKUP(northwind_order_details[[#This Row],[order_id]],northwind_orders[order_id],northwind_orders[ship_country])</f>
        <v>Germany</v>
      </c>
      <c r="G54">
        <f>INDEX(northwind_orders[],MATCH(northwind_order_details[[#This Row],[order_id]], northwind_orders[order_id], 0), MATCH("employee_id", northwind_orders[#Headers], 0))</f>
        <v>4</v>
      </c>
      <c r="H54">
        <f>northwind_order_details[[#This Row],[unit_price]]*northwind_order_details[[#This Row],[quantity]]</f>
        <v>735</v>
      </c>
      <c r="I54" s="1">
        <f>northwind_order_details[[#This Row],[purchase amount]]*northwind_order_details[[#This Row],[discount]]</f>
        <v>0</v>
      </c>
      <c r="J54" s="1">
        <f>northwind_order_details[[#This Row],[purchase amount]]-northwind_order_details[[#This Row],[discount amount]]</f>
        <v>735</v>
      </c>
      <c r="K54" s="6" t="str">
        <f>IF(northwind_order_details[[#This Row],[discount amount]]&gt;0,"Yes","No")</f>
        <v>No</v>
      </c>
      <c r="L54" s="1" t="str">
        <f>IF(northwind_order_details[[#This Row],[Revenue]]&gt;1000,"High",IF(northwind_order_details[[#This Row],[Revenue]]&gt;300,"Medium","Low"))</f>
        <v>Medium</v>
      </c>
      <c r="M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" spans="1:13" x14ac:dyDescent="0.25">
      <c r="A55">
        <v>10267</v>
      </c>
      <c r="B55">
        <v>59</v>
      </c>
      <c r="C55" s="6" t="s">
        <v>11</v>
      </c>
      <c r="D55">
        <v>70</v>
      </c>
      <c r="E55" s="6">
        <v>0.15</v>
      </c>
      <c r="F55" t="str">
        <f>_xlfn.XLOOKUP(northwind_order_details[[#This Row],[order_id]],northwind_orders[order_id],northwind_orders[ship_country])</f>
        <v>Germany</v>
      </c>
      <c r="G55">
        <f>INDEX(northwind_orders[],MATCH(northwind_order_details[[#This Row],[order_id]], northwind_orders[order_id], 0), MATCH("employee_id", northwind_orders[#Headers], 0))</f>
        <v>4</v>
      </c>
      <c r="H55">
        <f>northwind_order_details[[#This Row],[unit_price]]*northwind_order_details[[#This Row],[quantity]]</f>
        <v>3080</v>
      </c>
      <c r="I55" s="1">
        <f>northwind_order_details[[#This Row],[purchase amount]]*northwind_order_details[[#This Row],[discount]]</f>
        <v>462</v>
      </c>
      <c r="J55" s="1">
        <f>northwind_order_details[[#This Row],[purchase amount]]-northwind_order_details[[#This Row],[discount amount]]</f>
        <v>2618</v>
      </c>
      <c r="K55" s="6" t="str">
        <f>IF(northwind_order_details[[#This Row],[discount amount]]&gt;0,"Yes","No")</f>
        <v>Yes</v>
      </c>
      <c r="L55" s="1" t="str">
        <f>IF(northwind_order_details[[#This Row],[Revenue]]&gt;1000,"High",IF(northwind_order_details[[#This Row],[Revenue]]&gt;300,"Medium","Low"))</f>
        <v>High</v>
      </c>
      <c r="M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" spans="1:13" x14ac:dyDescent="0.25">
      <c r="A56">
        <v>10267</v>
      </c>
      <c r="B56">
        <v>76</v>
      </c>
      <c r="C56" s="6">
        <v>14.4</v>
      </c>
      <c r="D56">
        <v>15</v>
      </c>
      <c r="E56" s="6">
        <v>0.15</v>
      </c>
      <c r="F56" t="str">
        <f>_xlfn.XLOOKUP(northwind_order_details[[#This Row],[order_id]],northwind_orders[order_id],northwind_orders[ship_country])</f>
        <v>Germany</v>
      </c>
      <c r="G56">
        <f>INDEX(northwind_orders[],MATCH(northwind_order_details[[#This Row],[order_id]], northwind_orders[order_id], 0), MATCH("employee_id", northwind_orders[#Headers], 0))</f>
        <v>4</v>
      </c>
      <c r="H56">
        <f>northwind_order_details[[#This Row],[unit_price]]*northwind_order_details[[#This Row],[quantity]]</f>
        <v>216</v>
      </c>
      <c r="I56" s="1">
        <f>northwind_order_details[[#This Row],[purchase amount]]*northwind_order_details[[#This Row],[discount]]</f>
        <v>32.4</v>
      </c>
      <c r="J56" s="1">
        <f>northwind_order_details[[#This Row],[purchase amount]]-northwind_order_details[[#This Row],[discount amount]]</f>
        <v>183.6</v>
      </c>
      <c r="K56" s="6" t="str">
        <f>IF(northwind_order_details[[#This Row],[discount amount]]&gt;0,"Yes","No")</f>
        <v>Yes</v>
      </c>
      <c r="L56" s="1" t="str">
        <f>IF(northwind_order_details[[#This Row],[Revenue]]&gt;1000,"High",IF(northwind_order_details[[#This Row],[Revenue]]&gt;300,"Medium","Low"))</f>
        <v>Low</v>
      </c>
      <c r="M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" spans="1:13" x14ac:dyDescent="0.25">
      <c r="A57">
        <v>10268</v>
      </c>
      <c r="B57">
        <v>29</v>
      </c>
      <c r="C57" s="6" t="s">
        <v>15</v>
      </c>
      <c r="D57">
        <v>10</v>
      </c>
      <c r="E57" s="6" t="s">
        <v>6</v>
      </c>
      <c r="F57" t="str">
        <f>_xlfn.XLOOKUP(northwind_order_details[[#This Row],[order_id]],northwind_orders[order_id],northwind_orders[ship_country])</f>
        <v>Venezuela</v>
      </c>
      <c r="G57">
        <f>INDEX(northwind_orders[],MATCH(northwind_order_details[[#This Row],[order_id]], northwind_orders[order_id], 0), MATCH("employee_id", northwind_orders[#Headers], 0))</f>
        <v>8</v>
      </c>
      <c r="H57">
        <f>northwind_order_details[[#This Row],[unit_price]]*northwind_order_details[[#This Row],[quantity]]</f>
        <v>990</v>
      </c>
      <c r="I57" s="1">
        <f>northwind_order_details[[#This Row],[purchase amount]]*northwind_order_details[[#This Row],[discount]]</f>
        <v>0</v>
      </c>
      <c r="J57" s="1">
        <f>northwind_order_details[[#This Row],[purchase amount]]-northwind_order_details[[#This Row],[discount amount]]</f>
        <v>990</v>
      </c>
      <c r="K57" s="6" t="str">
        <f>IF(northwind_order_details[[#This Row],[discount amount]]&gt;0,"Yes","No")</f>
        <v>No</v>
      </c>
      <c r="L57" s="1" t="str">
        <f>IF(northwind_order_details[[#This Row],[Revenue]]&gt;1000,"High",IF(northwind_order_details[[#This Row],[Revenue]]&gt;300,"Medium","Low"))</f>
        <v>Medium</v>
      </c>
      <c r="M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" spans="1:13" x14ac:dyDescent="0.25">
      <c r="A58">
        <v>10268</v>
      </c>
      <c r="B58">
        <v>72</v>
      </c>
      <c r="C58" s="6">
        <v>27.8</v>
      </c>
      <c r="D58">
        <v>4</v>
      </c>
      <c r="E58" s="6" t="s">
        <v>6</v>
      </c>
      <c r="F58" t="str">
        <f>_xlfn.XLOOKUP(northwind_order_details[[#This Row],[order_id]],northwind_orders[order_id],northwind_orders[ship_country])</f>
        <v>Venezuela</v>
      </c>
      <c r="G58">
        <f>INDEX(northwind_orders[],MATCH(northwind_order_details[[#This Row],[order_id]], northwind_orders[order_id], 0), MATCH("employee_id", northwind_orders[#Headers], 0))</f>
        <v>8</v>
      </c>
      <c r="H58">
        <f>northwind_order_details[[#This Row],[unit_price]]*northwind_order_details[[#This Row],[quantity]]</f>
        <v>111.2</v>
      </c>
      <c r="I58" s="1">
        <f>northwind_order_details[[#This Row],[purchase amount]]*northwind_order_details[[#This Row],[discount]]</f>
        <v>0</v>
      </c>
      <c r="J58" s="1">
        <f>northwind_order_details[[#This Row],[purchase amount]]-northwind_order_details[[#This Row],[discount amount]]</f>
        <v>111.2</v>
      </c>
      <c r="K58" s="6" t="str">
        <f>IF(northwind_order_details[[#This Row],[discount amount]]&gt;0,"Yes","No")</f>
        <v>No</v>
      </c>
      <c r="L58" s="1" t="str">
        <f>IF(northwind_order_details[[#This Row],[Revenue]]&gt;1000,"High",IF(northwind_order_details[[#This Row],[Revenue]]&gt;300,"Medium","Low"))</f>
        <v>Low</v>
      </c>
      <c r="M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" spans="1:13" x14ac:dyDescent="0.25">
      <c r="A59">
        <v>10269</v>
      </c>
      <c r="B59">
        <v>33</v>
      </c>
      <c r="C59" s="6" t="s">
        <v>7</v>
      </c>
      <c r="D59">
        <v>60</v>
      </c>
      <c r="E59" s="6">
        <v>0.05</v>
      </c>
      <c r="F59" t="str">
        <f>_xlfn.XLOOKUP(northwind_order_details[[#This Row],[order_id]],northwind_orders[order_id],northwind_orders[ship_country])</f>
        <v>USA</v>
      </c>
      <c r="G59">
        <f>INDEX(northwind_orders[],MATCH(northwind_order_details[[#This Row],[order_id]], northwind_orders[order_id], 0), MATCH("employee_id", northwind_orders[#Headers], 0))</f>
        <v>5</v>
      </c>
      <c r="H59">
        <f>northwind_order_details[[#This Row],[unit_price]]*northwind_order_details[[#This Row],[quantity]]</f>
        <v>120</v>
      </c>
      <c r="I59" s="1">
        <f>northwind_order_details[[#This Row],[purchase amount]]*northwind_order_details[[#This Row],[discount]]</f>
        <v>6</v>
      </c>
      <c r="J59" s="1">
        <f>northwind_order_details[[#This Row],[purchase amount]]-northwind_order_details[[#This Row],[discount amount]]</f>
        <v>114</v>
      </c>
      <c r="K59" s="6" t="str">
        <f>IF(northwind_order_details[[#This Row],[discount amount]]&gt;0,"Yes","No")</f>
        <v>Yes</v>
      </c>
      <c r="L59" s="1" t="str">
        <f>IF(northwind_order_details[[#This Row],[Revenue]]&gt;1000,"High",IF(northwind_order_details[[#This Row],[Revenue]]&gt;300,"Medium","Low"))</f>
        <v>Low</v>
      </c>
      <c r="M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" spans="1:13" x14ac:dyDescent="0.25">
      <c r="A60">
        <v>10269</v>
      </c>
      <c r="B60">
        <v>72</v>
      </c>
      <c r="C60" s="6">
        <v>27.8</v>
      </c>
      <c r="D60">
        <v>20</v>
      </c>
      <c r="E60" s="6">
        <v>0.05</v>
      </c>
      <c r="F60" t="str">
        <f>_xlfn.XLOOKUP(northwind_order_details[[#This Row],[order_id]],northwind_orders[order_id],northwind_orders[ship_country])</f>
        <v>USA</v>
      </c>
      <c r="G60">
        <f>INDEX(northwind_orders[],MATCH(northwind_order_details[[#This Row],[order_id]], northwind_orders[order_id], 0), MATCH("employee_id", northwind_orders[#Headers], 0))</f>
        <v>5</v>
      </c>
      <c r="H60">
        <f>northwind_order_details[[#This Row],[unit_price]]*northwind_order_details[[#This Row],[quantity]]</f>
        <v>556</v>
      </c>
      <c r="I60" s="1">
        <f>northwind_order_details[[#This Row],[purchase amount]]*northwind_order_details[[#This Row],[discount]]</f>
        <v>27.8</v>
      </c>
      <c r="J60" s="1">
        <f>northwind_order_details[[#This Row],[purchase amount]]-northwind_order_details[[#This Row],[discount amount]]</f>
        <v>528.20000000000005</v>
      </c>
      <c r="K60" s="6" t="str">
        <f>IF(northwind_order_details[[#This Row],[discount amount]]&gt;0,"Yes","No")</f>
        <v>Yes</v>
      </c>
      <c r="L60" s="1" t="str">
        <f>IF(northwind_order_details[[#This Row],[Revenue]]&gt;1000,"High",IF(northwind_order_details[[#This Row],[Revenue]]&gt;300,"Medium","Low"))</f>
        <v>Medium</v>
      </c>
      <c r="M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" spans="1:13" x14ac:dyDescent="0.25">
      <c r="A61">
        <v>10270</v>
      </c>
      <c r="B61">
        <v>36</v>
      </c>
      <c r="C61" s="6">
        <v>15.2</v>
      </c>
      <c r="D61">
        <v>30</v>
      </c>
      <c r="E61" s="6" t="s">
        <v>6</v>
      </c>
      <c r="F61" t="str">
        <f>_xlfn.XLOOKUP(northwind_order_details[[#This Row],[order_id]],northwind_orders[order_id],northwind_orders[ship_country])</f>
        <v>Finland</v>
      </c>
      <c r="G61">
        <f>INDEX(northwind_orders[],MATCH(northwind_order_details[[#This Row],[order_id]], northwind_orders[order_id], 0), MATCH("employee_id", northwind_orders[#Headers], 0))</f>
        <v>1</v>
      </c>
      <c r="H61">
        <f>northwind_order_details[[#This Row],[unit_price]]*northwind_order_details[[#This Row],[quantity]]</f>
        <v>456</v>
      </c>
      <c r="I61" s="1">
        <f>northwind_order_details[[#This Row],[purchase amount]]*northwind_order_details[[#This Row],[discount]]</f>
        <v>0</v>
      </c>
      <c r="J61" s="1">
        <f>northwind_order_details[[#This Row],[purchase amount]]-northwind_order_details[[#This Row],[discount amount]]</f>
        <v>456</v>
      </c>
      <c r="K61" s="6" t="str">
        <f>IF(northwind_order_details[[#This Row],[discount amount]]&gt;0,"Yes","No")</f>
        <v>No</v>
      </c>
      <c r="L61" s="1" t="str">
        <f>IF(northwind_order_details[[#This Row],[Revenue]]&gt;1000,"High",IF(northwind_order_details[[#This Row],[Revenue]]&gt;300,"Medium","Low"))</f>
        <v>Medium</v>
      </c>
      <c r="M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" spans="1:13" x14ac:dyDescent="0.25">
      <c r="A62">
        <v>10270</v>
      </c>
      <c r="B62">
        <v>43</v>
      </c>
      <c r="C62" s="6">
        <v>36.799999999999997</v>
      </c>
      <c r="D62">
        <v>25</v>
      </c>
      <c r="E62" s="6" t="s">
        <v>6</v>
      </c>
      <c r="F62" t="str">
        <f>_xlfn.XLOOKUP(northwind_order_details[[#This Row],[order_id]],northwind_orders[order_id],northwind_orders[ship_country])</f>
        <v>Finland</v>
      </c>
      <c r="G62">
        <f>INDEX(northwind_orders[],MATCH(northwind_order_details[[#This Row],[order_id]], northwind_orders[order_id], 0), MATCH("employee_id", northwind_orders[#Headers], 0))</f>
        <v>1</v>
      </c>
      <c r="H62">
        <f>northwind_order_details[[#This Row],[unit_price]]*northwind_order_details[[#This Row],[quantity]]</f>
        <v>919.99999999999989</v>
      </c>
      <c r="I62" s="1">
        <f>northwind_order_details[[#This Row],[purchase amount]]*northwind_order_details[[#This Row],[discount]]</f>
        <v>0</v>
      </c>
      <c r="J62" s="1">
        <f>northwind_order_details[[#This Row],[purchase amount]]-northwind_order_details[[#This Row],[discount amount]]</f>
        <v>919.99999999999989</v>
      </c>
      <c r="K62" s="6" t="str">
        <f>IF(northwind_order_details[[#This Row],[discount amount]]&gt;0,"Yes","No")</f>
        <v>No</v>
      </c>
      <c r="L62" s="1" t="str">
        <f>IF(northwind_order_details[[#This Row],[Revenue]]&gt;1000,"High",IF(northwind_order_details[[#This Row],[Revenue]]&gt;300,"Medium","Low"))</f>
        <v>Medium</v>
      </c>
      <c r="M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" spans="1:13" x14ac:dyDescent="0.25">
      <c r="A63">
        <v>10271</v>
      </c>
      <c r="B63">
        <v>33</v>
      </c>
      <c r="C63" s="6" t="s">
        <v>7</v>
      </c>
      <c r="D63">
        <v>24</v>
      </c>
      <c r="E63" s="6" t="s">
        <v>6</v>
      </c>
      <c r="F63" t="str">
        <f>_xlfn.XLOOKUP(northwind_order_details[[#This Row],[order_id]],northwind_orders[order_id],northwind_orders[ship_country])</f>
        <v>USA</v>
      </c>
      <c r="G63">
        <f>INDEX(northwind_orders[],MATCH(northwind_order_details[[#This Row],[order_id]], northwind_orders[order_id], 0), MATCH("employee_id", northwind_orders[#Headers], 0))</f>
        <v>6</v>
      </c>
      <c r="H63">
        <f>northwind_order_details[[#This Row],[unit_price]]*northwind_order_details[[#This Row],[quantity]]</f>
        <v>48</v>
      </c>
      <c r="I63" s="1">
        <f>northwind_order_details[[#This Row],[purchase amount]]*northwind_order_details[[#This Row],[discount]]</f>
        <v>0</v>
      </c>
      <c r="J63" s="1">
        <f>northwind_order_details[[#This Row],[purchase amount]]-northwind_order_details[[#This Row],[discount amount]]</f>
        <v>48</v>
      </c>
      <c r="K63" s="6" t="str">
        <f>IF(northwind_order_details[[#This Row],[discount amount]]&gt;0,"Yes","No")</f>
        <v>No</v>
      </c>
      <c r="L63" s="1" t="str">
        <f>IF(northwind_order_details[[#This Row],[Revenue]]&gt;1000,"High",IF(northwind_order_details[[#This Row],[Revenue]]&gt;300,"Medium","Low"))</f>
        <v>Low</v>
      </c>
      <c r="M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4" spans="1:13" x14ac:dyDescent="0.25">
      <c r="A64">
        <v>10272</v>
      </c>
      <c r="B64">
        <v>20</v>
      </c>
      <c r="C64" s="6">
        <v>64.8</v>
      </c>
      <c r="D64">
        <v>6</v>
      </c>
      <c r="E64" s="6" t="s">
        <v>6</v>
      </c>
      <c r="F64" t="str">
        <f>_xlfn.XLOOKUP(northwind_order_details[[#This Row],[order_id]],northwind_orders[order_id],northwind_orders[ship_country])</f>
        <v>USA</v>
      </c>
      <c r="G64">
        <f>INDEX(northwind_orders[],MATCH(northwind_order_details[[#This Row],[order_id]], northwind_orders[order_id], 0), MATCH("employee_id", northwind_orders[#Headers], 0))</f>
        <v>6</v>
      </c>
      <c r="H64">
        <f>northwind_order_details[[#This Row],[unit_price]]*northwind_order_details[[#This Row],[quantity]]</f>
        <v>388.79999999999995</v>
      </c>
      <c r="I64" s="1">
        <f>northwind_order_details[[#This Row],[purchase amount]]*northwind_order_details[[#This Row],[discount]]</f>
        <v>0</v>
      </c>
      <c r="J64" s="1">
        <f>northwind_order_details[[#This Row],[purchase amount]]-northwind_order_details[[#This Row],[discount amount]]</f>
        <v>388.79999999999995</v>
      </c>
      <c r="K64" s="6" t="str">
        <f>IF(northwind_order_details[[#This Row],[discount amount]]&gt;0,"Yes","No")</f>
        <v>No</v>
      </c>
      <c r="L64" s="1" t="str">
        <f>IF(northwind_order_details[[#This Row],[Revenue]]&gt;1000,"High",IF(northwind_order_details[[#This Row],[Revenue]]&gt;300,"Medium","Low"))</f>
        <v>Medium</v>
      </c>
      <c r="M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" spans="1:13" x14ac:dyDescent="0.25">
      <c r="A65">
        <v>10272</v>
      </c>
      <c r="B65">
        <v>31</v>
      </c>
      <c r="C65" s="6" t="s">
        <v>8</v>
      </c>
      <c r="D65">
        <v>40</v>
      </c>
      <c r="E65" s="6" t="s">
        <v>6</v>
      </c>
      <c r="F65" t="str">
        <f>_xlfn.XLOOKUP(northwind_order_details[[#This Row],[order_id]],northwind_orders[order_id],northwind_orders[ship_country])</f>
        <v>USA</v>
      </c>
      <c r="G65">
        <f>INDEX(northwind_orders[],MATCH(northwind_order_details[[#This Row],[order_id]], northwind_orders[order_id], 0), MATCH("employee_id", northwind_orders[#Headers], 0))</f>
        <v>6</v>
      </c>
      <c r="H65">
        <f>northwind_order_details[[#This Row],[unit_price]]*northwind_order_details[[#This Row],[quantity]]</f>
        <v>400</v>
      </c>
      <c r="I65" s="1">
        <f>northwind_order_details[[#This Row],[purchase amount]]*northwind_order_details[[#This Row],[discount]]</f>
        <v>0</v>
      </c>
      <c r="J65" s="1">
        <f>northwind_order_details[[#This Row],[purchase amount]]-northwind_order_details[[#This Row],[discount amount]]</f>
        <v>400</v>
      </c>
      <c r="K65" s="6" t="str">
        <f>IF(northwind_order_details[[#This Row],[discount amount]]&gt;0,"Yes","No")</f>
        <v>No</v>
      </c>
      <c r="L65" s="1" t="str">
        <f>IF(northwind_order_details[[#This Row],[Revenue]]&gt;1000,"High",IF(northwind_order_details[[#This Row],[Revenue]]&gt;300,"Medium","Low"))</f>
        <v>Medium</v>
      </c>
      <c r="M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6" spans="1:13" x14ac:dyDescent="0.25">
      <c r="A66">
        <v>10272</v>
      </c>
      <c r="B66">
        <v>72</v>
      </c>
      <c r="C66" s="6">
        <v>27.8</v>
      </c>
      <c r="D66">
        <v>24</v>
      </c>
      <c r="E66" s="6" t="s">
        <v>6</v>
      </c>
      <c r="F66" t="str">
        <f>_xlfn.XLOOKUP(northwind_order_details[[#This Row],[order_id]],northwind_orders[order_id],northwind_orders[ship_country])</f>
        <v>USA</v>
      </c>
      <c r="G66">
        <f>INDEX(northwind_orders[],MATCH(northwind_order_details[[#This Row],[order_id]], northwind_orders[order_id], 0), MATCH("employee_id", northwind_orders[#Headers], 0))</f>
        <v>6</v>
      </c>
      <c r="H66">
        <f>northwind_order_details[[#This Row],[unit_price]]*northwind_order_details[[#This Row],[quantity]]</f>
        <v>667.2</v>
      </c>
      <c r="I66" s="1">
        <f>northwind_order_details[[#This Row],[purchase amount]]*northwind_order_details[[#This Row],[discount]]</f>
        <v>0</v>
      </c>
      <c r="J66" s="1">
        <f>northwind_order_details[[#This Row],[purchase amount]]-northwind_order_details[[#This Row],[discount amount]]</f>
        <v>667.2</v>
      </c>
      <c r="K66" s="6" t="str">
        <f>IF(northwind_order_details[[#This Row],[discount amount]]&gt;0,"Yes","No")</f>
        <v>No</v>
      </c>
      <c r="L66" s="1" t="str">
        <f>IF(northwind_order_details[[#This Row],[Revenue]]&gt;1000,"High",IF(northwind_order_details[[#This Row],[Revenue]]&gt;300,"Medium","Low"))</f>
        <v>Medium</v>
      </c>
      <c r="M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" spans="1:13" x14ac:dyDescent="0.25">
      <c r="A67">
        <v>10273</v>
      </c>
      <c r="B67">
        <v>10</v>
      </c>
      <c r="C67" s="6">
        <v>24.8</v>
      </c>
      <c r="D67">
        <v>24</v>
      </c>
      <c r="E67" s="6">
        <v>0.05</v>
      </c>
      <c r="F67" t="str">
        <f>_xlfn.XLOOKUP(northwind_order_details[[#This Row],[order_id]],northwind_orders[order_id],northwind_orders[ship_country])</f>
        <v>Germany</v>
      </c>
      <c r="G67">
        <f>INDEX(northwind_orders[],MATCH(northwind_order_details[[#This Row],[order_id]], northwind_orders[order_id], 0), MATCH("employee_id", northwind_orders[#Headers], 0))</f>
        <v>3</v>
      </c>
      <c r="H67">
        <f>northwind_order_details[[#This Row],[unit_price]]*northwind_order_details[[#This Row],[quantity]]</f>
        <v>595.20000000000005</v>
      </c>
      <c r="I67" s="1">
        <f>northwind_order_details[[#This Row],[purchase amount]]*northwind_order_details[[#This Row],[discount]]</f>
        <v>29.760000000000005</v>
      </c>
      <c r="J67" s="1">
        <f>northwind_order_details[[#This Row],[purchase amount]]-northwind_order_details[[#This Row],[discount amount]]</f>
        <v>565.44000000000005</v>
      </c>
      <c r="K67" s="6" t="str">
        <f>IF(northwind_order_details[[#This Row],[discount amount]]&gt;0,"Yes","No")</f>
        <v>Yes</v>
      </c>
      <c r="L67" s="1" t="str">
        <f>IF(northwind_order_details[[#This Row],[Revenue]]&gt;1000,"High",IF(northwind_order_details[[#This Row],[Revenue]]&gt;300,"Medium","Low"))</f>
        <v>Medium</v>
      </c>
      <c r="M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8" spans="1:13" x14ac:dyDescent="0.25">
      <c r="A68">
        <v>10273</v>
      </c>
      <c r="B68">
        <v>31</v>
      </c>
      <c r="C68" s="6" t="s">
        <v>8</v>
      </c>
      <c r="D68">
        <v>15</v>
      </c>
      <c r="E68" s="6">
        <v>0.05</v>
      </c>
      <c r="F68" t="str">
        <f>_xlfn.XLOOKUP(northwind_order_details[[#This Row],[order_id]],northwind_orders[order_id],northwind_orders[ship_country])</f>
        <v>Germany</v>
      </c>
      <c r="G68">
        <f>INDEX(northwind_orders[],MATCH(northwind_order_details[[#This Row],[order_id]], northwind_orders[order_id], 0), MATCH("employee_id", northwind_orders[#Headers], 0))</f>
        <v>3</v>
      </c>
      <c r="H68">
        <f>northwind_order_details[[#This Row],[unit_price]]*northwind_order_details[[#This Row],[quantity]]</f>
        <v>150</v>
      </c>
      <c r="I68" s="1">
        <f>northwind_order_details[[#This Row],[purchase amount]]*northwind_order_details[[#This Row],[discount]]</f>
        <v>7.5</v>
      </c>
      <c r="J68" s="1">
        <f>northwind_order_details[[#This Row],[purchase amount]]-northwind_order_details[[#This Row],[discount amount]]</f>
        <v>142.5</v>
      </c>
      <c r="K68" s="6" t="str">
        <f>IF(northwind_order_details[[#This Row],[discount amount]]&gt;0,"Yes","No")</f>
        <v>Yes</v>
      </c>
      <c r="L68" s="1" t="str">
        <f>IF(northwind_order_details[[#This Row],[Revenue]]&gt;1000,"High",IF(northwind_order_details[[#This Row],[Revenue]]&gt;300,"Medium","Low"))</f>
        <v>Low</v>
      </c>
      <c r="M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9" spans="1:13" x14ac:dyDescent="0.25">
      <c r="A69">
        <v>10273</v>
      </c>
      <c r="B69">
        <v>33</v>
      </c>
      <c r="C69" s="6" t="s">
        <v>7</v>
      </c>
      <c r="D69">
        <v>20</v>
      </c>
      <c r="E69" s="6" t="s">
        <v>6</v>
      </c>
      <c r="F69" t="str">
        <f>_xlfn.XLOOKUP(northwind_order_details[[#This Row],[order_id]],northwind_orders[order_id],northwind_orders[ship_country])</f>
        <v>Germany</v>
      </c>
      <c r="G69">
        <f>INDEX(northwind_orders[],MATCH(northwind_order_details[[#This Row],[order_id]], northwind_orders[order_id], 0), MATCH("employee_id", northwind_orders[#Headers], 0))</f>
        <v>3</v>
      </c>
      <c r="H69">
        <f>northwind_order_details[[#This Row],[unit_price]]*northwind_order_details[[#This Row],[quantity]]</f>
        <v>40</v>
      </c>
      <c r="I69" s="1">
        <f>northwind_order_details[[#This Row],[purchase amount]]*northwind_order_details[[#This Row],[discount]]</f>
        <v>0</v>
      </c>
      <c r="J69" s="1">
        <f>northwind_order_details[[#This Row],[purchase amount]]-northwind_order_details[[#This Row],[discount amount]]</f>
        <v>40</v>
      </c>
      <c r="K69" s="6" t="str">
        <f>IF(northwind_order_details[[#This Row],[discount amount]]&gt;0,"Yes","No")</f>
        <v>No</v>
      </c>
      <c r="L69" s="1" t="str">
        <f>IF(northwind_order_details[[#This Row],[Revenue]]&gt;1000,"High",IF(northwind_order_details[[#This Row],[Revenue]]&gt;300,"Medium","Low"))</f>
        <v>Low</v>
      </c>
      <c r="M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" spans="1:13" x14ac:dyDescent="0.25">
      <c r="A70">
        <v>10273</v>
      </c>
      <c r="B70">
        <v>40</v>
      </c>
      <c r="C70" s="6">
        <v>14.7</v>
      </c>
      <c r="D70">
        <v>60</v>
      </c>
      <c r="E70" s="6">
        <v>0.05</v>
      </c>
      <c r="F70" t="str">
        <f>_xlfn.XLOOKUP(northwind_order_details[[#This Row],[order_id]],northwind_orders[order_id],northwind_orders[ship_country])</f>
        <v>Germany</v>
      </c>
      <c r="G70">
        <f>INDEX(northwind_orders[],MATCH(northwind_order_details[[#This Row],[order_id]], northwind_orders[order_id], 0), MATCH("employee_id", northwind_orders[#Headers], 0))</f>
        <v>3</v>
      </c>
      <c r="H70">
        <f>northwind_order_details[[#This Row],[unit_price]]*northwind_order_details[[#This Row],[quantity]]</f>
        <v>882</v>
      </c>
      <c r="I70" s="1">
        <f>northwind_order_details[[#This Row],[purchase amount]]*northwind_order_details[[#This Row],[discount]]</f>
        <v>44.1</v>
      </c>
      <c r="J70" s="1">
        <f>northwind_order_details[[#This Row],[purchase amount]]-northwind_order_details[[#This Row],[discount amount]]</f>
        <v>837.9</v>
      </c>
      <c r="K70" s="6" t="str">
        <f>IF(northwind_order_details[[#This Row],[discount amount]]&gt;0,"Yes","No")</f>
        <v>Yes</v>
      </c>
      <c r="L70" s="1" t="str">
        <f>IF(northwind_order_details[[#This Row],[Revenue]]&gt;1000,"High",IF(northwind_order_details[[#This Row],[Revenue]]&gt;300,"Medium","Low"))</f>
        <v>Medium</v>
      </c>
      <c r="M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" spans="1:13" x14ac:dyDescent="0.25">
      <c r="A71">
        <v>10273</v>
      </c>
      <c r="B71">
        <v>76</v>
      </c>
      <c r="C71" s="6">
        <v>14.4</v>
      </c>
      <c r="D71">
        <v>33</v>
      </c>
      <c r="E71" s="6">
        <v>0.05</v>
      </c>
      <c r="F71" t="str">
        <f>_xlfn.XLOOKUP(northwind_order_details[[#This Row],[order_id]],northwind_orders[order_id],northwind_orders[ship_country])</f>
        <v>Germany</v>
      </c>
      <c r="G71">
        <f>INDEX(northwind_orders[],MATCH(northwind_order_details[[#This Row],[order_id]], northwind_orders[order_id], 0), MATCH("employee_id", northwind_orders[#Headers], 0))</f>
        <v>3</v>
      </c>
      <c r="H71">
        <f>northwind_order_details[[#This Row],[unit_price]]*northwind_order_details[[#This Row],[quantity]]</f>
        <v>475.2</v>
      </c>
      <c r="I71" s="1">
        <f>northwind_order_details[[#This Row],[purchase amount]]*northwind_order_details[[#This Row],[discount]]</f>
        <v>23.76</v>
      </c>
      <c r="J71" s="1">
        <f>northwind_order_details[[#This Row],[purchase amount]]-northwind_order_details[[#This Row],[discount amount]]</f>
        <v>451.44</v>
      </c>
      <c r="K71" s="6" t="str">
        <f>IF(northwind_order_details[[#This Row],[discount amount]]&gt;0,"Yes","No")</f>
        <v>Yes</v>
      </c>
      <c r="L71" s="1" t="str">
        <f>IF(northwind_order_details[[#This Row],[Revenue]]&gt;1000,"High",IF(northwind_order_details[[#This Row],[Revenue]]&gt;300,"Medium","Low"))</f>
        <v>Medium</v>
      </c>
      <c r="M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" spans="1:13" x14ac:dyDescent="0.25">
      <c r="A72">
        <v>10274</v>
      </c>
      <c r="B72">
        <v>71</v>
      </c>
      <c r="C72" s="6">
        <v>17.2</v>
      </c>
      <c r="D72">
        <v>20</v>
      </c>
      <c r="E72" s="6" t="s">
        <v>6</v>
      </c>
      <c r="F72" t="str">
        <f>_xlfn.XLOOKUP(northwind_order_details[[#This Row],[order_id]],northwind_orders[order_id],northwind_orders[ship_country])</f>
        <v>France</v>
      </c>
      <c r="G72">
        <f>INDEX(northwind_orders[],MATCH(northwind_order_details[[#This Row],[order_id]], northwind_orders[order_id], 0), MATCH("employee_id", northwind_orders[#Headers], 0))</f>
        <v>6</v>
      </c>
      <c r="H72">
        <f>northwind_order_details[[#This Row],[unit_price]]*northwind_order_details[[#This Row],[quantity]]</f>
        <v>344</v>
      </c>
      <c r="I72" s="1">
        <f>northwind_order_details[[#This Row],[purchase amount]]*northwind_order_details[[#This Row],[discount]]</f>
        <v>0</v>
      </c>
      <c r="J72" s="1">
        <f>northwind_order_details[[#This Row],[purchase amount]]-northwind_order_details[[#This Row],[discount amount]]</f>
        <v>344</v>
      </c>
      <c r="K72" s="6" t="str">
        <f>IF(northwind_order_details[[#This Row],[discount amount]]&gt;0,"Yes","No")</f>
        <v>No</v>
      </c>
      <c r="L72" s="1" t="str">
        <f>IF(northwind_order_details[[#This Row],[Revenue]]&gt;1000,"High",IF(northwind_order_details[[#This Row],[Revenue]]&gt;300,"Medium","Low"))</f>
        <v>Medium</v>
      </c>
      <c r="M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3" spans="1:13" x14ac:dyDescent="0.25">
      <c r="A73">
        <v>10274</v>
      </c>
      <c r="B73">
        <v>72</v>
      </c>
      <c r="C73" s="6">
        <v>27.8</v>
      </c>
      <c r="D73">
        <v>7</v>
      </c>
      <c r="E73" s="6" t="s">
        <v>6</v>
      </c>
      <c r="F73" t="str">
        <f>_xlfn.XLOOKUP(northwind_order_details[[#This Row],[order_id]],northwind_orders[order_id],northwind_orders[ship_country])</f>
        <v>France</v>
      </c>
      <c r="G73">
        <f>INDEX(northwind_orders[],MATCH(northwind_order_details[[#This Row],[order_id]], northwind_orders[order_id], 0), MATCH("employee_id", northwind_orders[#Headers], 0))</f>
        <v>6</v>
      </c>
      <c r="H73">
        <f>northwind_order_details[[#This Row],[unit_price]]*northwind_order_details[[#This Row],[quantity]]</f>
        <v>194.6</v>
      </c>
      <c r="I73" s="1">
        <f>northwind_order_details[[#This Row],[purchase amount]]*northwind_order_details[[#This Row],[discount]]</f>
        <v>0</v>
      </c>
      <c r="J73" s="1">
        <f>northwind_order_details[[#This Row],[purchase amount]]-northwind_order_details[[#This Row],[discount amount]]</f>
        <v>194.6</v>
      </c>
      <c r="K73" s="6" t="str">
        <f>IF(northwind_order_details[[#This Row],[discount amount]]&gt;0,"Yes","No")</f>
        <v>No</v>
      </c>
      <c r="L73" s="1" t="str">
        <f>IF(northwind_order_details[[#This Row],[Revenue]]&gt;1000,"High",IF(northwind_order_details[[#This Row],[Revenue]]&gt;300,"Medium","Low"))</f>
        <v>Low</v>
      </c>
      <c r="M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4" spans="1:13" x14ac:dyDescent="0.25">
      <c r="A74">
        <v>10275</v>
      </c>
      <c r="B74">
        <v>24</v>
      </c>
      <c r="C74" s="6">
        <v>3.6</v>
      </c>
      <c r="D74">
        <v>12</v>
      </c>
      <c r="E74" s="6">
        <v>0.05</v>
      </c>
      <c r="F74" t="str">
        <f>_xlfn.XLOOKUP(northwind_order_details[[#This Row],[order_id]],northwind_orders[order_id],northwind_orders[ship_country])</f>
        <v>Italy</v>
      </c>
      <c r="G74">
        <f>INDEX(northwind_orders[],MATCH(northwind_order_details[[#This Row],[order_id]], northwind_orders[order_id], 0), MATCH("employee_id", northwind_orders[#Headers], 0))</f>
        <v>1</v>
      </c>
      <c r="H74">
        <f>northwind_order_details[[#This Row],[unit_price]]*northwind_order_details[[#This Row],[quantity]]</f>
        <v>43.2</v>
      </c>
      <c r="I74" s="1">
        <f>northwind_order_details[[#This Row],[purchase amount]]*northwind_order_details[[#This Row],[discount]]</f>
        <v>2.16</v>
      </c>
      <c r="J74" s="1">
        <f>northwind_order_details[[#This Row],[purchase amount]]-northwind_order_details[[#This Row],[discount amount]]</f>
        <v>41.040000000000006</v>
      </c>
      <c r="K74" s="6" t="str">
        <f>IF(northwind_order_details[[#This Row],[discount amount]]&gt;0,"Yes","No")</f>
        <v>Yes</v>
      </c>
      <c r="L74" s="1" t="str">
        <f>IF(northwind_order_details[[#This Row],[Revenue]]&gt;1000,"High",IF(northwind_order_details[[#This Row],[Revenue]]&gt;300,"Medium","Low"))</f>
        <v>Low</v>
      </c>
      <c r="M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" spans="1:13" x14ac:dyDescent="0.25">
      <c r="A75">
        <v>10275</v>
      </c>
      <c r="B75">
        <v>59</v>
      </c>
      <c r="C75" s="6" t="s">
        <v>11</v>
      </c>
      <c r="D75">
        <v>6</v>
      </c>
      <c r="E75" s="6">
        <v>0.05</v>
      </c>
      <c r="F75" t="str">
        <f>_xlfn.XLOOKUP(northwind_order_details[[#This Row],[order_id]],northwind_orders[order_id],northwind_orders[ship_country])</f>
        <v>Italy</v>
      </c>
      <c r="G75">
        <f>INDEX(northwind_orders[],MATCH(northwind_order_details[[#This Row],[order_id]], northwind_orders[order_id], 0), MATCH("employee_id", northwind_orders[#Headers], 0))</f>
        <v>1</v>
      </c>
      <c r="H75">
        <f>northwind_order_details[[#This Row],[unit_price]]*northwind_order_details[[#This Row],[quantity]]</f>
        <v>264</v>
      </c>
      <c r="I75" s="1">
        <f>northwind_order_details[[#This Row],[purchase amount]]*northwind_order_details[[#This Row],[discount]]</f>
        <v>13.200000000000001</v>
      </c>
      <c r="J75" s="1">
        <f>northwind_order_details[[#This Row],[purchase amount]]-northwind_order_details[[#This Row],[discount amount]]</f>
        <v>250.8</v>
      </c>
      <c r="K75" s="6" t="str">
        <f>IF(northwind_order_details[[#This Row],[discount amount]]&gt;0,"Yes","No")</f>
        <v>Yes</v>
      </c>
      <c r="L75" s="1" t="str">
        <f>IF(northwind_order_details[[#This Row],[Revenue]]&gt;1000,"High",IF(northwind_order_details[[#This Row],[Revenue]]&gt;300,"Medium","Low"))</f>
        <v>Low</v>
      </c>
      <c r="M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6" spans="1:13" x14ac:dyDescent="0.25">
      <c r="A76">
        <v>10276</v>
      </c>
      <c r="B76">
        <v>10</v>
      </c>
      <c r="C76" s="6">
        <v>24.8</v>
      </c>
      <c r="D76">
        <v>15</v>
      </c>
      <c r="E76" s="6" t="s">
        <v>6</v>
      </c>
      <c r="F76" t="str">
        <f>_xlfn.XLOOKUP(northwind_order_details[[#This Row],[order_id]],northwind_orders[order_id],northwind_orders[ship_country])</f>
        <v>Mexico</v>
      </c>
      <c r="G76">
        <f>INDEX(northwind_orders[],MATCH(northwind_order_details[[#This Row],[order_id]], northwind_orders[order_id], 0), MATCH("employee_id", northwind_orders[#Headers], 0))</f>
        <v>8</v>
      </c>
      <c r="H76">
        <f>northwind_order_details[[#This Row],[unit_price]]*northwind_order_details[[#This Row],[quantity]]</f>
        <v>372</v>
      </c>
      <c r="I76" s="1">
        <f>northwind_order_details[[#This Row],[purchase amount]]*northwind_order_details[[#This Row],[discount]]</f>
        <v>0</v>
      </c>
      <c r="J76" s="1">
        <f>northwind_order_details[[#This Row],[purchase amount]]-northwind_order_details[[#This Row],[discount amount]]</f>
        <v>372</v>
      </c>
      <c r="K76" s="6" t="str">
        <f>IF(northwind_order_details[[#This Row],[discount amount]]&gt;0,"Yes","No")</f>
        <v>No</v>
      </c>
      <c r="L76" s="1" t="str">
        <f>IF(northwind_order_details[[#This Row],[Revenue]]&gt;1000,"High",IF(northwind_order_details[[#This Row],[Revenue]]&gt;300,"Medium","Low"))</f>
        <v>Medium</v>
      </c>
      <c r="M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" spans="1:13" x14ac:dyDescent="0.25">
      <c r="A77">
        <v>10276</v>
      </c>
      <c r="B77">
        <v>13</v>
      </c>
      <c r="C77" s="6">
        <v>4.8</v>
      </c>
      <c r="D77">
        <v>10</v>
      </c>
      <c r="E77" s="6" t="s">
        <v>6</v>
      </c>
      <c r="F77" t="str">
        <f>_xlfn.XLOOKUP(northwind_order_details[[#This Row],[order_id]],northwind_orders[order_id],northwind_orders[ship_country])</f>
        <v>Mexico</v>
      </c>
      <c r="G77">
        <f>INDEX(northwind_orders[],MATCH(northwind_order_details[[#This Row],[order_id]], northwind_orders[order_id], 0), MATCH("employee_id", northwind_orders[#Headers], 0))</f>
        <v>8</v>
      </c>
      <c r="H77">
        <f>northwind_order_details[[#This Row],[unit_price]]*northwind_order_details[[#This Row],[quantity]]</f>
        <v>48</v>
      </c>
      <c r="I77" s="1">
        <f>northwind_order_details[[#This Row],[purchase amount]]*northwind_order_details[[#This Row],[discount]]</f>
        <v>0</v>
      </c>
      <c r="J77" s="1">
        <f>northwind_order_details[[#This Row],[purchase amount]]-northwind_order_details[[#This Row],[discount amount]]</f>
        <v>48</v>
      </c>
      <c r="K77" s="6" t="str">
        <f>IF(northwind_order_details[[#This Row],[discount amount]]&gt;0,"Yes","No")</f>
        <v>No</v>
      </c>
      <c r="L77" s="1" t="str">
        <f>IF(northwind_order_details[[#This Row],[Revenue]]&gt;1000,"High",IF(northwind_order_details[[#This Row],[Revenue]]&gt;300,"Medium","Low"))</f>
        <v>Low</v>
      </c>
      <c r="M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8" spans="1:13" x14ac:dyDescent="0.25">
      <c r="A78">
        <v>10277</v>
      </c>
      <c r="B78">
        <v>28</v>
      </c>
      <c r="C78" s="6">
        <v>36.4</v>
      </c>
      <c r="D78">
        <v>20</v>
      </c>
      <c r="E78" s="6" t="s">
        <v>6</v>
      </c>
      <c r="F78" t="str">
        <f>_xlfn.XLOOKUP(northwind_order_details[[#This Row],[order_id]],northwind_orders[order_id],northwind_orders[ship_country])</f>
        <v>Germany</v>
      </c>
      <c r="G78">
        <f>INDEX(northwind_orders[],MATCH(northwind_order_details[[#This Row],[order_id]], northwind_orders[order_id], 0), MATCH("employee_id", northwind_orders[#Headers], 0))</f>
        <v>2</v>
      </c>
      <c r="H78">
        <f>northwind_order_details[[#This Row],[unit_price]]*northwind_order_details[[#This Row],[quantity]]</f>
        <v>728</v>
      </c>
      <c r="I78" s="1">
        <f>northwind_order_details[[#This Row],[purchase amount]]*northwind_order_details[[#This Row],[discount]]</f>
        <v>0</v>
      </c>
      <c r="J78" s="1">
        <f>northwind_order_details[[#This Row],[purchase amount]]-northwind_order_details[[#This Row],[discount amount]]</f>
        <v>728</v>
      </c>
      <c r="K78" s="6" t="str">
        <f>IF(northwind_order_details[[#This Row],[discount amount]]&gt;0,"Yes","No")</f>
        <v>No</v>
      </c>
      <c r="L78" s="1" t="str">
        <f>IF(northwind_order_details[[#This Row],[Revenue]]&gt;1000,"High",IF(northwind_order_details[[#This Row],[Revenue]]&gt;300,"Medium","Low"))</f>
        <v>Medium</v>
      </c>
      <c r="M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9" spans="1:13" x14ac:dyDescent="0.25">
      <c r="A79">
        <v>10277</v>
      </c>
      <c r="B79">
        <v>62</v>
      </c>
      <c r="C79" s="6">
        <v>39.4</v>
      </c>
      <c r="D79">
        <v>12</v>
      </c>
      <c r="E79" s="6" t="s">
        <v>6</v>
      </c>
      <c r="F79" t="str">
        <f>_xlfn.XLOOKUP(northwind_order_details[[#This Row],[order_id]],northwind_orders[order_id],northwind_orders[ship_country])</f>
        <v>Germany</v>
      </c>
      <c r="G79">
        <f>INDEX(northwind_orders[],MATCH(northwind_order_details[[#This Row],[order_id]], northwind_orders[order_id], 0), MATCH("employee_id", northwind_orders[#Headers], 0))</f>
        <v>2</v>
      </c>
      <c r="H79">
        <f>northwind_order_details[[#This Row],[unit_price]]*northwind_order_details[[#This Row],[quantity]]</f>
        <v>472.79999999999995</v>
      </c>
      <c r="I79" s="1">
        <f>northwind_order_details[[#This Row],[purchase amount]]*northwind_order_details[[#This Row],[discount]]</f>
        <v>0</v>
      </c>
      <c r="J79" s="1">
        <f>northwind_order_details[[#This Row],[purchase amount]]-northwind_order_details[[#This Row],[discount amount]]</f>
        <v>472.79999999999995</v>
      </c>
      <c r="K79" s="6" t="str">
        <f>IF(northwind_order_details[[#This Row],[discount amount]]&gt;0,"Yes","No")</f>
        <v>No</v>
      </c>
      <c r="L79" s="1" t="str">
        <f>IF(northwind_order_details[[#This Row],[Revenue]]&gt;1000,"High",IF(northwind_order_details[[#This Row],[Revenue]]&gt;300,"Medium","Low"))</f>
        <v>Medium</v>
      </c>
      <c r="M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0" spans="1:13" x14ac:dyDescent="0.25">
      <c r="A80">
        <v>10278</v>
      </c>
      <c r="B80">
        <v>44</v>
      </c>
      <c r="C80" s="6">
        <v>15.5</v>
      </c>
      <c r="D80">
        <v>16</v>
      </c>
      <c r="E80" s="6" t="s">
        <v>6</v>
      </c>
      <c r="F80" t="str">
        <f>_xlfn.XLOOKUP(northwind_order_details[[#This Row],[order_id]],northwind_orders[order_id],northwind_orders[ship_country])</f>
        <v>Sweden</v>
      </c>
      <c r="G80">
        <f>INDEX(northwind_orders[],MATCH(northwind_order_details[[#This Row],[order_id]], northwind_orders[order_id], 0), MATCH("employee_id", northwind_orders[#Headers], 0))</f>
        <v>8</v>
      </c>
      <c r="H80">
        <f>northwind_order_details[[#This Row],[unit_price]]*northwind_order_details[[#This Row],[quantity]]</f>
        <v>248</v>
      </c>
      <c r="I80" s="1">
        <f>northwind_order_details[[#This Row],[purchase amount]]*northwind_order_details[[#This Row],[discount]]</f>
        <v>0</v>
      </c>
      <c r="J80" s="1">
        <f>northwind_order_details[[#This Row],[purchase amount]]-northwind_order_details[[#This Row],[discount amount]]</f>
        <v>248</v>
      </c>
      <c r="K80" s="6" t="str">
        <f>IF(northwind_order_details[[#This Row],[discount amount]]&gt;0,"Yes","No")</f>
        <v>No</v>
      </c>
      <c r="L80" s="1" t="str">
        <f>IF(northwind_order_details[[#This Row],[Revenue]]&gt;1000,"High",IF(northwind_order_details[[#This Row],[Revenue]]&gt;300,"Medium","Low"))</f>
        <v>Low</v>
      </c>
      <c r="M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1" spans="1:13" x14ac:dyDescent="0.25">
      <c r="A81">
        <v>10278</v>
      </c>
      <c r="B81">
        <v>59</v>
      </c>
      <c r="C81" s="6" t="s">
        <v>11</v>
      </c>
      <c r="D81">
        <v>15</v>
      </c>
      <c r="E81" s="6" t="s">
        <v>6</v>
      </c>
      <c r="F81" t="str">
        <f>_xlfn.XLOOKUP(northwind_order_details[[#This Row],[order_id]],northwind_orders[order_id],northwind_orders[ship_country])</f>
        <v>Sweden</v>
      </c>
      <c r="G81">
        <f>INDEX(northwind_orders[],MATCH(northwind_order_details[[#This Row],[order_id]], northwind_orders[order_id], 0), MATCH("employee_id", northwind_orders[#Headers], 0))</f>
        <v>8</v>
      </c>
      <c r="H81">
        <f>northwind_order_details[[#This Row],[unit_price]]*northwind_order_details[[#This Row],[quantity]]</f>
        <v>660</v>
      </c>
      <c r="I81" s="1">
        <f>northwind_order_details[[#This Row],[purchase amount]]*northwind_order_details[[#This Row],[discount]]</f>
        <v>0</v>
      </c>
      <c r="J81" s="1">
        <f>northwind_order_details[[#This Row],[purchase amount]]-northwind_order_details[[#This Row],[discount amount]]</f>
        <v>660</v>
      </c>
      <c r="K81" s="6" t="str">
        <f>IF(northwind_order_details[[#This Row],[discount amount]]&gt;0,"Yes","No")</f>
        <v>No</v>
      </c>
      <c r="L81" s="1" t="str">
        <f>IF(northwind_order_details[[#This Row],[Revenue]]&gt;1000,"High",IF(northwind_order_details[[#This Row],[Revenue]]&gt;300,"Medium","Low"))</f>
        <v>Medium</v>
      </c>
      <c r="M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2" spans="1:13" x14ac:dyDescent="0.25">
      <c r="A82">
        <v>10278</v>
      </c>
      <c r="B82">
        <v>63</v>
      </c>
      <c r="C82" s="6">
        <v>35.1</v>
      </c>
      <c r="D82">
        <v>8</v>
      </c>
      <c r="E82" s="6" t="s">
        <v>6</v>
      </c>
      <c r="F82" t="str">
        <f>_xlfn.XLOOKUP(northwind_order_details[[#This Row],[order_id]],northwind_orders[order_id],northwind_orders[ship_country])</f>
        <v>Sweden</v>
      </c>
      <c r="G82">
        <f>INDEX(northwind_orders[],MATCH(northwind_order_details[[#This Row],[order_id]], northwind_orders[order_id], 0), MATCH("employee_id", northwind_orders[#Headers], 0))</f>
        <v>8</v>
      </c>
      <c r="H82">
        <f>northwind_order_details[[#This Row],[unit_price]]*northwind_order_details[[#This Row],[quantity]]</f>
        <v>280.8</v>
      </c>
      <c r="I82" s="1">
        <f>northwind_order_details[[#This Row],[purchase amount]]*northwind_order_details[[#This Row],[discount]]</f>
        <v>0</v>
      </c>
      <c r="J82" s="1">
        <f>northwind_order_details[[#This Row],[purchase amount]]-northwind_order_details[[#This Row],[discount amount]]</f>
        <v>280.8</v>
      </c>
      <c r="K82" s="6" t="str">
        <f>IF(northwind_order_details[[#This Row],[discount amount]]&gt;0,"Yes","No")</f>
        <v>No</v>
      </c>
      <c r="L82" s="1" t="str">
        <f>IF(northwind_order_details[[#This Row],[Revenue]]&gt;1000,"High",IF(northwind_order_details[[#This Row],[Revenue]]&gt;300,"Medium","Low"))</f>
        <v>Low</v>
      </c>
      <c r="M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" spans="1:13" x14ac:dyDescent="0.25">
      <c r="A83">
        <v>10278</v>
      </c>
      <c r="B83">
        <v>73</v>
      </c>
      <c r="C83" s="6" t="s">
        <v>13</v>
      </c>
      <c r="D83">
        <v>25</v>
      </c>
      <c r="E83" s="6" t="s">
        <v>6</v>
      </c>
      <c r="F83" t="str">
        <f>_xlfn.XLOOKUP(northwind_order_details[[#This Row],[order_id]],northwind_orders[order_id],northwind_orders[ship_country])</f>
        <v>Sweden</v>
      </c>
      <c r="G83">
        <f>INDEX(northwind_orders[],MATCH(northwind_order_details[[#This Row],[order_id]], northwind_orders[order_id], 0), MATCH("employee_id", northwind_orders[#Headers], 0))</f>
        <v>8</v>
      </c>
      <c r="H83">
        <f>northwind_order_details[[#This Row],[unit_price]]*northwind_order_details[[#This Row],[quantity]]</f>
        <v>300</v>
      </c>
      <c r="I83" s="1">
        <f>northwind_order_details[[#This Row],[purchase amount]]*northwind_order_details[[#This Row],[discount]]</f>
        <v>0</v>
      </c>
      <c r="J83" s="1">
        <f>northwind_order_details[[#This Row],[purchase amount]]-northwind_order_details[[#This Row],[discount amount]]</f>
        <v>300</v>
      </c>
      <c r="K83" s="6" t="str">
        <f>IF(northwind_order_details[[#This Row],[discount amount]]&gt;0,"Yes","No")</f>
        <v>No</v>
      </c>
      <c r="L83" s="1" t="str">
        <f>IF(northwind_order_details[[#This Row],[Revenue]]&gt;1000,"High",IF(northwind_order_details[[#This Row],[Revenue]]&gt;300,"Medium","Low"))</f>
        <v>Low</v>
      </c>
      <c r="M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4" spans="1:13" x14ac:dyDescent="0.25">
      <c r="A84">
        <v>10279</v>
      </c>
      <c r="B84">
        <v>17</v>
      </c>
      <c r="C84" s="6">
        <v>31.2</v>
      </c>
      <c r="D84">
        <v>15</v>
      </c>
      <c r="E84" s="6">
        <v>0.25</v>
      </c>
      <c r="F84" t="str">
        <f>_xlfn.XLOOKUP(northwind_order_details[[#This Row],[order_id]],northwind_orders[order_id],northwind_orders[ship_country])</f>
        <v>Germany</v>
      </c>
      <c r="G84">
        <f>INDEX(northwind_orders[],MATCH(northwind_order_details[[#This Row],[order_id]], northwind_orders[order_id], 0), MATCH("employee_id", northwind_orders[#Headers], 0))</f>
        <v>8</v>
      </c>
      <c r="H84">
        <f>northwind_order_details[[#This Row],[unit_price]]*northwind_order_details[[#This Row],[quantity]]</f>
        <v>468</v>
      </c>
      <c r="I84" s="1">
        <f>northwind_order_details[[#This Row],[purchase amount]]*northwind_order_details[[#This Row],[discount]]</f>
        <v>117</v>
      </c>
      <c r="J84" s="1">
        <f>northwind_order_details[[#This Row],[purchase amount]]-northwind_order_details[[#This Row],[discount amount]]</f>
        <v>351</v>
      </c>
      <c r="K84" s="6" t="str">
        <f>IF(northwind_order_details[[#This Row],[discount amount]]&gt;0,"Yes","No")</f>
        <v>Yes</v>
      </c>
      <c r="L84" s="1" t="str">
        <f>IF(northwind_order_details[[#This Row],[Revenue]]&gt;1000,"High",IF(northwind_order_details[[#This Row],[Revenue]]&gt;300,"Medium","Low"))</f>
        <v>Medium</v>
      </c>
      <c r="M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5" spans="1:13" x14ac:dyDescent="0.25">
      <c r="A85">
        <v>10280</v>
      </c>
      <c r="B85">
        <v>24</v>
      </c>
      <c r="C85" s="6">
        <v>3.6</v>
      </c>
      <c r="D85">
        <v>12</v>
      </c>
      <c r="E85" s="6" t="s">
        <v>6</v>
      </c>
      <c r="F85" t="str">
        <f>_xlfn.XLOOKUP(northwind_order_details[[#This Row],[order_id]],northwind_orders[order_id],northwind_orders[ship_country])</f>
        <v>Sweden</v>
      </c>
      <c r="G85">
        <f>INDEX(northwind_orders[],MATCH(northwind_order_details[[#This Row],[order_id]], northwind_orders[order_id], 0), MATCH("employee_id", northwind_orders[#Headers], 0))</f>
        <v>2</v>
      </c>
      <c r="H85">
        <f>northwind_order_details[[#This Row],[unit_price]]*northwind_order_details[[#This Row],[quantity]]</f>
        <v>43.2</v>
      </c>
      <c r="I85" s="1">
        <f>northwind_order_details[[#This Row],[purchase amount]]*northwind_order_details[[#This Row],[discount]]</f>
        <v>0</v>
      </c>
      <c r="J85" s="1">
        <f>northwind_order_details[[#This Row],[purchase amount]]-northwind_order_details[[#This Row],[discount amount]]</f>
        <v>43.2</v>
      </c>
      <c r="K85" s="6" t="str">
        <f>IF(northwind_order_details[[#This Row],[discount amount]]&gt;0,"Yes","No")</f>
        <v>No</v>
      </c>
      <c r="L85" s="1" t="str">
        <f>IF(northwind_order_details[[#This Row],[Revenue]]&gt;1000,"High",IF(northwind_order_details[[#This Row],[Revenue]]&gt;300,"Medium","Low"))</f>
        <v>Low</v>
      </c>
      <c r="M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6" spans="1:13" x14ac:dyDescent="0.25">
      <c r="A86">
        <v>10280</v>
      </c>
      <c r="B86">
        <v>55</v>
      </c>
      <c r="C86" s="6">
        <v>19.2</v>
      </c>
      <c r="D86">
        <v>20</v>
      </c>
      <c r="E86" s="6" t="s">
        <v>6</v>
      </c>
      <c r="F86" t="str">
        <f>_xlfn.XLOOKUP(northwind_order_details[[#This Row],[order_id]],northwind_orders[order_id],northwind_orders[ship_country])</f>
        <v>Sweden</v>
      </c>
      <c r="G86">
        <f>INDEX(northwind_orders[],MATCH(northwind_order_details[[#This Row],[order_id]], northwind_orders[order_id], 0), MATCH("employee_id", northwind_orders[#Headers], 0))</f>
        <v>2</v>
      </c>
      <c r="H86">
        <f>northwind_order_details[[#This Row],[unit_price]]*northwind_order_details[[#This Row],[quantity]]</f>
        <v>384</v>
      </c>
      <c r="I86" s="1">
        <f>northwind_order_details[[#This Row],[purchase amount]]*northwind_order_details[[#This Row],[discount]]</f>
        <v>0</v>
      </c>
      <c r="J86" s="1">
        <f>northwind_order_details[[#This Row],[purchase amount]]-northwind_order_details[[#This Row],[discount amount]]</f>
        <v>384</v>
      </c>
      <c r="K86" s="6" t="str">
        <f>IF(northwind_order_details[[#This Row],[discount amount]]&gt;0,"Yes","No")</f>
        <v>No</v>
      </c>
      <c r="L86" s="1" t="str">
        <f>IF(northwind_order_details[[#This Row],[Revenue]]&gt;1000,"High",IF(northwind_order_details[[#This Row],[Revenue]]&gt;300,"Medium","Low"))</f>
        <v>Medium</v>
      </c>
      <c r="M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" spans="1:13" x14ac:dyDescent="0.25">
      <c r="A87">
        <v>10280</v>
      </c>
      <c r="B87">
        <v>75</v>
      </c>
      <c r="C87" s="6">
        <v>6.2</v>
      </c>
      <c r="D87">
        <v>30</v>
      </c>
      <c r="E87" s="6" t="s">
        <v>6</v>
      </c>
      <c r="F87" t="str">
        <f>_xlfn.XLOOKUP(northwind_order_details[[#This Row],[order_id]],northwind_orders[order_id],northwind_orders[ship_country])</f>
        <v>Sweden</v>
      </c>
      <c r="G87">
        <f>INDEX(northwind_orders[],MATCH(northwind_order_details[[#This Row],[order_id]], northwind_orders[order_id], 0), MATCH("employee_id", northwind_orders[#Headers], 0))</f>
        <v>2</v>
      </c>
      <c r="H87">
        <f>northwind_order_details[[#This Row],[unit_price]]*northwind_order_details[[#This Row],[quantity]]</f>
        <v>186</v>
      </c>
      <c r="I87" s="1">
        <f>northwind_order_details[[#This Row],[purchase amount]]*northwind_order_details[[#This Row],[discount]]</f>
        <v>0</v>
      </c>
      <c r="J87" s="1">
        <f>northwind_order_details[[#This Row],[purchase amount]]-northwind_order_details[[#This Row],[discount amount]]</f>
        <v>186</v>
      </c>
      <c r="K87" s="6" t="str">
        <f>IF(northwind_order_details[[#This Row],[discount amount]]&gt;0,"Yes","No")</f>
        <v>No</v>
      </c>
      <c r="L87" s="1" t="str">
        <f>IF(northwind_order_details[[#This Row],[Revenue]]&gt;1000,"High",IF(northwind_order_details[[#This Row],[Revenue]]&gt;300,"Medium","Low"))</f>
        <v>Low</v>
      </c>
      <c r="M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" spans="1:13" x14ac:dyDescent="0.25">
      <c r="A88">
        <v>10281</v>
      </c>
      <c r="B88">
        <v>19</v>
      </c>
      <c r="C88" s="6">
        <v>7.3</v>
      </c>
      <c r="D88">
        <v>1</v>
      </c>
      <c r="E88" s="6" t="s">
        <v>6</v>
      </c>
      <c r="F88" t="str">
        <f>_xlfn.XLOOKUP(northwind_order_details[[#This Row],[order_id]],northwind_orders[order_id],northwind_orders[ship_country])</f>
        <v>Spain</v>
      </c>
      <c r="G88">
        <f>INDEX(northwind_orders[],MATCH(northwind_order_details[[#This Row],[order_id]], northwind_orders[order_id], 0), MATCH("employee_id", northwind_orders[#Headers], 0))</f>
        <v>4</v>
      </c>
      <c r="H88">
        <f>northwind_order_details[[#This Row],[unit_price]]*northwind_order_details[[#This Row],[quantity]]</f>
        <v>7.3</v>
      </c>
      <c r="I88" s="1">
        <f>northwind_order_details[[#This Row],[purchase amount]]*northwind_order_details[[#This Row],[discount]]</f>
        <v>0</v>
      </c>
      <c r="J88" s="1">
        <f>northwind_order_details[[#This Row],[purchase amount]]-northwind_order_details[[#This Row],[discount amount]]</f>
        <v>7.3</v>
      </c>
      <c r="K88" s="6" t="str">
        <f>IF(northwind_order_details[[#This Row],[discount amount]]&gt;0,"Yes","No")</f>
        <v>No</v>
      </c>
      <c r="L88" s="1" t="str">
        <f>IF(northwind_order_details[[#This Row],[Revenue]]&gt;1000,"High",IF(northwind_order_details[[#This Row],[Revenue]]&gt;300,"Medium","Low"))</f>
        <v>Low</v>
      </c>
      <c r="M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9" spans="1:13" x14ac:dyDescent="0.25">
      <c r="A89">
        <v>10281</v>
      </c>
      <c r="B89">
        <v>24</v>
      </c>
      <c r="C89" s="6">
        <v>3.6</v>
      </c>
      <c r="D89">
        <v>6</v>
      </c>
      <c r="E89" s="6" t="s">
        <v>6</v>
      </c>
      <c r="F89" t="str">
        <f>_xlfn.XLOOKUP(northwind_order_details[[#This Row],[order_id]],northwind_orders[order_id],northwind_orders[ship_country])</f>
        <v>Spain</v>
      </c>
      <c r="G89">
        <f>INDEX(northwind_orders[],MATCH(northwind_order_details[[#This Row],[order_id]], northwind_orders[order_id], 0), MATCH("employee_id", northwind_orders[#Headers], 0))</f>
        <v>4</v>
      </c>
      <c r="H89">
        <f>northwind_order_details[[#This Row],[unit_price]]*northwind_order_details[[#This Row],[quantity]]</f>
        <v>21.6</v>
      </c>
      <c r="I89" s="1">
        <f>northwind_order_details[[#This Row],[purchase amount]]*northwind_order_details[[#This Row],[discount]]</f>
        <v>0</v>
      </c>
      <c r="J89" s="1">
        <f>northwind_order_details[[#This Row],[purchase amount]]-northwind_order_details[[#This Row],[discount amount]]</f>
        <v>21.6</v>
      </c>
      <c r="K89" s="6" t="str">
        <f>IF(northwind_order_details[[#This Row],[discount amount]]&gt;0,"Yes","No")</f>
        <v>No</v>
      </c>
      <c r="L89" s="1" t="str">
        <f>IF(northwind_order_details[[#This Row],[Revenue]]&gt;1000,"High",IF(northwind_order_details[[#This Row],[Revenue]]&gt;300,"Medium","Low"))</f>
        <v>Low</v>
      </c>
      <c r="M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0" spans="1:13" x14ac:dyDescent="0.25">
      <c r="A90">
        <v>10281</v>
      </c>
      <c r="B90">
        <v>35</v>
      </c>
      <c r="C90" s="6">
        <v>14.4</v>
      </c>
      <c r="D90">
        <v>4</v>
      </c>
      <c r="E90" s="6" t="s">
        <v>6</v>
      </c>
      <c r="F90" t="str">
        <f>_xlfn.XLOOKUP(northwind_order_details[[#This Row],[order_id]],northwind_orders[order_id],northwind_orders[ship_country])</f>
        <v>Spain</v>
      </c>
      <c r="G90">
        <f>INDEX(northwind_orders[],MATCH(northwind_order_details[[#This Row],[order_id]], northwind_orders[order_id], 0), MATCH("employee_id", northwind_orders[#Headers], 0))</f>
        <v>4</v>
      </c>
      <c r="H90">
        <f>northwind_order_details[[#This Row],[unit_price]]*northwind_order_details[[#This Row],[quantity]]</f>
        <v>57.6</v>
      </c>
      <c r="I90" s="1">
        <f>northwind_order_details[[#This Row],[purchase amount]]*northwind_order_details[[#This Row],[discount]]</f>
        <v>0</v>
      </c>
      <c r="J90" s="1">
        <f>northwind_order_details[[#This Row],[purchase amount]]-northwind_order_details[[#This Row],[discount amount]]</f>
        <v>57.6</v>
      </c>
      <c r="K90" s="6" t="str">
        <f>IF(northwind_order_details[[#This Row],[discount amount]]&gt;0,"Yes","No")</f>
        <v>No</v>
      </c>
      <c r="L90" s="1" t="str">
        <f>IF(northwind_order_details[[#This Row],[Revenue]]&gt;1000,"High",IF(northwind_order_details[[#This Row],[Revenue]]&gt;300,"Medium","Low"))</f>
        <v>Low</v>
      </c>
      <c r="M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" spans="1:13" x14ac:dyDescent="0.25">
      <c r="A91">
        <v>10282</v>
      </c>
      <c r="B91">
        <v>30</v>
      </c>
      <c r="C91" s="6">
        <v>20.7</v>
      </c>
      <c r="D91">
        <v>6</v>
      </c>
      <c r="E91" s="6" t="s">
        <v>6</v>
      </c>
      <c r="F91" t="str">
        <f>_xlfn.XLOOKUP(northwind_order_details[[#This Row],[order_id]],northwind_orders[order_id],northwind_orders[ship_country])</f>
        <v>Spain</v>
      </c>
      <c r="G91">
        <f>INDEX(northwind_orders[],MATCH(northwind_order_details[[#This Row],[order_id]], northwind_orders[order_id], 0), MATCH("employee_id", northwind_orders[#Headers], 0))</f>
        <v>4</v>
      </c>
      <c r="H91">
        <f>northwind_order_details[[#This Row],[unit_price]]*northwind_order_details[[#This Row],[quantity]]</f>
        <v>124.19999999999999</v>
      </c>
      <c r="I91" s="1">
        <f>northwind_order_details[[#This Row],[purchase amount]]*northwind_order_details[[#This Row],[discount]]</f>
        <v>0</v>
      </c>
      <c r="J91" s="1">
        <f>northwind_order_details[[#This Row],[purchase amount]]-northwind_order_details[[#This Row],[discount amount]]</f>
        <v>124.19999999999999</v>
      </c>
      <c r="K91" s="6" t="str">
        <f>IF(northwind_order_details[[#This Row],[discount amount]]&gt;0,"Yes","No")</f>
        <v>No</v>
      </c>
      <c r="L91" s="1" t="str">
        <f>IF(northwind_order_details[[#This Row],[Revenue]]&gt;1000,"High",IF(northwind_order_details[[#This Row],[Revenue]]&gt;300,"Medium","Low"))</f>
        <v>Low</v>
      </c>
      <c r="M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" spans="1:13" x14ac:dyDescent="0.25">
      <c r="A92">
        <v>10282</v>
      </c>
      <c r="B92">
        <v>57</v>
      </c>
      <c r="C92" s="6">
        <v>15.6</v>
      </c>
      <c r="D92">
        <v>2</v>
      </c>
      <c r="E92" s="6" t="s">
        <v>6</v>
      </c>
      <c r="F92" t="str">
        <f>_xlfn.XLOOKUP(northwind_order_details[[#This Row],[order_id]],northwind_orders[order_id],northwind_orders[ship_country])</f>
        <v>Spain</v>
      </c>
      <c r="G92">
        <f>INDEX(northwind_orders[],MATCH(northwind_order_details[[#This Row],[order_id]], northwind_orders[order_id], 0), MATCH("employee_id", northwind_orders[#Headers], 0))</f>
        <v>4</v>
      </c>
      <c r="H92">
        <f>northwind_order_details[[#This Row],[unit_price]]*northwind_order_details[[#This Row],[quantity]]</f>
        <v>31.2</v>
      </c>
      <c r="I92" s="1">
        <f>northwind_order_details[[#This Row],[purchase amount]]*northwind_order_details[[#This Row],[discount]]</f>
        <v>0</v>
      </c>
      <c r="J92" s="1">
        <f>northwind_order_details[[#This Row],[purchase amount]]-northwind_order_details[[#This Row],[discount amount]]</f>
        <v>31.2</v>
      </c>
      <c r="K92" s="6" t="str">
        <f>IF(northwind_order_details[[#This Row],[discount amount]]&gt;0,"Yes","No")</f>
        <v>No</v>
      </c>
      <c r="L92" s="1" t="str">
        <f>IF(northwind_order_details[[#This Row],[Revenue]]&gt;1000,"High",IF(northwind_order_details[[#This Row],[Revenue]]&gt;300,"Medium","Low"))</f>
        <v>Low</v>
      </c>
      <c r="M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" spans="1:13" x14ac:dyDescent="0.25">
      <c r="A93">
        <v>10283</v>
      </c>
      <c r="B93">
        <v>15</v>
      </c>
      <c r="C93" s="6">
        <v>12.4</v>
      </c>
      <c r="D93">
        <v>20</v>
      </c>
      <c r="E93" s="6" t="s">
        <v>6</v>
      </c>
      <c r="F93" t="str">
        <f>_xlfn.XLOOKUP(northwind_order_details[[#This Row],[order_id]],northwind_orders[order_id],northwind_orders[ship_country])</f>
        <v>Venezuela</v>
      </c>
      <c r="G93">
        <f>INDEX(northwind_orders[],MATCH(northwind_order_details[[#This Row],[order_id]], northwind_orders[order_id], 0), MATCH("employee_id", northwind_orders[#Headers], 0))</f>
        <v>3</v>
      </c>
      <c r="H93">
        <f>northwind_order_details[[#This Row],[unit_price]]*northwind_order_details[[#This Row],[quantity]]</f>
        <v>248</v>
      </c>
      <c r="I93" s="1">
        <f>northwind_order_details[[#This Row],[purchase amount]]*northwind_order_details[[#This Row],[discount]]</f>
        <v>0</v>
      </c>
      <c r="J93" s="1">
        <f>northwind_order_details[[#This Row],[purchase amount]]-northwind_order_details[[#This Row],[discount amount]]</f>
        <v>248</v>
      </c>
      <c r="K93" s="6" t="str">
        <f>IF(northwind_order_details[[#This Row],[discount amount]]&gt;0,"Yes","No")</f>
        <v>No</v>
      </c>
      <c r="L93" s="1" t="str">
        <f>IF(northwind_order_details[[#This Row],[Revenue]]&gt;1000,"High",IF(northwind_order_details[[#This Row],[Revenue]]&gt;300,"Medium","Low"))</f>
        <v>Low</v>
      </c>
      <c r="M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" spans="1:13" x14ac:dyDescent="0.25">
      <c r="A94">
        <v>10283</v>
      </c>
      <c r="B94">
        <v>19</v>
      </c>
      <c r="C94" s="6">
        <v>7.3</v>
      </c>
      <c r="D94">
        <v>18</v>
      </c>
      <c r="E94" s="6" t="s">
        <v>6</v>
      </c>
      <c r="F94" t="str">
        <f>_xlfn.XLOOKUP(northwind_order_details[[#This Row],[order_id]],northwind_orders[order_id],northwind_orders[ship_country])</f>
        <v>Venezuela</v>
      </c>
      <c r="G94">
        <f>INDEX(northwind_orders[],MATCH(northwind_order_details[[#This Row],[order_id]], northwind_orders[order_id], 0), MATCH("employee_id", northwind_orders[#Headers], 0))</f>
        <v>3</v>
      </c>
      <c r="H94">
        <f>northwind_order_details[[#This Row],[unit_price]]*northwind_order_details[[#This Row],[quantity]]</f>
        <v>131.4</v>
      </c>
      <c r="I94" s="1">
        <f>northwind_order_details[[#This Row],[purchase amount]]*northwind_order_details[[#This Row],[discount]]</f>
        <v>0</v>
      </c>
      <c r="J94" s="1">
        <f>northwind_order_details[[#This Row],[purchase amount]]-northwind_order_details[[#This Row],[discount amount]]</f>
        <v>131.4</v>
      </c>
      <c r="K94" s="6" t="str">
        <f>IF(northwind_order_details[[#This Row],[discount amount]]&gt;0,"Yes","No")</f>
        <v>No</v>
      </c>
      <c r="L94" s="1" t="str">
        <f>IF(northwind_order_details[[#This Row],[Revenue]]&gt;1000,"High",IF(northwind_order_details[[#This Row],[Revenue]]&gt;300,"Medium","Low"))</f>
        <v>Low</v>
      </c>
      <c r="M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" spans="1:13" x14ac:dyDescent="0.25">
      <c r="A95">
        <v>10283</v>
      </c>
      <c r="B95">
        <v>60</v>
      </c>
      <c r="C95" s="6">
        <v>27.2</v>
      </c>
      <c r="D95">
        <v>35</v>
      </c>
      <c r="E95" s="6" t="s">
        <v>6</v>
      </c>
      <c r="F95" t="str">
        <f>_xlfn.XLOOKUP(northwind_order_details[[#This Row],[order_id]],northwind_orders[order_id],northwind_orders[ship_country])</f>
        <v>Venezuela</v>
      </c>
      <c r="G95">
        <f>INDEX(northwind_orders[],MATCH(northwind_order_details[[#This Row],[order_id]], northwind_orders[order_id], 0), MATCH("employee_id", northwind_orders[#Headers], 0))</f>
        <v>3</v>
      </c>
      <c r="H95">
        <f>northwind_order_details[[#This Row],[unit_price]]*northwind_order_details[[#This Row],[quantity]]</f>
        <v>952</v>
      </c>
      <c r="I95" s="1">
        <f>northwind_order_details[[#This Row],[purchase amount]]*northwind_order_details[[#This Row],[discount]]</f>
        <v>0</v>
      </c>
      <c r="J95" s="1">
        <f>northwind_order_details[[#This Row],[purchase amount]]-northwind_order_details[[#This Row],[discount amount]]</f>
        <v>952</v>
      </c>
      <c r="K95" s="6" t="str">
        <f>IF(northwind_order_details[[#This Row],[discount amount]]&gt;0,"Yes","No")</f>
        <v>No</v>
      </c>
      <c r="L95" s="1" t="str">
        <f>IF(northwind_order_details[[#This Row],[Revenue]]&gt;1000,"High",IF(northwind_order_details[[#This Row],[Revenue]]&gt;300,"Medium","Low"))</f>
        <v>Medium</v>
      </c>
      <c r="M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6" spans="1:13" x14ac:dyDescent="0.25">
      <c r="A96">
        <v>10283</v>
      </c>
      <c r="B96">
        <v>72</v>
      </c>
      <c r="C96" s="6">
        <v>27.8</v>
      </c>
      <c r="D96">
        <v>3</v>
      </c>
      <c r="E96" s="6" t="s">
        <v>6</v>
      </c>
      <c r="F96" t="str">
        <f>_xlfn.XLOOKUP(northwind_order_details[[#This Row],[order_id]],northwind_orders[order_id],northwind_orders[ship_country])</f>
        <v>Venezuela</v>
      </c>
      <c r="G96">
        <f>INDEX(northwind_orders[],MATCH(northwind_order_details[[#This Row],[order_id]], northwind_orders[order_id], 0), MATCH("employee_id", northwind_orders[#Headers], 0))</f>
        <v>3</v>
      </c>
      <c r="H96">
        <f>northwind_order_details[[#This Row],[unit_price]]*northwind_order_details[[#This Row],[quantity]]</f>
        <v>83.4</v>
      </c>
      <c r="I96" s="1">
        <f>northwind_order_details[[#This Row],[purchase amount]]*northwind_order_details[[#This Row],[discount]]</f>
        <v>0</v>
      </c>
      <c r="J96" s="1">
        <f>northwind_order_details[[#This Row],[purchase amount]]-northwind_order_details[[#This Row],[discount amount]]</f>
        <v>83.4</v>
      </c>
      <c r="K96" s="6" t="str">
        <f>IF(northwind_order_details[[#This Row],[discount amount]]&gt;0,"Yes","No")</f>
        <v>No</v>
      </c>
      <c r="L96" s="1" t="str">
        <f>IF(northwind_order_details[[#This Row],[Revenue]]&gt;1000,"High",IF(northwind_order_details[[#This Row],[Revenue]]&gt;300,"Medium","Low"))</f>
        <v>Low</v>
      </c>
      <c r="M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7" spans="1:13" x14ac:dyDescent="0.25">
      <c r="A97">
        <v>10284</v>
      </c>
      <c r="B97">
        <v>27</v>
      </c>
      <c r="C97" s="6">
        <v>35.1</v>
      </c>
      <c r="D97">
        <v>15</v>
      </c>
      <c r="E97" s="6">
        <v>0.25</v>
      </c>
      <c r="F97" t="str">
        <f>_xlfn.XLOOKUP(northwind_order_details[[#This Row],[order_id]],northwind_orders[order_id],northwind_orders[ship_country])</f>
        <v>Germany</v>
      </c>
      <c r="G97">
        <f>INDEX(northwind_orders[],MATCH(northwind_order_details[[#This Row],[order_id]], northwind_orders[order_id], 0), MATCH("employee_id", northwind_orders[#Headers], 0))</f>
        <v>4</v>
      </c>
      <c r="H97">
        <f>northwind_order_details[[#This Row],[unit_price]]*northwind_order_details[[#This Row],[quantity]]</f>
        <v>526.5</v>
      </c>
      <c r="I97" s="1">
        <f>northwind_order_details[[#This Row],[purchase amount]]*northwind_order_details[[#This Row],[discount]]</f>
        <v>131.625</v>
      </c>
      <c r="J97" s="1">
        <f>northwind_order_details[[#This Row],[purchase amount]]-northwind_order_details[[#This Row],[discount amount]]</f>
        <v>394.875</v>
      </c>
      <c r="K97" s="6" t="str">
        <f>IF(northwind_order_details[[#This Row],[discount amount]]&gt;0,"Yes","No")</f>
        <v>Yes</v>
      </c>
      <c r="L97" s="1" t="str">
        <f>IF(northwind_order_details[[#This Row],[Revenue]]&gt;1000,"High",IF(northwind_order_details[[#This Row],[Revenue]]&gt;300,"Medium","Low"))</f>
        <v>Medium</v>
      </c>
      <c r="M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8" spans="1:13" x14ac:dyDescent="0.25">
      <c r="A98">
        <v>10284</v>
      </c>
      <c r="B98">
        <v>44</v>
      </c>
      <c r="C98" s="6">
        <v>15.5</v>
      </c>
      <c r="D98">
        <v>21</v>
      </c>
      <c r="E98" s="6" t="s">
        <v>6</v>
      </c>
      <c r="F98" t="str">
        <f>_xlfn.XLOOKUP(northwind_order_details[[#This Row],[order_id]],northwind_orders[order_id],northwind_orders[ship_country])</f>
        <v>Germany</v>
      </c>
      <c r="G98">
        <f>INDEX(northwind_orders[],MATCH(northwind_order_details[[#This Row],[order_id]], northwind_orders[order_id], 0), MATCH("employee_id", northwind_orders[#Headers], 0))</f>
        <v>4</v>
      </c>
      <c r="H98">
        <f>northwind_order_details[[#This Row],[unit_price]]*northwind_order_details[[#This Row],[quantity]]</f>
        <v>325.5</v>
      </c>
      <c r="I98" s="1">
        <f>northwind_order_details[[#This Row],[purchase amount]]*northwind_order_details[[#This Row],[discount]]</f>
        <v>0</v>
      </c>
      <c r="J98" s="1">
        <f>northwind_order_details[[#This Row],[purchase amount]]-northwind_order_details[[#This Row],[discount amount]]</f>
        <v>325.5</v>
      </c>
      <c r="K98" s="6" t="str">
        <f>IF(northwind_order_details[[#This Row],[discount amount]]&gt;0,"Yes","No")</f>
        <v>No</v>
      </c>
      <c r="L98" s="1" t="str">
        <f>IF(northwind_order_details[[#This Row],[Revenue]]&gt;1000,"High",IF(northwind_order_details[[#This Row],[Revenue]]&gt;300,"Medium","Low"))</f>
        <v>Medium</v>
      </c>
      <c r="M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9" spans="1:13" x14ac:dyDescent="0.25">
      <c r="A99">
        <v>10284</v>
      </c>
      <c r="B99">
        <v>60</v>
      </c>
      <c r="C99" s="6">
        <v>27.2</v>
      </c>
      <c r="D99">
        <v>20</v>
      </c>
      <c r="E99" s="6">
        <v>0.25</v>
      </c>
      <c r="F99" t="str">
        <f>_xlfn.XLOOKUP(northwind_order_details[[#This Row],[order_id]],northwind_orders[order_id],northwind_orders[ship_country])</f>
        <v>Germany</v>
      </c>
      <c r="G99">
        <f>INDEX(northwind_orders[],MATCH(northwind_order_details[[#This Row],[order_id]], northwind_orders[order_id], 0), MATCH("employee_id", northwind_orders[#Headers], 0))</f>
        <v>4</v>
      </c>
      <c r="H99">
        <f>northwind_order_details[[#This Row],[unit_price]]*northwind_order_details[[#This Row],[quantity]]</f>
        <v>544</v>
      </c>
      <c r="I99" s="1">
        <f>northwind_order_details[[#This Row],[purchase amount]]*northwind_order_details[[#This Row],[discount]]</f>
        <v>136</v>
      </c>
      <c r="J99" s="1">
        <f>northwind_order_details[[#This Row],[purchase amount]]-northwind_order_details[[#This Row],[discount amount]]</f>
        <v>408</v>
      </c>
      <c r="K99" s="6" t="str">
        <f>IF(northwind_order_details[[#This Row],[discount amount]]&gt;0,"Yes","No")</f>
        <v>Yes</v>
      </c>
      <c r="L99" s="1" t="str">
        <f>IF(northwind_order_details[[#This Row],[Revenue]]&gt;1000,"High",IF(northwind_order_details[[#This Row],[Revenue]]&gt;300,"Medium","Low"))</f>
        <v>Medium</v>
      </c>
      <c r="M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0" spans="1:13" x14ac:dyDescent="0.25">
      <c r="A100">
        <v>10284</v>
      </c>
      <c r="B100">
        <v>67</v>
      </c>
      <c r="C100" s="6">
        <v>11.2</v>
      </c>
      <c r="D100">
        <v>5</v>
      </c>
      <c r="E100" s="6">
        <v>0.25</v>
      </c>
      <c r="F100" t="str">
        <f>_xlfn.XLOOKUP(northwind_order_details[[#This Row],[order_id]],northwind_orders[order_id],northwind_orders[ship_country])</f>
        <v>Germany</v>
      </c>
      <c r="G100">
        <f>INDEX(northwind_orders[],MATCH(northwind_order_details[[#This Row],[order_id]], northwind_orders[order_id], 0), MATCH("employee_id", northwind_orders[#Headers], 0))</f>
        <v>4</v>
      </c>
      <c r="H100">
        <f>northwind_order_details[[#This Row],[unit_price]]*northwind_order_details[[#This Row],[quantity]]</f>
        <v>56</v>
      </c>
      <c r="I100" s="1">
        <f>northwind_order_details[[#This Row],[purchase amount]]*northwind_order_details[[#This Row],[discount]]</f>
        <v>14</v>
      </c>
      <c r="J100" s="1">
        <f>northwind_order_details[[#This Row],[purchase amount]]-northwind_order_details[[#This Row],[discount amount]]</f>
        <v>42</v>
      </c>
      <c r="K100" s="6" t="str">
        <f>IF(northwind_order_details[[#This Row],[discount amount]]&gt;0,"Yes","No")</f>
        <v>Yes</v>
      </c>
      <c r="L100" s="1" t="str">
        <f>IF(northwind_order_details[[#This Row],[Revenue]]&gt;1000,"High",IF(northwind_order_details[[#This Row],[Revenue]]&gt;300,"Medium","Low"))</f>
        <v>Low</v>
      </c>
      <c r="M1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1" spans="1:13" x14ac:dyDescent="0.25">
      <c r="A101">
        <v>10285</v>
      </c>
      <c r="B101">
        <v>1</v>
      </c>
      <c r="C101" s="6">
        <v>14.4</v>
      </c>
      <c r="D101">
        <v>45</v>
      </c>
      <c r="E101" s="6">
        <v>0.2</v>
      </c>
      <c r="F101" t="str">
        <f>_xlfn.XLOOKUP(northwind_order_details[[#This Row],[order_id]],northwind_orders[order_id],northwind_orders[ship_country])</f>
        <v>Germany</v>
      </c>
      <c r="G101">
        <f>INDEX(northwind_orders[],MATCH(northwind_order_details[[#This Row],[order_id]], northwind_orders[order_id], 0), MATCH("employee_id", northwind_orders[#Headers], 0))</f>
        <v>1</v>
      </c>
      <c r="H101">
        <f>northwind_order_details[[#This Row],[unit_price]]*northwind_order_details[[#This Row],[quantity]]</f>
        <v>648</v>
      </c>
      <c r="I101" s="1">
        <f>northwind_order_details[[#This Row],[purchase amount]]*northwind_order_details[[#This Row],[discount]]</f>
        <v>129.6</v>
      </c>
      <c r="J101" s="1">
        <f>northwind_order_details[[#This Row],[purchase amount]]-northwind_order_details[[#This Row],[discount amount]]</f>
        <v>518.4</v>
      </c>
      <c r="K101" s="6" t="str">
        <f>IF(northwind_order_details[[#This Row],[discount amount]]&gt;0,"Yes","No")</f>
        <v>Yes</v>
      </c>
      <c r="L101" s="1" t="str">
        <f>IF(northwind_order_details[[#This Row],[Revenue]]&gt;1000,"High",IF(northwind_order_details[[#This Row],[Revenue]]&gt;300,"Medium","Low"))</f>
        <v>Medium</v>
      </c>
      <c r="M1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2" spans="1:13" x14ac:dyDescent="0.25">
      <c r="A102">
        <v>10285</v>
      </c>
      <c r="B102">
        <v>40</v>
      </c>
      <c r="C102" s="6">
        <v>14.7</v>
      </c>
      <c r="D102">
        <v>40</v>
      </c>
      <c r="E102" s="6">
        <v>0.2</v>
      </c>
      <c r="F102" t="str">
        <f>_xlfn.XLOOKUP(northwind_order_details[[#This Row],[order_id]],northwind_orders[order_id],northwind_orders[ship_country])</f>
        <v>Germany</v>
      </c>
      <c r="G102">
        <f>INDEX(northwind_orders[],MATCH(northwind_order_details[[#This Row],[order_id]], northwind_orders[order_id], 0), MATCH("employee_id", northwind_orders[#Headers], 0))</f>
        <v>1</v>
      </c>
      <c r="H102">
        <f>northwind_order_details[[#This Row],[unit_price]]*northwind_order_details[[#This Row],[quantity]]</f>
        <v>588</v>
      </c>
      <c r="I102" s="1">
        <f>northwind_order_details[[#This Row],[purchase amount]]*northwind_order_details[[#This Row],[discount]]</f>
        <v>117.60000000000001</v>
      </c>
      <c r="J102" s="1">
        <f>northwind_order_details[[#This Row],[purchase amount]]-northwind_order_details[[#This Row],[discount amount]]</f>
        <v>470.4</v>
      </c>
      <c r="K102" s="6" t="str">
        <f>IF(northwind_order_details[[#This Row],[discount amount]]&gt;0,"Yes","No")</f>
        <v>Yes</v>
      </c>
      <c r="L102" s="1" t="str">
        <f>IF(northwind_order_details[[#This Row],[Revenue]]&gt;1000,"High",IF(northwind_order_details[[#This Row],[Revenue]]&gt;300,"Medium","Low"))</f>
        <v>Medium</v>
      </c>
      <c r="M1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3" spans="1:13" x14ac:dyDescent="0.25">
      <c r="A103">
        <v>10285</v>
      </c>
      <c r="B103">
        <v>53</v>
      </c>
      <c r="C103" s="6">
        <v>26.2</v>
      </c>
      <c r="D103">
        <v>36</v>
      </c>
      <c r="E103" s="6">
        <v>0.2</v>
      </c>
      <c r="F103" t="str">
        <f>_xlfn.XLOOKUP(northwind_order_details[[#This Row],[order_id]],northwind_orders[order_id],northwind_orders[ship_country])</f>
        <v>Germany</v>
      </c>
      <c r="G103">
        <f>INDEX(northwind_orders[],MATCH(northwind_order_details[[#This Row],[order_id]], northwind_orders[order_id], 0), MATCH("employee_id", northwind_orders[#Headers], 0))</f>
        <v>1</v>
      </c>
      <c r="H103">
        <f>northwind_order_details[[#This Row],[unit_price]]*northwind_order_details[[#This Row],[quantity]]</f>
        <v>943.19999999999993</v>
      </c>
      <c r="I103" s="1">
        <f>northwind_order_details[[#This Row],[purchase amount]]*northwind_order_details[[#This Row],[discount]]</f>
        <v>188.64</v>
      </c>
      <c r="J103" s="1">
        <f>northwind_order_details[[#This Row],[purchase amount]]-northwind_order_details[[#This Row],[discount amount]]</f>
        <v>754.56</v>
      </c>
      <c r="K103" s="6" t="str">
        <f>IF(northwind_order_details[[#This Row],[discount amount]]&gt;0,"Yes","No")</f>
        <v>Yes</v>
      </c>
      <c r="L103" s="1" t="str">
        <f>IF(northwind_order_details[[#This Row],[Revenue]]&gt;1000,"High",IF(northwind_order_details[[#This Row],[Revenue]]&gt;300,"Medium","Low"))</f>
        <v>Medium</v>
      </c>
      <c r="M1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4" spans="1:13" x14ac:dyDescent="0.25">
      <c r="A104">
        <v>10286</v>
      </c>
      <c r="B104">
        <v>35</v>
      </c>
      <c r="C104" s="6">
        <v>14.4</v>
      </c>
      <c r="D104">
        <v>100</v>
      </c>
      <c r="E104" s="6" t="s">
        <v>6</v>
      </c>
      <c r="F104" t="str">
        <f>_xlfn.XLOOKUP(northwind_order_details[[#This Row],[order_id]],northwind_orders[order_id],northwind_orders[ship_country])</f>
        <v>Germany</v>
      </c>
      <c r="G104">
        <f>INDEX(northwind_orders[],MATCH(northwind_order_details[[#This Row],[order_id]], northwind_orders[order_id], 0), MATCH("employee_id", northwind_orders[#Headers], 0))</f>
        <v>8</v>
      </c>
      <c r="H104">
        <f>northwind_order_details[[#This Row],[unit_price]]*northwind_order_details[[#This Row],[quantity]]</f>
        <v>1440</v>
      </c>
      <c r="I104" s="1">
        <f>northwind_order_details[[#This Row],[purchase amount]]*northwind_order_details[[#This Row],[discount]]</f>
        <v>0</v>
      </c>
      <c r="J104" s="1">
        <f>northwind_order_details[[#This Row],[purchase amount]]-northwind_order_details[[#This Row],[discount amount]]</f>
        <v>1440</v>
      </c>
      <c r="K104" s="6" t="str">
        <f>IF(northwind_order_details[[#This Row],[discount amount]]&gt;0,"Yes","No")</f>
        <v>No</v>
      </c>
      <c r="L104" s="1" t="str">
        <f>IF(northwind_order_details[[#This Row],[Revenue]]&gt;1000,"High",IF(northwind_order_details[[#This Row],[Revenue]]&gt;300,"Medium","Low"))</f>
        <v>High</v>
      </c>
      <c r="M1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5" spans="1:13" x14ac:dyDescent="0.25">
      <c r="A105">
        <v>10286</v>
      </c>
      <c r="B105">
        <v>62</v>
      </c>
      <c r="C105" s="6">
        <v>39.4</v>
      </c>
      <c r="D105">
        <v>40</v>
      </c>
      <c r="E105" s="6" t="s">
        <v>6</v>
      </c>
      <c r="F105" t="str">
        <f>_xlfn.XLOOKUP(northwind_order_details[[#This Row],[order_id]],northwind_orders[order_id],northwind_orders[ship_country])</f>
        <v>Germany</v>
      </c>
      <c r="G105">
        <f>INDEX(northwind_orders[],MATCH(northwind_order_details[[#This Row],[order_id]], northwind_orders[order_id], 0), MATCH("employee_id", northwind_orders[#Headers], 0))</f>
        <v>8</v>
      </c>
      <c r="H105">
        <f>northwind_order_details[[#This Row],[unit_price]]*northwind_order_details[[#This Row],[quantity]]</f>
        <v>1576</v>
      </c>
      <c r="I105" s="1">
        <f>northwind_order_details[[#This Row],[purchase amount]]*northwind_order_details[[#This Row],[discount]]</f>
        <v>0</v>
      </c>
      <c r="J105" s="1">
        <f>northwind_order_details[[#This Row],[purchase amount]]-northwind_order_details[[#This Row],[discount amount]]</f>
        <v>1576</v>
      </c>
      <c r="K105" s="6" t="str">
        <f>IF(northwind_order_details[[#This Row],[discount amount]]&gt;0,"Yes","No")</f>
        <v>No</v>
      </c>
      <c r="L105" s="1" t="str">
        <f>IF(northwind_order_details[[#This Row],[Revenue]]&gt;1000,"High",IF(northwind_order_details[[#This Row],[Revenue]]&gt;300,"Medium","Low"))</f>
        <v>High</v>
      </c>
      <c r="M1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" spans="1:13" x14ac:dyDescent="0.25">
      <c r="A106">
        <v>10287</v>
      </c>
      <c r="B106">
        <v>16</v>
      </c>
      <c r="C106" s="6">
        <v>13.9</v>
      </c>
      <c r="D106">
        <v>40</v>
      </c>
      <c r="E106" s="6">
        <v>0.15</v>
      </c>
      <c r="F106" t="str">
        <f>_xlfn.XLOOKUP(northwind_order_details[[#This Row],[order_id]],northwind_orders[order_id],northwind_orders[ship_country])</f>
        <v>Brazil</v>
      </c>
      <c r="G106">
        <f>INDEX(northwind_orders[],MATCH(northwind_order_details[[#This Row],[order_id]], northwind_orders[order_id], 0), MATCH("employee_id", northwind_orders[#Headers], 0))</f>
        <v>8</v>
      </c>
      <c r="H106">
        <f>northwind_order_details[[#This Row],[unit_price]]*northwind_order_details[[#This Row],[quantity]]</f>
        <v>556</v>
      </c>
      <c r="I106" s="1">
        <f>northwind_order_details[[#This Row],[purchase amount]]*northwind_order_details[[#This Row],[discount]]</f>
        <v>83.399999999999991</v>
      </c>
      <c r="J106" s="1">
        <f>northwind_order_details[[#This Row],[purchase amount]]-northwind_order_details[[#This Row],[discount amount]]</f>
        <v>472.6</v>
      </c>
      <c r="K106" s="6" t="str">
        <f>IF(northwind_order_details[[#This Row],[discount amount]]&gt;0,"Yes","No")</f>
        <v>Yes</v>
      </c>
      <c r="L106" s="1" t="str">
        <f>IF(northwind_order_details[[#This Row],[Revenue]]&gt;1000,"High",IF(northwind_order_details[[#This Row],[Revenue]]&gt;300,"Medium","Low"))</f>
        <v>Medium</v>
      </c>
      <c r="M1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" spans="1:13" x14ac:dyDescent="0.25">
      <c r="A107">
        <v>10287</v>
      </c>
      <c r="B107">
        <v>34</v>
      </c>
      <c r="C107" s="6">
        <v>11.2</v>
      </c>
      <c r="D107">
        <v>20</v>
      </c>
      <c r="E107" s="6" t="s">
        <v>6</v>
      </c>
      <c r="F107" t="str">
        <f>_xlfn.XLOOKUP(northwind_order_details[[#This Row],[order_id]],northwind_orders[order_id],northwind_orders[ship_country])</f>
        <v>Brazil</v>
      </c>
      <c r="G107">
        <f>INDEX(northwind_orders[],MATCH(northwind_order_details[[#This Row],[order_id]], northwind_orders[order_id], 0), MATCH("employee_id", northwind_orders[#Headers], 0))</f>
        <v>8</v>
      </c>
      <c r="H107">
        <f>northwind_order_details[[#This Row],[unit_price]]*northwind_order_details[[#This Row],[quantity]]</f>
        <v>224</v>
      </c>
      <c r="I107" s="1">
        <f>northwind_order_details[[#This Row],[purchase amount]]*northwind_order_details[[#This Row],[discount]]</f>
        <v>0</v>
      </c>
      <c r="J107" s="1">
        <f>northwind_order_details[[#This Row],[purchase amount]]-northwind_order_details[[#This Row],[discount amount]]</f>
        <v>224</v>
      </c>
      <c r="K107" s="6" t="str">
        <f>IF(northwind_order_details[[#This Row],[discount amount]]&gt;0,"Yes","No")</f>
        <v>No</v>
      </c>
      <c r="L107" s="1" t="str">
        <f>IF(northwind_order_details[[#This Row],[Revenue]]&gt;1000,"High",IF(northwind_order_details[[#This Row],[Revenue]]&gt;300,"Medium","Low"))</f>
        <v>Low</v>
      </c>
      <c r="M1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8" spans="1:13" x14ac:dyDescent="0.25">
      <c r="A108">
        <v>10287</v>
      </c>
      <c r="B108">
        <v>46</v>
      </c>
      <c r="C108" s="6">
        <v>9.6</v>
      </c>
      <c r="D108">
        <v>15</v>
      </c>
      <c r="E108" s="6">
        <v>0.15</v>
      </c>
      <c r="F108" t="str">
        <f>_xlfn.XLOOKUP(northwind_order_details[[#This Row],[order_id]],northwind_orders[order_id],northwind_orders[ship_country])</f>
        <v>Brazil</v>
      </c>
      <c r="G108">
        <f>INDEX(northwind_orders[],MATCH(northwind_order_details[[#This Row],[order_id]], northwind_orders[order_id], 0), MATCH("employee_id", northwind_orders[#Headers], 0))</f>
        <v>8</v>
      </c>
      <c r="H108">
        <f>northwind_order_details[[#This Row],[unit_price]]*northwind_order_details[[#This Row],[quantity]]</f>
        <v>144</v>
      </c>
      <c r="I108" s="1">
        <f>northwind_order_details[[#This Row],[purchase amount]]*northwind_order_details[[#This Row],[discount]]</f>
        <v>21.599999999999998</v>
      </c>
      <c r="J108" s="1">
        <f>northwind_order_details[[#This Row],[purchase amount]]-northwind_order_details[[#This Row],[discount amount]]</f>
        <v>122.4</v>
      </c>
      <c r="K108" s="6" t="str">
        <f>IF(northwind_order_details[[#This Row],[discount amount]]&gt;0,"Yes","No")</f>
        <v>Yes</v>
      </c>
      <c r="L108" s="1" t="str">
        <f>IF(northwind_order_details[[#This Row],[Revenue]]&gt;1000,"High",IF(northwind_order_details[[#This Row],[Revenue]]&gt;300,"Medium","Low"))</f>
        <v>Low</v>
      </c>
      <c r="M1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9" spans="1:13" x14ac:dyDescent="0.25">
      <c r="A109">
        <v>10288</v>
      </c>
      <c r="B109">
        <v>54</v>
      </c>
      <c r="C109" s="6">
        <v>5.9</v>
      </c>
      <c r="D109">
        <v>10</v>
      </c>
      <c r="E109" s="6">
        <v>0.1</v>
      </c>
      <c r="F109" t="str">
        <f>_xlfn.XLOOKUP(northwind_order_details[[#This Row],[order_id]],northwind_orders[order_id],northwind_orders[ship_country])</f>
        <v>Italy</v>
      </c>
      <c r="G109">
        <f>INDEX(northwind_orders[],MATCH(northwind_order_details[[#This Row],[order_id]], northwind_orders[order_id], 0), MATCH("employee_id", northwind_orders[#Headers], 0))</f>
        <v>4</v>
      </c>
      <c r="H109">
        <f>northwind_order_details[[#This Row],[unit_price]]*northwind_order_details[[#This Row],[quantity]]</f>
        <v>59</v>
      </c>
      <c r="I109" s="1">
        <f>northwind_order_details[[#This Row],[purchase amount]]*northwind_order_details[[#This Row],[discount]]</f>
        <v>5.9</v>
      </c>
      <c r="J109" s="1">
        <f>northwind_order_details[[#This Row],[purchase amount]]-northwind_order_details[[#This Row],[discount amount]]</f>
        <v>53.1</v>
      </c>
      <c r="K109" s="6" t="str">
        <f>IF(northwind_order_details[[#This Row],[discount amount]]&gt;0,"Yes","No")</f>
        <v>Yes</v>
      </c>
      <c r="L109" s="1" t="str">
        <f>IF(northwind_order_details[[#This Row],[Revenue]]&gt;1000,"High",IF(northwind_order_details[[#This Row],[Revenue]]&gt;300,"Medium","Low"))</f>
        <v>Low</v>
      </c>
      <c r="M1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0" spans="1:13" x14ac:dyDescent="0.25">
      <c r="A110">
        <v>10288</v>
      </c>
      <c r="B110">
        <v>68</v>
      </c>
      <c r="C110" s="6" t="s">
        <v>8</v>
      </c>
      <c r="D110">
        <v>3</v>
      </c>
      <c r="E110" s="6">
        <v>0.1</v>
      </c>
      <c r="F110" t="str">
        <f>_xlfn.XLOOKUP(northwind_order_details[[#This Row],[order_id]],northwind_orders[order_id],northwind_orders[ship_country])</f>
        <v>Italy</v>
      </c>
      <c r="G110">
        <f>INDEX(northwind_orders[],MATCH(northwind_order_details[[#This Row],[order_id]], northwind_orders[order_id], 0), MATCH("employee_id", northwind_orders[#Headers], 0))</f>
        <v>4</v>
      </c>
      <c r="H110">
        <f>northwind_order_details[[#This Row],[unit_price]]*northwind_order_details[[#This Row],[quantity]]</f>
        <v>30</v>
      </c>
      <c r="I110" s="1">
        <f>northwind_order_details[[#This Row],[purchase amount]]*northwind_order_details[[#This Row],[discount]]</f>
        <v>3</v>
      </c>
      <c r="J110" s="1">
        <f>northwind_order_details[[#This Row],[purchase amount]]-northwind_order_details[[#This Row],[discount amount]]</f>
        <v>27</v>
      </c>
      <c r="K110" s="6" t="str">
        <f>IF(northwind_order_details[[#This Row],[discount amount]]&gt;0,"Yes","No")</f>
        <v>Yes</v>
      </c>
      <c r="L110" s="1" t="str">
        <f>IF(northwind_order_details[[#This Row],[Revenue]]&gt;1000,"High",IF(northwind_order_details[[#This Row],[Revenue]]&gt;300,"Medium","Low"))</f>
        <v>Low</v>
      </c>
      <c r="M1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1" spans="1:13" x14ac:dyDescent="0.25">
      <c r="A111">
        <v>10289</v>
      </c>
      <c r="B111">
        <v>3</v>
      </c>
      <c r="C111" s="6" t="s">
        <v>10</v>
      </c>
      <c r="D111">
        <v>30</v>
      </c>
      <c r="E111" s="6" t="s">
        <v>6</v>
      </c>
      <c r="F111" t="str">
        <f>_xlfn.XLOOKUP(northwind_order_details[[#This Row],[order_id]],northwind_orders[order_id],northwind_orders[ship_country])</f>
        <v>UK</v>
      </c>
      <c r="G111">
        <f>INDEX(northwind_orders[],MATCH(northwind_order_details[[#This Row],[order_id]], northwind_orders[order_id], 0), MATCH("employee_id", northwind_orders[#Headers], 0))</f>
        <v>7</v>
      </c>
      <c r="H111">
        <f>northwind_order_details[[#This Row],[unit_price]]*northwind_order_details[[#This Row],[quantity]]</f>
        <v>240</v>
      </c>
      <c r="I111" s="1">
        <f>northwind_order_details[[#This Row],[purchase amount]]*northwind_order_details[[#This Row],[discount]]</f>
        <v>0</v>
      </c>
      <c r="J111" s="1">
        <f>northwind_order_details[[#This Row],[purchase amount]]-northwind_order_details[[#This Row],[discount amount]]</f>
        <v>240</v>
      </c>
      <c r="K111" s="6" t="str">
        <f>IF(northwind_order_details[[#This Row],[discount amount]]&gt;0,"Yes","No")</f>
        <v>No</v>
      </c>
      <c r="L111" s="1" t="str">
        <f>IF(northwind_order_details[[#This Row],[Revenue]]&gt;1000,"High",IF(northwind_order_details[[#This Row],[Revenue]]&gt;300,"Medium","Low"))</f>
        <v>Low</v>
      </c>
      <c r="M1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" spans="1:13" x14ac:dyDescent="0.25">
      <c r="A112">
        <v>10289</v>
      </c>
      <c r="B112">
        <v>64</v>
      </c>
      <c r="C112" s="6">
        <v>26.6</v>
      </c>
      <c r="D112">
        <v>9</v>
      </c>
      <c r="E112" s="6" t="s">
        <v>6</v>
      </c>
      <c r="F112" t="str">
        <f>_xlfn.XLOOKUP(northwind_order_details[[#This Row],[order_id]],northwind_orders[order_id],northwind_orders[ship_country])</f>
        <v>UK</v>
      </c>
      <c r="G112">
        <f>INDEX(northwind_orders[],MATCH(northwind_order_details[[#This Row],[order_id]], northwind_orders[order_id], 0), MATCH("employee_id", northwind_orders[#Headers], 0))</f>
        <v>7</v>
      </c>
      <c r="H112">
        <f>northwind_order_details[[#This Row],[unit_price]]*northwind_order_details[[#This Row],[quantity]]</f>
        <v>239.4</v>
      </c>
      <c r="I112" s="1">
        <f>northwind_order_details[[#This Row],[purchase amount]]*northwind_order_details[[#This Row],[discount]]</f>
        <v>0</v>
      </c>
      <c r="J112" s="1">
        <f>northwind_order_details[[#This Row],[purchase amount]]-northwind_order_details[[#This Row],[discount amount]]</f>
        <v>239.4</v>
      </c>
      <c r="K112" s="6" t="str">
        <f>IF(northwind_order_details[[#This Row],[discount amount]]&gt;0,"Yes","No")</f>
        <v>No</v>
      </c>
      <c r="L112" s="1" t="str">
        <f>IF(northwind_order_details[[#This Row],[Revenue]]&gt;1000,"High",IF(northwind_order_details[[#This Row],[Revenue]]&gt;300,"Medium","Low"))</f>
        <v>Low</v>
      </c>
      <c r="M1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" spans="1:13" x14ac:dyDescent="0.25">
      <c r="A113">
        <v>10290</v>
      </c>
      <c r="B113">
        <v>5</v>
      </c>
      <c r="C113" s="6" t="s">
        <v>12</v>
      </c>
      <c r="D113">
        <v>20</v>
      </c>
      <c r="E113" s="6" t="s">
        <v>6</v>
      </c>
      <c r="F113" t="str">
        <f>_xlfn.XLOOKUP(northwind_order_details[[#This Row],[order_id]],northwind_orders[order_id],northwind_orders[ship_country])</f>
        <v>Brazil</v>
      </c>
      <c r="G113">
        <f>INDEX(northwind_orders[],MATCH(northwind_order_details[[#This Row],[order_id]], northwind_orders[order_id], 0), MATCH("employee_id", northwind_orders[#Headers], 0))</f>
        <v>8</v>
      </c>
      <c r="H113">
        <f>northwind_order_details[[#This Row],[unit_price]]*northwind_order_details[[#This Row],[quantity]]</f>
        <v>340</v>
      </c>
      <c r="I113" s="1">
        <f>northwind_order_details[[#This Row],[purchase amount]]*northwind_order_details[[#This Row],[discount]]</f>
        <v>0</v>
      </c>
      <c r="J113" s="1">
        <f>northwind_order_details[[#This Row],[purchase amount]]-northwind_order_details[[#This Row],[discount amount]]</f>
        <v>340</v>
      </c>
      <c r="K113" s="6" t="str">
        <f>IF(northwind_order_details[[#This Row],[discount amount]]&gt;0,"Yes","No")</f>
        <v>No</v>
      </c>
      <c r="L113" s="1" t="str">
        <f>IF(northwind_order_details[[#This Row],[Revenue]]&gt;1000,"High",IF(northwind_order_details[[#This Row],[Revenue]]&gt;300,"Medium","Low"))</f>
        <v>Medium</v>
      </c>
      <c r="M1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" spans="1:13" x14ac:dyDescent="0.25">
      <c r="A114">
        <v>10290</v>
      </c>
      <c r="B114">
        <v>29</v>
      </c>
      <c r="C114" s="6" t="s">
        <v>15</v>
      </c>
      <c r="D114">
        <v>15</v>
      </c>
      <c r="E114" s="6" t="s">
        <v>6</v>
      </c>
      <c r="F114" t="str">
        <f>_xlfn.XLOOKUP(northwind_order_details[[#This Row],[order_id]],northwind_orders[order_id],northwind_orders[ship_country])</f>
        <v>Brazil</v>
      </c>
      <c r="G114">
        <f>INDEX(northwind_orders[],MATCH(northwind_order_details[[#This Row],[order_id]], northwind_orders[order_id], 0), MATCH("employee_id", northwind_orders[#Headers], 0))</f>
        <v>8</v>
      </c>
      <c r="H114">
        <f>northwind_order_details[[#This Row],[unit_price]]*northwind_order_details[[#This Row],[quantity]]</f>
        <v>1485</v>
      </c>
      <c r="I114" s="1">
        <f>northwind_order_details[[#This Row],[purchase amount]]*northwind_order_details[[#This Row],[discount]]</f>
        <v>0</v>
      </c>
      <c r="J114" s="1">
        <f>northwind_order_details[[#This Row],[purchase amount]]-northwind_order_details[[#This Row],[discount amount]]</f>
        <v>1485</v>
      </c>
      <c r="K114" s="6" t="str">
        <f>IF(northwind_order_details[[#This Row],[discount amount]]&gt;0,"Yes","No")</f>
        <v>No</v>
      </c>
      <c r="L114" s="1" t="str">
        <f>IF(northwind_order_details[[#This Row],[Revenue]]&gt;1000,"High",IF(northwind_order_details[[#This Row],[Revenue]]&gt;300,"Medium","Low"))</f>
        <v>High</v>
      </c>
      <c r="M1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5" spans="1:13" x14ac:dyDescent="0.25">
      <c r="A115">
        <v>10290</v>
      </c>
      <c r="B115">
        <v>49</v>
      </c>
      <c r="C115" s="6" t="s">
        <v>9</v>
      </c>
      <c r="D115">
        <v>15</v>
      </c>
      <c r="E115" s="6" t="s">
        <v>6</v>
      </c>
      <c r="F115" t="str">
        <f>_xlfn.XLOOKUP(northwind_order_details[[#This Row],[order_id]],northwind_orders[order_id],northwind_orders[ship_country])</f>
        <v>Brazil</v>
      </c>
      <c r="G115">
        <f>INDEX(northwind_orders[],MATCH(northwind_order_details[[#This Row],[order_id]], northwind_orders[order_id], 0), MATCH("employee_id", northwind_orders[#Headers], 0))</f>
        <v>8</v>
      </c>
      <c r="H115">
        <f>northwind_order_details[[#This Row],[unit_price]]*northwind_order_details[[#This Row],[quantity]]</f>
        <v>240</v>
      </c>
      <c r="I115" s="1">
        <f>northwind_order_details[[#This Row],[purchase amount]]*northwind_order_details[[#This Row],[discount]]</f>
        <v>0</v>
      </c>
      <c r="J115" s="1">
        <f>northwind_order_details[[#This Row],[purchase amount]]-northwind_order_details[[#This Row],[discount amount]]</f>
        <v>240</v>
      </c>
      <c r="K115" s="6" t="str">
        <f>IF(northwind_order_details[[#This Row],[discount amount]]&gt;0,"Yes","No")</f>
        <v>No</v>
      </c>
      <c r="L115" s="1" t="str">
        <f>IF(northwind_order_details[[#This Row],[Revenue]]&gt;1000,"High",IF(northwind_order_details[[#This Row],[Revenue]]&gt;300,"Medium","Low"))</f>
        <v>Low</v>
      </c>
      <c r="M1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" spans="1:13" x14ac:dyDescent="0.25">
      <c r="A116">
        <v>10290</v>
      </c>
      <c r="B116">
        <v>77</v>
      </c>
      <c r="C116" s="6">
        <v>10.4</v>
      </c>
      <c r="D116">
        <v>10</v>
      </c>
      <c r="E116" s="6" t="s">
        <v>6</v>
      </c>
      <c r="F116" t="str">
        <f>_xlfn.XLOOKUP(northwind_order_details[[#This Row],[order_id]],northwind_orders[order_id],northwind_orders[ship_country])</f>
        <v>Brazil</v>
      </c>
      <c r="G116">
        <f>INDEX(northwind_orders[],MATCH(northwind_order_details[[#This Row],[order_id]], northwind_orders[order_id], 0), MATCH("employee_id", northwind_orders[#Headers], 0))</f>
        <v>8</v>
      </c>
      <c r="H116">
        <f>northwind_order_details[[#This Row],[unit_price]]*northwind_order_details[[#This Row],[quantity]]</f>
        <v>104</v>
      </c>
      <c r="I116" s="1">
        <f>northwind_order_details[[#This Row],[purchase amount]]*northwind_order_details[[#This Row],[discount]]</f>
        <v>0</v>
      </c>
      <c r="J116" s="1">
        <f>northwind_order_details[[#This Row],[purchase amount]]-northwind_order_details[[#This Row],[discount amount]]</f>
        <v>104</v>
      </c>
      <c r="K116" s="6" t="str">
        <f>IF(northwind_order_details[[#This Row],[discount amount]]&gt;0,"Yes","No")</f>
        <v>No</v>
      </c>
      <c r="L116" s="1" t="str">
        <f>IF(northwind_order_details[[#This Row],[Revenue]]&gt;1000,"High",IF(northwind_order_details[[#This Row],[Revenue]]&gt;300,"Medium","Low"))</f>
        <v>Low</v>
      </c>
      <c r="M1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" spans="1:13" x14ac:dyDescent="0.25">
      <c r="A117">
        <v>10291</v>
      </c>
      <c r="B117">
        <v>13</v>
      </c>
      <c r="C117" s="6">
        <v>4.8</v>
      </c>
      <c r="D117">
        <v>20</v>
      </c>
      <c r="E117" s="6">
        <v>0.1</v>
      </c>
      <c r="F117" t="str">
        <f>_xlfn.XLOOKUP(northwind_order_details[[#This Row],[order_id]],northwind_orders[order_id],northwind_orders[ship_country])</f>
        <v>Brazil</v>
      </c>
      <c r="G117">
        <f>INDEX(northwind_orders[],MATCH(northwind_order_details[[#This Row],[order_id]], northwind_orders[order_id], 0), MATCH("employee_id", northwind_orders[#Headers], 0))</f>
        <v>6</v>
      </c>
      <c r="H117">
        <f>northwind_order_details[[#This Row],[unit_price]]*northwind_order_details[[#This Row],[quantity]]</f>
        <v>96</v>
      </c>
      <c r="I117" s="1">
        <f>northwind_order_details[[#This Row],[purchase amount]]*northwind_order_details[[#This Row],[discount]]</f>
        <v>9.6000000000000014</v>
      </c>
      <c r="J117" s="1">
        <f>northwind_order_details[[#This Row],[purchase amount]]-northwind_order_details[[#This Row],[discount amount]]</f>
        <v>86.4</v>
      </c>
      <c r="K117" s="6" t="str">
        <f>IF(northwind_order_details[[#This Row],[discount amount]]&gt;0,"Yes","No")</f>
        <v>Yes</v>
      </c>
      <c r="L117" s="1" t="str">
        <f>IF(northwind_order_details[[#This Row],[Revenue]]&gt;1000,"High",IF(northwind_order_details[[#This Row],[Revenue]]&gt;300,"Medium","Low"))</f>
        <v>Low</v>
      </c>
      <c r="M1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8" spans="1:13" x14ac:dyDescent="0.25">
      <c r="A118">
        <v>10291</v>
      </c>
      <c r="B118">
        <v>44</v>
      </c>
      <c r="C118" s="6">
        <v>15.5</v>
      </c>
      <c r="D118">
        <v>24</v>
      </c>
      <c r="E118" s="6">
        <v>0.1</v>
      </c>
      <c r="F118" t="str">
        <f>_xlfn.XLOOKUP(northwind_order_details[[#This Row],[order_id]],northwind_orders[order_id],northwind_orders[ship_country])</f>
        <v>Brazil</v>
      </c>
      <c r="G118">
        <f>INDEX(northwind_orders[],MATCH(northwind_order_details[[#This Row],[order_id]], northwind_orders[order_id], 0), MATCH("employee_id", northwind_orders[#Headers], 0))</f>
        <v>6</v>
      </c>
      <c r="H118">
        <f>northwind_order_details[[#This Row],[unit_price]]*northwind_order_details[[#This Row],[quantity]]</f>
        <v>372</v>
      </c>
      <c r="I118" s="1">
        <f>northwind_order_details[[#This Row],[purchase amount]]*northwind_order_details[[#This Row],[discount]]</f>
        <v>37.200000000000003</v>
      </c>
      <c r="J118" s="1">
        <f>northwind_order_details[[#This Row],[purchase amount]]-northwind_order_details[[#This Row],[discount amount]]</f>
        <v>334.8</v>
      </c>
      <c r="K118" s="6" t="str">
        <f>IF(northwind_order_details[[#This Row],[discount amount]]&gt;0,"Yes","No")</f>
        <v>Yes</v>
      </c>
      <c r="L118" s="1" t="str">
        <f>IF(northwind_order_details[[#This Row],[Revenue]]&gt;1000,"High",IF(northwind_order_details[[#This Row],[Revenue]]&gt;300,"Medium","Low"))</f>
        <v>Medium</v>
      </c>
      <c r="M1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9" spans="1:13" x14ac:dyDescent="0.25">
      <c r="A119">
        <v>10291</v>
      </c>
      <c r="B119">
        <v>51</v>
      </c>
      <c r="C119" s="6">
        <v>42.4</v>
      </c>
      <c r="D119">
        <v>2</v>
      </c>
      <c r="E119" s="6">
        <v>0.1</v>
      </c>
      <c r="F119" t="str">
        <f>_xlfn.XLOOKUP(northwind_order_details[[#This Row],[order_id]],northwind_orders[order_id],northwind_orders[ship_country])</f>
        <v>Brazil</v>
      </c>
      <c r="G119">
        <f>INDEX(northwind_orders[],MATCH(northwind_order_details[[#This Row],[order_id]], northwind_orders[order_id], 0), MATCH("employee_id", northwind_orders[#Headers], 0))</f>
        <v>6</v>
      </c>
      <c r="H119">
        <f>northwind_order_details[[#This Row],[unit_price]]*northwind_order_details[[#This Row],[quantity]]</f>
        <v>84.8</v>
      </c>
      <c r="I119" s="1">
        <f>northwind_order_details[[#This Row],[purchase amount]]*northwind_order_details[[#This Row],[discount]]</f>
        <v>8.48</v>
      </c>
      <c r="J119" s="1">
        <f>northwind_order_details[[#This Row],[purchase amount]]-northwind_order_details[[#This Row],[discount amount]]</f>
        <v>76.319999999999993</v>
      </c>
      <c r="K119" s="6" t="str">
        <f>IF(northwind_order_details[[#This Row],[discount amount]]&gt;0,"Yes","No")</f>
        <v>Yes</v>
      </c>
      <c r="L119" s="1" t="str">
        <f>IF(northwind_order_details[[#This Row],[Revenue]]&gt;1000,"High",IF(northwind_order_details[[#This Row],[Revenue]]&gt;300,"Medium","Low"))</f>
        <v>Low</v>
      </c>
      <c r="M1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0" spans="1:13" x14ac:dyDescent="0.25">
      <c r="A120">
        <v>10292</v>
      </c>
      <c r="B120">
        <v>20</v>
      </c>
      <c r="C120" s="6">
        <v>64.8</v>
      </c>
      <c r="D120">
        <v>20</v>
      </c>
      <c r="E120" s="6" t="s">
        <v>6</v>
      </c>
      <c r="F120" t="str">
        <f>_xlfn.XLOOKUP(northwind_order_details[[#This Row],[order_id]],northwind_orders[order_id],northwind_orders[ship_country])</f>
        <v>Brazil</v>
      </c>
      <c r="G120">
        <f>INDEX(northwind_orders[],MATCH(northwind_order_details[[#This Row],[order_id]], northwind_orders[order_id], 0), MATCH("employee_id", northwind_orders[#Headers], 0))</f>
        <v>1</v>
      </c>
      <c r="H120">
        <f>northwind_order_details[[#This Row],[unit_price]]*northwind_order_details[[#This Row],[quantity]]</f>
        <v>1296</v>
      </c>
      <c r="I120" s="1">
        <f>northwind_order_details[[#This Row],[purchase amount]]*northwind_order_details[[#This Row],[discount]]</f>
        <v>0</v>
      </c>
      <c r="J120" s="1">
        <f>northwind_order_details[[#This Row],[purchase amount]]-northwind_order_details[[#This Row],[discount amount]]</f>
        <v>1296</v>
      </c>
      <c r="K120" s="6" t="str">
        <f>IF(northwind_order_details[[#This Row],[discount amount]]&gt;0,"Yes","No")</f>
        <v>No</v>
      </c>
      <c r="L120" s="1" t="str">
        <f>IF(northwind_order_details[[#This Row],[Revenue]]&gt;1000,"High",IF(northwind_order_details[[#This Row],[Revenue]]&gt;300,"Medium","Low"))</f>
        <v>High</v>
      </c>
      <c r="M1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1" spans="1:13" x14ac:dyDescent="0.25">
      <c r="A121">
        <v>10293</v>
      </c>
      <c r="B121">
        <v>18</v>
      </c>
      <c r="C121" s="6" t="s">
        <v>16</v>
      </c>
      <c r="D121">
        <v>12</v>
      </c>
      <c r="E121" s="6" t="s">
        <v>6</v>
      </c>
      <c r="F121" t="str">
        <f>_xlfn.XLOOKUP(northwind_order_details[[#This Row],[order_id]],northwind_orders[order_id],northwind_orders[ship_country])</f>
        <v>Mexico</v>
      </c>
      <c r="G121">
        <f>INDEX(northwind_orders[],MATCH(northwind_order_details[[#This Row],[order_id]], northwind_orders[order_id], 0), MATCH("employee_id", northwind_orders[#Headers], 0))</f>
        <v>1</v>
      </c>
      <c r="H121">
        <f>northwind_order_details[[#This Row],[unit_price]]*northwind_order_details[[#This Row],[quantity]]</f>
        <v>600</v>
      </c>
      <c r="I121" s="1">
        <f>northwind_order_details[[#This Row],[purchase amount]]*northwind_order_details[[#This Row],[discount]]</f>
        <v>0</v>
      </c>
      <c r="J121" s="1">
        <f>northwind_order_details[[#This Row],[purchase amount]]-northwind_order_details[[#This Row],[discount amount]]</f>
        <v>600</v>
      </c>
      <c r="K121" s="6" t="str">
        <f>IF(northwind_order_details[[#This Row],[discount amount]]&gt;0,"Yes","No")</f>
        <v>No</v>
      </c>
      <c r="L121" s="1" t="str">
        <f>IF(northwind_order_details[[#This Row],[Revenue]]&gt;1000,"High",IF(northwind_order_details[[#This Row],[Revenue]]&gt;300,"Medium","Low"))</f>
        <v>Medium</v>
      </c>
      <c r="M1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" spans="1:13" x14ac:dyDescent="0.25">
      <c r="A122">
        <v>10293</v>
      </c>
      <c r="B122">
        <v>24</v>
      </c>
      <c r="C122" s="6">
        <v>3.6</v>
      </c>
      <c r="D122">
        <v>10</v>
      </c>
      <c r="E122" s="6" t="s">
        <v>6</v>
      </c>
      <c r="F122" t="str">
        <f>_xlfn.XLOOKUP(northwind_order_details[[#This Row],[order_id]],northwind_orders[order_id],northwind_orders[ship_country])</f>
        <v>Mexico</v>
      </c>
      <c r="G122">
        <f>INDEX(northwind_orders[],MATCH(northwind_order_details[[#This Row],[order_id]], northwind_orders[order_id], 0), MATCH("employee_id", northwind_orders[#Headers], 0))</f>
        <v>1</v>
      </c>
      <c r="H122">
        <f>northwind_order_details[[#This Row],[unit_price]]*northwind_order_details[[#This Row],[quantity]]</f>
        <v>36</v>
      </c>
      <c r="I122" s="1">
        <f>northwind_order_details[[#This Row],[purchase amount]]*northwind_order_details[[#This Row],[discount]]</f>
        <v>0</v>
      </c>
      <c r="J122" s="1">
        <f>northwind_order_details[[#This Row],[purchase amount]]-northwind_order_details[[#This Row],[discount amount]]</f>
        <v>36</v>
      </c>
      <c r="K122" s="6" t="str">
        <f>IF(northwind_order_details[[#This Row],[discount amount]]&gt;0,"Yes","No")</f>
        <v>No</v>
      </c>
      <c r="L122" s="1" t="str">
        <f>IF(northwind_order_details[[#This Row],[Revenue]]&gt;1000,"High",IF(northwind_order_details[[#This Row],[Revenue]]&gt;300,"Medium","Low"))</f>
        <v>Low</v>
      </c>
      <c r="M1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3" spans="1:13" x14ac:dyDescent="0.25">
      <c r="A123">
        <v>10293</v>
      </c>
      <c r="B123">
        <v>63</v>
      </c>
      <c r="C123" s="6">
        <v>35.1</v>
      </c>
      <c r="D123">
        <v>5</v>
      </c>
      <c r="E123" s="6" t="s">
        <v>6</v>
      </c>
      <c r="F123" t="str">
        <f>_xlfn.XLOOKUP(northwind_order_details[[#This Row],[order_id]],northwind_orders[order_id],northwind_orders[ship_country])</f>
        <v>Mexico</v>
      </c>
      <c r="G123">
        <f>INDEX(northwind_orders[],MATCH(northwind_order_details[[#This Row],[order_id]], northwind_orders[order_id], 0), MATCH("employee_id", northwind_orders[#Headers], 0))</f>
        <v>1</v>
      </c>
      <c r="H123">
        <f>northwind_order_details[[#This Row],[unit_price]]*northwind_order_details[[#This Row],[quantity]]</f>
        <v>175.5</v>
      </c>
      <c r="I123" s="1">
        <f>northwind_order_details[[#This Row],[purchase amount]]*northwind_order_details[[#This Row],[discount]]</f>
        <v>0</v>
      </c>
      <c r="J123" s="1">
        <f>northwind_order_details[[#This Row],[purchase amount]]-northwind_order_details[[#This Row],[discount amount]]</f>
        <v>175.5</v>
      </c>
      <c r="K123" s="6" t="str">
        <f>IF(northwind_order_details[[#This Row],[discount amount]]&gt;0,"Yes","No")</f>
        <v>No</v>
      </c>
      <c r="L123" s="1" t="str">
        <f>IF(northwind_order_details[[#This Row],[Revenue]]&gt;1000,"High",IF(northwind_order_details[[#This Row],[Revenue]]&gt;300,"Medium","Low"))</f>
        <v>Low</v>
      </c>
      <c r="M1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4" spans="1:13" x14ac:dyDescent="0.25">
      <c r="A124">
        <v>10293</v>
      </c>
      <c r="B124">
        <v>75</v>
      </c>
      <c r="C124" s="6">
        <v>6.2</v>
      </c>
      <c r="D124">
        <v>6</v>
      </c>
      <c r="E124" s="6" t="s">
        <v>6</v>
      </c>
      <c r="F124" t="str">
        <f>_xlfn.XLOOKUP(northwind_order_details[[#This Row],[order_id]],northwind_orders[order_id],northwind_orders[ship_country])</f>
        <v>Mexico</v>
      </c>
      <c r="G124">
        <f>INDEX(northwind_orders[],MATCH(northwind_order_details[[#This Row],[order_id]], northwind_orders[order_id], 0), MATCH("employee_id", northwind_orders[#Headers], 0))</f>
        <v>1</v>
      </c>
      <c r="H124">
        <f>northwind_order_details[[#This Row],[unit_price]]*northwind_order_details[[#This Row],[quantity]]</f>
        <v>37.200000000000003</v>
      </c>
      <c r="I124" s="1">
        <f>northwind_order_details[[#This Row],[purchase amount]]*northwind_order_details[[#This Row],[discount]]</f>
        <v>0</v>
      </c>
      <c r="J124" s="1">
        <f>northwind_order_details[[#This Row],[purchase amount]]-northwind_order_details[[#This Row],[discount amount]]</f>
        <v>37.200000000000003</v>
      </c>
      <c r="K124" s="6" t="str">
        <f>IF(northwind_order_details[[#This Row],[discount amount]]&gt;0,"Yes","No")</f>
        <v>No</v>
      </c>
      <c r="L124" s="1" t="str">
        <f>IF(northwind_order_details[[#This Row],[Revenue]]&gt;1000,"High",IF(northwind_order_details[[#This Row],[Revenue]]&gt;300,"Medium","Low"))</f>
        <v>Low</v>
      </c>
      <c r="M1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" spans="1:13" x14ac:dyDescent="0.25">
      <c r="A125">
        <v>10294</v>
      </c>
      <c r="B125">
        <v>1</v>
      </c>
      <c r="C125" s="6">
        <v>14.4</v>
      </c>
      <c r="D125">
        <v>18</v>
      </c>
      <c r="E125" s="6" t="s">
        <v>6</v>
      </c>
      <c r="F125" t="str">
        <f>_xlfn.XLOOKUP(northwind_order_details[[#This Row],[order_id]],northwind_orders[order_id],northwind_orders[ship_country])</f>
        <v>USA</v>
      </c>
      <c r="G125">
        <f>INDEX(northwind_orders[],MATCH(northwind_order_details[[#This Row],[order_id]], northwind_orders[order_id], 0), MATCH("employee_id", northwind_orders[#Headers], 0))</f>
        <v>4</v>
      </c>
      <c r="H125">
        <f>northwind_order_details[[#This Row],[unit_price]]*northwind_order_details[[#This Row],[quantity]]</f>
        <v>259.2</v>
      </c>
      <c r="I125" s="1">
        <f>northwind_order_details[[#This Row],[purchase amount]]*northwind_order_details[[#This Row],[discount]]</f>
        <v>0</v>
      </c>
      <c r="J125" s="1">
        <f>northwind_order_details[[#This Row],[purchase amount]]-northwind_order_details[[#This Row],[discount amount]]</f>
        <v>259.2</v>
      </c>
      <c r="K125" s="6" t="str">
        <f>IF(northwind_order_details[[#This Row],[discount amount]]&gt;0,"Yes","No")</f>
        <v>No</v>
      </c>
      <c r="L125" s="1" t="str">
        <f>IF(northwind_order_details[[#This Row],[Revenue]]&gt;1000,"High",IF(northwind_order_details[[#This Row],[Revenue]]&gt;300,"Medium","Low"))</f>
        <v>Low</v>
      </c>
      <c r="M1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6" spans="1:13" x14ac:dyDescent="0.25">
      <c r="A126">
        <v>10294</v>
      </c>
      <c r="B126">
        <v>17</v>
      </c>
      <c r="C126" s="6">
        <v>31.2</v>
      </c>
      <c r="D126">
        <v>15</v>
      </c>
      <c r="E126" s="6" t="s">
        <v>6</v>
      </c>
      <c r="F126" t="str">
        <f>_xlfn.XLOOKUP(northwind_order_details[[#This Row],[order_id]],northwind_orders[order_id],northwind_orders[ship_country])</f>
        <v>USA</v>
      </c>
      <c r="G126">
        <f>INDEX(northwind_orders[],MATCH(northwind_order_details[[#This Row],[order_id]], northwind_orders[order_id], 0), MATCH("employee_id", northwind_orders[#Headers], 0))</f>
        <v>4</v>
      </c>
      <c r="H126">
        <f>northwind_order_details[[#This Row],[unit_price]]*northwind_order_details[[#This Row],[quantity]]</f>
        <v>468</v>
      </c>
      <c r="I126" s="1">
        <f>northwind_order_details[[#This Row],[purchase amount]]*northwind_order_details[[#This Row],[discount]]</f>
        <v>0</v>
      </c>
      <c r="J126" s="1">
        <f>northwind_order_details[[#This Row],[purchase amount]]-northwind_order_details[[#This Row],[discount amount]]</f>
        <v>468</v>
      </c>
      <c r="K126" s="6" t="str">
        <f>IF(northwind_order_details[[#This Row],[discount amount]]&gt;0,"Yes","No")</f>
        <v>No</v>
      </c>
      <c r="L126" s="1" t="str">
        <f>IF(northwind_order_details[[#This Row],[Revenue]]&gt;1000,"High",IF(northwind_order_details[[#This Row],[Revenue]]&gt;300,"Medium","Low"))</f>
        <v>Medium</v>
      </c>
      <c r="M1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" spans="1:13" x14ac:dyDescent="0.25">
      <c r="A127">
        <v>10294</v>
      </c>
      <c r="B127">
        <v>43</v>
      </c>
      <c r="C127" s="6">
        <v>36.799999999999997</v>
      </c>
      <c r="D127">
        <v>15</v>
      </c>
      <c r="E127" s="6" t="s">
        <v>6</v>
      </c>
      <c r="F127" t="str">
        <f>_xlfn.XLOOKUP(northwind_order_details[[#This Row],[order_id]],northwind_orders[order_id],northwind_orders[ship_country])</f>
        <v>USA</v>
      </c>
      <c r="G127">
        <f>INDEX(northwind_orders[],MATCH(northwind_order_details[[#This Row],[order_id]], northwind_orders[order_id], 0), MATCH("employee_id", northwind_orders[#Headers], 0))</f>
        <v>4</v>
      </c>
      <c r="H127">
        <f>northwind_order_details[[#This Row],[unit_price]]*northwind_order_details[[#This Row],[quantity]]</f>
        <v>552</v>
      </c>
      <c r="I127" s="1">
        <f>northwind_order_details[[#This Row],[purchase amount]]*northwind_order_details[[#This Row],[discount]]</f>
        <v>0</v>
      </c>
      <c r="J127" s="1">
        <f>northwind_order_details[[#This Row],[purchase amount]]-northwind_order_details[[#This Row],[discount amount]]</f>
        <v>552</v>
      </c>
      <c r="K127" s="6" t="str">
        <f>IF(northwind_order_details[[#This Row],[discount amount]]&gt;0,"Yes","No")</f>
        <v>No</v>
      </c>
      <c r="L127" s="1" t="str">
        <f>IF(northwind_order_details[[#This Row],[Revenue]]&gt;1000,"High",IF(northwind_order_details[[#This Row],[Revenue]]&gt;300,"Medium","Low"))</f>
        <v>Medium</v>
      </c>
      <c r="M1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8" spans="1:13" x14ac:dyDescent="0.25">
      <c r="A128">
        <v>10294</v>
      </c>
      <c r="B128">
        <v>60</v>
      </c>
      <c r="C128" s="6">
        <v>27.2</v>
      </c>
      <c r="D128">
        <v>21</v>
      </c>
      <c r="E128" s="6" t="s">
        <v>6</v>
      </c>
      <c r="F128" t="str">
        <f>_xlfn.XLOOKUP(northwind_order_details[[#This Row],[order_id]],northwind_orders[order_id],northwind_orders[ship_country])</f>
        <v>USA</v>
      </c>
      <c r="G128">
        <f>INDEX(northwind_orders[],MATCH(northwind_order_details[[#This Row],[order_id]], northwind_orders[order_id], 0), MATCH("employee_id", northwind_orders[#Headers], 0))</f>
        <v>4</v>
      </c>
      <c r="H128">
        <f>northwind_order_details[[#This Row],[unit_price]]*northwind_order_details[[#This Row],[quantity]]</f>
        <v>571.19999999999993</v>
      </c>
      <c r="I128" s="1">
        <f>northwind_order_details[[#This Row],[purchase amount]]*northwind_order_details[[#This Row],[discount]]</f>
        <v>0</v>
      </c>
      <c r="J128" s="1">
        <f>northwind_order_details[[#This Row],[purchase amount]]-northwind_order_details[[#This Row],[discount amount]]</f>
        <v>571.19999999999993</v>
      </c>
      <c r="K128" s="6" t="str">
        <f>IF(northwind_order_details[[#This Row],[discount amount]]&gt;0,"Yes","No")</f>
        <v>No</v>
      </c>
      <c r="L128" s="1" t="str">
        <f>IF(northwind_order_details[[#This Row],[Revenue]]&gt;1000,"High",IF(northwind_order_details[[#This Row],[Revenue]]&gt;300,"Medium","Low"))</f>
        <v>Medium</v>
      </c>
      <c r="M1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9" spans="1:13" x14ac:dyDescent="0.25">
      <c r="A129">
        <v>10294</v>
      </c>
      <c r="B129">
        <v>75</v>
      </c>
      <c r="C129" s="6">
        <v>6.2</v>
      </c>
      <c r="D129">
        <v>6</v>
      </c>
      <c r="E129" s="6" t="s">
        <v>6</v>
      </c>
      <c r="F129" t="str">
        <f>_xlfn.XLOOKUP(northwind_order_details[[#This Row],[order_id]],northwind_orders[order_id],northwind_orders[ship_country])</f>
        <v>USA</v>
      </c>
      <c r="G129">
        <f>INDEX(northwind_orders[],MATCH(northwind_order_details[[#This Row],[order_id]], northwind_orders[order_id], 0), MATCH("employee_id", northwind_orders[#Headers], 0))</f>
        <v>4</v>
      </c>
      <c r="H129">
        <f>northwind_order_details[[#This Row],[unit_price]]*northwind_order_details[[#This Row],[quantity]]</f>
        <v>37.200000000000003</v>
      </c>
      <c r="I129" s="1">
        <f>northwind_order_details[[#This Row],[purchase amount]]*northwind_order_details[[#This Row],[discount]]</f>
        <v>0</v>
      </c>
      <c r="J129" s="1">
        <f>northwind_order_details[[#This Row],[purchase amount]]-northwind_order_details[[#This Row],[discount amount]]</f>
        <v>37.200000000000003</v>
      </c>
      <c r="K129" s="6" t="str">
        <f>IF(northwind_order_details[[#This Row],[discount amount]]&gt;0,"Yes","No")</f>
        <v>No</v>
      </c>
      <c r="L129" s="1" t="str">
        <f>IF(northwind_order_details[[#This Row],[Revenue]]&gt;1000,"High",IF(northwind_order_details[[#This Row],[Revenue]]&gt;300,"Medium","Low"))</f>
        <v>Low</v>
      </c>
      <c r="M1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" spans="1:13" x14ac:dyDescent="0.25">
      <c r="A130">
        <v>10295</v>
      </c>
      <c r="B130">
        <v>56</v>
      </c>
      <c r="C130" s="6">
        <v>30.4</v>
      </c>
      <c r="D130">
        <v>4</v>
      </c>
      <c r="E130" s="6" t="s">
        <v>6</v>
      </c>
      <c r="F130" t="str">
        <f>_xlfn.XLOOKUP(northwind_order_details[[#This Row],[order_id]],northwind_orders[order_id],northwind_orders[ship_country])</f>
        <v>France</v>
      </c>
      <c r="G130">
        <f>INDEX(northwind_orders[],MATCH(northwind_order_details[[#This Row],[order_id]], northwind_orders[order_id], 0), MATCH("employee_id", northwind_orders[#Headers], 0))</f>
        <v>2</v>
      </c>
      <c r="H130">
        <f>northwind_order_details[[#This Row],[unit_price]]*northwind_order_details[[#This Row],[quantity]]</f>
        <v>121.6</v>
      </c>
      <c r="I130" s="1">
        <f>northwind_order_details[[#This Row],[purchase amount]]*northwind_order_details[[#This Row],[discount]]</f>
        <v>0</v>
      </c>
      <c r="J130" s="1">
        <f>northwind_order_details[[#This Row],[purchase amount]]-northwind_order_details[[#This Row],[discount amount]]</f>
        <v>121.6</v>
      </c>
      <c r="K130" s="6" t="str">
        <f>IF(northwind_order_details[[#This Row],[discount amount]]&gt;0,"Yes","No")</f>
        <v>No</v>
      </c>
      <c r="L130" s="1" t="str">
        <f>IF(northwind_order_details[[#This Row],[Revenue]]&gt;1000,"High",IF(northwind_order_details[[#This Row],[Revenue]]&gt;300,"Medium","Low"))</f>
        <v>Low</v>
      </c>
      <c r="M1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" spans="1:13" x14ac:dyDescent="0.25">
      <c r="A131">
        <v>10296</v>
      </c>
      <c r="B131">
        <v>11</v>
      </c>
      <c r="C131" s="6">
        <v>16.8</v>
      </c>
      <c r="D131">
        <v>12</v>
      </c>
      <c r="E131" s="6" t="s">
        <v>6</v>
      </c>
      <c r="F131" t="str">
        <f>_xlfn.XLOOKUP(northwind_order_details[[#This Row],[order_id]],northwind_orders[order_id],northwind_orders[ship_country])</f>
        <v>Venezuela</v>
      </c>
      <c r="G131">
        <f>INDEX(northwind_orders[],MATCH(northwind_order_details[[#This Row],[order_id]], northwind_orders[order_id], 0), MATCH("employee_id", northwind_orders[#Headers], 0))</f>
        <v>6</v>
      </c>
      <c r="H131">
        <f>northwind_order_details[[#This Row],[unit_price]]*northwind_order_details[[#This Row],[quantity]]</f>
        <v>201.60000000000002</v>
      </c>
      <c r="I131" s="1">
        <f>northwind_order_details[[#This Row],[purchase amount]]*northwind_order_details[[#This Row],[discount]]</f>
        <v>0</v>
      </c>
      <c r="J131" s="1">
        <f>northwind_order_details[[#This Row],[purchase amount]]-northwind_order_details[[#This Row],[discount amount]]</f>
        <v>201.60000000000002</v>
      </c>
      <c r="K131" s="6" t="str">
        <f>IF(northwind_order_details[[#This Row],[discount amount]]&gt;0,"Yes","No")</f>
        <v>No</v>
      </c>
      <c r="L131" s="1" t="str">
        <f>IF(northwind_order_details[[#This Row],[Revenue]]&gt;1000,"High",IF(northwind_order_details[[#This Row],[Revenue]]&gt;300,"Medium","Low"))</f>
        <v>Low</v>
      </c>
      <c r="M1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" spans="1:13" x14ac:dyDescent="0.25">
      <c r="A132">
        <v>10296</v>
      </c>
      <c r="B132">
        <v>16</v>
      </c>
      <c r="C132" s="6">
        <v>13.9</v>
      </c>
      <c r="D132">
        <v>30</v>
      </c>
      <c r="E132" s="6" t="s">
        <v>6</v>
      </c>
      <c r="F132" t="str">
        <f>_xlfn.XLOOKUP(northwind_order_details[[#This Row],[order_id]],northwind_orders[order_id],northwind_orders[ship_country])</f>
        <v>Venezuela</v>
      </c>
      <c r="G132">
        <f>INDEX(northwind_orders[],MATCH(northwind_order_details[[#This Row],[order_id]], northwind_orders[order_id], 0), MATCH("employee_id", northwind_orders[#Headers], 0))</f>
        <v>6</v>
      </c>
      <c r="H132">
        <f>northwind_order_details[[#This Row],[unit_price]]*northwind_order_details[[#This Row],[quantity]]</f>
        <v>417</v>
      </c>
      <c r="I132" s="1">
        <f>northwind_order_details[[#This Row],[purchase amount]]*northwind_order_details[[#This Row],[discount]]</f>
        <v>0</v>
      </c>
      <c r="J132" s="1">
        <f>northwind_order_details[[#This Row],[purchase amount]]-northwind_order_details[[#This Row],[discount amount]]</f>
        <v>417</v>
      </c>
      <c r="K132" s="6" t="str">
        <f>IF(northwind_order_details[[#This Row],[discount amount]]&gt;0,"Yes","No")</f>
        <v>No</v>
      </c>
      <c r="L132" s="1" t="str">
        <f>IF(northwind_order_details[[#This Row],[Revenue]]&gt;1000,"High",IF(northwind_order_details[[#This Row],[Revenue]]&gt;300,"Medium","Low"))</f>
        <v>Medium</v>
      </c>
      <c r="M1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3" spans="1:13" x14ac:dyDescent="0.25">
      <c r="A133">
        <v>10296</v>
      </c>
      <c r="B133">
        <v>69</v>
      </c>
      <c r="C133" s="6">
        <v>28.8</v>
      </c>
      <c r="D133">
        <v>15</v>
      </c>
      <c r="E133" s="6" t="s">
        <v>6</v>
      </c>
      <c r="F133" t="str">
        <f>_xlfn.XLOOKUP(northwind_order_details[[#This Row],[order_id]],northwind_orders[order_id],northwind_orders[ship_country])</f>
        <v>Venezuela</v>
      </c>
      <c r="G133">
        <f>INDEX(northwind_orders[],MATCH(northwind_order_details[[#This Row],[order_id]], northwind_orders[order_id], 0), MATCH("employee_id", northwind_orders[#Headers], 0))</f>
        <v>6</v>
      </c>
      <c r="H133">
        <f>northwind_order_details[[#This Row],[unit_price]]*northwind_order_details[[#This Row],[quantity]]</f>
        <v>432</v>
      </c>
      <c r="I133" s="1">
        <f>northwind_order_details[[#This Row],[purchase amount]]*northwind_order_details[[#This Row],[discount]]</f>
        <v>0</v>
      </c>
      <c r="J133" s="1">
        <f>northwind_order_details[[#This Row],[purchase amount]]-northwind_order_details[[#This Row],[discount amount]]</f>
        <v>432</v>
      </c>
      <c r="K133" s="6" t="str">
        <f>IF(northwind_order_details[[#This Row],[discount amount]]&gt;0,"Yes","No")</f>
        <v>No</v>
      </c>
      <c r="L133" s="1" t="str">
        <f>IF(northwind_order_details[[#This Row],[Revenue]]&gt;1000,"High",IF(northwind_order_details[[#This Row],[Revenue]]&gt;300,"Medium","Low"))</f>
        <v>Medium</v>
      </c>
      <c r="M1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4" spans="1:13" x14ac:dyDescent="0.25">
      <c r="A134">
        <v>10297</v>
      </c>
      <c r="B134">
        <v>39</v>
      </c>
      <c r="C134" s="6">
        <v>14.4</v>
      </c>
      <c r="D134">
        <v>60</v>
      </c>
      <c r="E134" s="6" t="s">
        <v>6</v>
      </c>
      <c r="F134" t="str">
        <f>_xlfn.XLOOKUP(northwind_order_details[[#This Row],[order_id]],northwind_orders[order_id],northwind_orders[ship_country])</f>
        <v>France</v>
      </c>
      <c r="G134">
        <f>INDEX(northwind_orders[],MATCH(northwind_order_details[[#This Row],[order_id]], northwind_orders[order_id], 0), MATCH("employee_id", northwind_orders[#Headers], 0))</f>
        <v>5</v>
      </c>
      <c r="H134">
        <f>northwind_order_details[[#This Row],[unit_price]]*northwind_order_details[[#This Row],[quantity]]</f>
        <v>864</v>
      </c>
      <c r="I134" s="1">
        <f>northwind_order_details[[#This Row],[purchase amount]]*northwind_order_details[[#This Row],[discount]]</f>
        <v>0</v>
      </c>
      <c r="J134" s="1">
        <f>northwind_order_details[[#This Row],[purchase amount]]-northwind_order_details[[#This Row],[discount amount]]</f>
        <v>864</v>
      </c>
      <c r="K134" s="6" t="str">
        <f>IF(northwind_order_details[[#This Row],[discount amount]]&gt;0,"Yes","No")</f>
        <v>No</v>
      </c>
      <c r="L134" s="1" t="str">
        <f>IF(northwind_order_details[[#This Row],[Revenue]]&gt;1000,"High",IF(northwind_order_details[[#This Row],[Revenue]]&gt;300,"Medium","Low"))</f>
        <v>Medium</v>
      </c>
      <c r="M1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5" spans="1:13" x14ac:dyDescent="0.25">
      <c r="A135">
        <v>10297</v>
      </c>
      <c r="B135">
        <v>72</v>
      </c>
      <c r="C135" s="6">
        <v>27.8</v>
      </c>
      <c r="D135">
        <v>20</v>
      </c>
      <c r="E135" s="6" t="s">
        <v>6</v>
      </c>
      <c r="F135" t="str">
        <f>_xlfn.XLOOKUP(northwind_order_details[[#This Row],[order_id]],northwind_orders[order_id],northwind_orders[ship_country])</f>
        <v>France</v>
      </c>
      <c r="G135">
        <f>INDEX(northwind_orders[],MATCH(northwind_order_details[[#This Row],[order_id]], northwind_orders[order_id], 0), MATCH("employee_id", northwind_orders[#Headers], 0))</f>
        <v>5</v>
      </c>
      <c r="H135">
        <f>northwind_order_details[[#This Row],[unit_price]]*northwind_order_details[[#This Row],[quantity]]</f>
        <v>556</v>
      </c>
      <c r="I135" s="1">
        <f>northwind_order_details[[#This Row],[purchase amount]]*northwind_order_details[[#This Row],[discount]]</f>
        <v>0</v>
      </c>
      <c r="J135" s="1">
        <f>northwind_order_details[[#This Row],[purchase amount]]-northwind_order_details[[#This Row],[discount amount]]</f>
        <v>556</v>
      </c>
      <c r="K135" s="6" t="str">
        <f>IF(northwind_order_details[[#This Row],[discount amount]]&gt;0,"Yes","No")</f>
        <v>No</v>
      </c>
      <c r="L135" s="1" t="str">
        <f>IF(northwind_order_details[[#This Row],[Revenue]]&gt;1000,"High",IF(northwind_order_details[[#This Row],[Revenue]]&gt;300,"Medium","Low"))</f>
        <v>Medium</v>
      </c>
      <c r="M1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6" spans="1:13" x14ac:dyDescent="0.25">
      <c r="A136">
        <v>10299</v>
      </c>
      <c r="B136">
        <v>19</v>
      </c>
      <c r="C136" s="6">
        <v>7.3</v>
      </c>
      <c r="D136">
        <v>15</v>
      </c>
      <c r="E136" s="6" t="s">
        <v>6</v>
      </c>
      <c r="F136" t="str">
        <f>_xlfn.XLOOKUP(northwind_order_details[[#This Row],[order_id]],northwind_orders[order_id],northwind_orders[ship_country])</f>
        <v>Brazil</v>
      </c>
      <c r="G136">
        <f>INDEX(northwind_orders[],MATCH(northwind_order_details[[#This Row],[order_id]], northwind_orders[order_id], 0), MATCH("employee_id", northwind_orders[#Headers], 0))</f>
        <v>4</v>
      </c>
      <c r="H136">
        <f>northwind_order_details[[#This Row],[unit_price]]*northwind_order_details[[#This Row],[quantity]]</f>
        <v>109.5</v>
      </c>
      <c r="I136" s="1">
        <f>northwind_order_details[[#This Row],[purchase amount]]*northwind_order_details[[#This Row],[discount]]</f>
        <v>0</v>
      </c>
      <c r="J136" s="1">
        <f>northwind_order_details[[#This Row],[purchase amount]]-northwind_order_details[[#This Row],[discount amount]]</f>
        <v>109.5</v>
      </c>
      <c r="K136" s="6" t="str">
        <f>IF(northwind_order_details[[#This Row],[discount amount]]&gt;0,"Yes","No")</f>
        <v>No</v>
      </c>
      <c r="L136" s="1" t="str">
        <f>IF(northwind_order_details[[#This Row],[Revenue]]&gt;1000,"High",IF(northwind_order_details[[#This Row],[Revenue]]&gt;300,"Medium","Low"))</f>
        <v>Low</v>
      </c>
      <c r="M1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7" spans="1:13" x14ac:dyDescent="0.25">
      <c r="A137">
        <v>10299</v>
      </c>
      <c r="B137">
        <v>70</v>
      </c>
      <c r="C137" s="6" t="s">
        <v>13</v>
      </c>
      <c r="D137">
        <v>20</v>
      </c>
      <c r="E137" s="6" t="s">
        <v>6</v>
      </c>
      <c r="F137" t="str">
        <f>_xlfn.XLOOKUP(northwind_order_details[[#This Row],[order_id]],northwind_orders[order_id],northwind_orders[ship_country])</f>
        <v>Brazil</v>
      </c>
      <c r="G137">
        <f>INDEX(northwind_orders[],MATCH(northwind_order_details[[#This Row],[order_id]], northwind_orders[order_id], 0), MATCH("employee_id", northwind_orders[#Headers], 0))</f>
        <v>4</v>
      </c>
      <c r="H137">
        <f>northwind_order_details[[#This Row],[unit_price]]*northwind_order_details[[#This Row],[quantity]]</f>
        <v>240</v>
      </c>
      <c r="I137" s="1">
        <f>northwind_order_details[[#This Row],[purchase amount]]*northwind_order_details[[#This Row],[discount]]</f>
        <v>0</v>
      </c>
      <c r="J137" s="1">
        <f>northwind_order_details[[#This Row],[purchase amount]]-northwind_order_details[[#This Row],[discount amount]]</f>
        <v>240</v>
      </c>
      <c r="K137" s="6" t="str">
        <f>IF(northwind_order_details[[#This Row],[discount amount]]&gt;0,"Yes","No")</f>
        <v>No</v>
      </c>
      <c r="L137" s="1" t="str">
        <f>IF(northwind_order_details[[#This Row],[Revenue]]&gt;1000,"High",IF(northwind_order_details[[#This Row],[Revenue]]&gt;300,"Medium","Low"))</f>
        <v>Low</v>
      </c>
      <c r="M1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8" spans="1:13" x14ac:dyDescent="0.25">
      <c r="A138">
        <v>10300</v>
      </c>
      <c r="B138">
        <v>66</v>
      </c>
      <c r="C138" s="6">
        <v>13.6</v>
      </c>
      <c r="D138">
        <v>30</v>
      </c>
      <c r="E138" s="6" t="s">
        <v>6</v>
      </c>
      <c r="F138" t="str">
        <f>_xlfn.XLOOKUP(northwind_order_details[[#This Row],[order_id]],northwind_orders[order_id],northwind_orders[ship_country])</f>
        <v>Italy</v>
      </c>
      <c r="G138">
        <f>INDEX(northwind_orders[],MATCH(northwind_order_details[[#This Row],[order_id]], northwind_orders[order_id], 0), MATCH("employee_id", northwind_orders[#Headers], 0))</f>
        <v>2</v>
      </c>
      <c r="H138">
        <f>northwind_order_details[[#This Row],[unit_price]]*northwind_order_details[[#This Row],[quantity]]</f>
        <v>408</v>
      </c>
      <c r="I138" s="1">
        <f>northwind_order_details[[#This Row],[purchase amount]]*northwind_order_details[[#This Row],[discount]]</f>
        <v>0</v>
      </c>
      <c r="J138" s="1">
        <f>northwind_order_details[[#This Row],[purchase amount]]-northwind_order_details[[#This Row],[discount amount]]</f>
        <v>408</v>
      </c>
      <c r="K138" s="6" t="str">
        <f>IF(northwind_order_details[[#This Row],[discount amount]]&gt;0,"Yes","No")</f>
        <v>No</v>
      </c>
      <c r="L138" s="1" t="str">
        <f>IF(northwind_order_details[[#This Row],[Revenue]]&gt;1000,"High",IF(northwind_order_details[[#This Row],[Revenue]]&gt;300,"Medium","Low"))</f>
        <v>Medium</v>
      </c>
      <c r="M1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9" spans="1:13" x14ac:dyDescent="0.25">
      <c r="A139">
        <v>10300</v>
      </c>
      <c r="B139">
        <v>68</v>
      </c>
      <c r="C139" s="6" t="s">
        <v>8</v>
      </c>
      <c r="D139">
        <v>20</v>
      </c>
      <c r="E139" s="6" t="s">
        <v>6</v>
      </c>
      <c r="F139" t="str">
        <f>_xlfn.XLOOKUP(northwind_order_details[[#This Row],[order_id]],northwind_orders[order_id],northwind_orders[ship_country])</f>
        <v>Italy</v>
      </c>
      <c r="G139">
        <f>INDEX(northwind_orders[],MATCH(northwind_order_details[[#This Row],[order_id]], northwind_orders[order_id], 0), MATCH("employee_id", northwind_orders[#Headers], 0))</f>
        <v>2</v>
      </c>
      <c r="H139">
        <f>northwind_order_details[[#This Row],[unit_price]]*northwind_order_details[[#This Row],[quantity]]</f>
        <v>200</v>
      </c>
      <c r="I139" s="1">
        <f>northwind_order_details[[#This Row],[purchase amount]]*northwind_order_details[[#This Row],[discount]]</f>
        <v>0</v>
      </c>
      <c r="J139" s="1">
        <f>northwind_order_details[[#This Row],[purchase amount]]-northwind_order_details[[#This Row],[discount amount]]</f>
        <v>200</v>
      </c>
      <c r="K139" s="6" t="str">
        <f>IF(northwind_order_details[[#This Row],[discount amount]]&gt;0,"Yes","No")</f>
        <v>No</v>
      </c>
      <c r="L139" s="1" t="str">
        <f>IF(northwind_order_details[[#This Row],[Revenue]]&gt;1000,"High",IF(northwind_order_details[[#This Row],[Revenue]]&gt;300,"Medium","Low"))</f>
        <v>Low</v>
      </c>
      <c r="M1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" spans="1:13" x14ac:dyDescent="0.25">
      <c r="A140">
        <v>10301</v>
      </c>
      <c r="B140">
        <v>40</v>
      </c>
      <c r="C140" s="6">
        <v>14.7</v>
      </c>
      <c r="D140">
        <v>10</v>
      </c>
      <c r="E140" s="6" t="s">
        <v>6</v>
      </c>
      <c r="F140" t="str">
        <f>_xlfn.XLOOKUP(northwind_order_details[[#This Row],[order_id]],northwind_orders[order_id],northwind_orders[ship_country])</f>
        <v>Germany</v>
      </c>
      <c r="G140">
        <f>INDEX(northwind_orders[],MATCH(northwind_order_details[[#This Row],[order_id]], northwind_orders[order_id], 0), MATCH("employee_id", northwind_orders[#Headers], 0))</f>
        <v>8</v>
      </c>
      <c r="H140">
        <f>northwind_order_details[[#This Row],[unit_price]]*northwind_order_details[[#This Row],[quantity]]</f>
        <v>147</v>
      </c>
      <c r="I140" s="1">
        <f>northwind_order_details[[#This Row],[purchase amount]]*northwind_order_details[[#This Row],[discount]]</f>
        <v>0</v>
      </c>
      <c r="J140" s="1">
        <f>northwind_order_details[[#This Row],[purchase amount]]-northwind_order_details[[#This Row],[discount amount]]</f>
        <v>147</v>
      </c>
      <c r="K140" s="6" t="str">
        <f>IF(northwind_order_details[[#This Row],[discount amount]]&gt;0,"Yes","No")</f>
        <v>No</v>
      </c>
      <c r="L140" s="1" t="str">
        <f>IF(northwind_order_details[[#This Row],[Revenue]]&gt;1000,"High",IF(northwind_order_details[[#This Row],[Revenue]]&gt;300,"Medium","Low"))</f>
        <v>Low</v>
      </c>
      <c r="M1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" spans="1:13" x14ac:dyDescent="0.25">
      <c r="A141">
        <v>10301</v>
      </c>
      <c r="B141">
        <v>56</v>
      </c>
      <c r="C141" s="6">
        <v>30.4</v>
      </c>
      <c r="D141">
        <v>20</v>
      </c>
      <c r="E141" s="6" t="s">
        <v>6</v>
      </c>
      <c r="F141" t="str">
        <f>_xlfn.XLOOKUP(northwind_order_details[[#This Row],[order_id]],northwind_orders[order_id],northwind_orders[ship_country])</f>
        <v>Germany</v>
      </c>
      <c r="G141">
        <f>INDEX(northwind_orders[],MATCH(northwind_order_details[[#This Row],[order_id]], northwind_orders[order_id], 0), MATCH("employee_id", northwind_orders[#Headers], 0))</f>
        <v>8</v>
      </c>
      <c r="H141">
        <f>northwind_order_details[[#This Row],[unit_price]]*northwind_order_details[[#This Row],[quantity]]</f>
        <v>608</v>
      </c>
      <c r="I141" s="1">
        <f>northwind_order_details[[#This Row],[purchase amount]]*northwind_order_details[[#This Row],[discount]]</f>
        <v>0</v>
      </c>
      <c r="J141" s="1">
        <f>northwind_order_details[[#This Row],[purchase amount]]-northwind_order_details[[#This Row],[discount amount]]</f>
        <v>608</v>
      </c>
      <c r="K141" s="6" t="str">
        <f>IF(northwind_order_details[[#This Row],[discount amount]]&gt;0,"Yes","No")</f>
        <v>No</v>
      </c>
      <c r="L141" s="1" t="str">
        <f>IF(northwind_order_details[[#This Row],[Revenue]]&gt;1000,"High",IF(northwind_order_details[[#This Row],[Revenue]]&gt;300,"Medium","Low"))</f>
        <v>Medium</v>
      </c>
      <c r="M1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" spans="1:13" x14ac:dyDescent="0.25">
      <c r="A142">
        <v>10302</v>
      </c>
      <c r="B142">
        <v>17</v>
      </c>
      <c r="C142" s="6">
        <v>31.2</v>
      </c>
      <c r="D142">
        <v>40</v>
      </c>
      <c r="E142" s="6" t="s">
        <v>6</v>
      </c>
      <c r="F142" t="str">
        <f>_xlfn.XLOOKUP(northwind_order_details[[#This Row],[order_id]],northwind_orders[order_id],northwind_orders[ship_country])</f>
        <v>Belgium</v>
      </c>
      <c r="G142">
        <f>INDEX(northwind_orders[],MATCH(northwind_order_details[[#This Row],[order_id]], northwind_orders[order_id], 0), MATCH("employee_id", northwind_orders[#Headers], 0))</f>
        <v>4</v>
      </c>
      <c r="H142">
        <f>northwind_order_details[[#This Row],[unit_price]]*northwind_order_details[[#This Row],[quantity]]</f>
        <v>1248</v>
      </c>
      <c r="I142" s="1">
        <f>northwind_order_details[[#This Row],[purchase amount]]*northwind_order_details[[#This Row],[discount]]</f>
        <v>0</v>
      </c>
      <c r="J142" s="1">
        <f>northwind_order_details[[#This Row],[purchase amount]]-northwind_order_details[[#This Row],[discount amount]]</f>
        <v>1248</v>
      </c>
      <c r="K142" s="6" t="str">
        <f>IF(northwind_order_details[[#This Row],[discount amount]]&gt;0,"Yes","No")</f>
        <v>No</v>
      </c>
      <c r="L142" s="1" t="str">
        <f>IF(northwind_order_details[[#This Row],[Revenue]]&gt;1000,"High",IF(northwind_order_details[[#This Row],[Revenue]]&gt;300,"Medium","Low"))</f>
        <v>High</v>
      </c>
      <c r="M1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3" spans="1:13" x14ac:dyDescent="0.25">
      <c r="A143">
        <v>10302</v>
      </c>
      <c r="B143">
        <v>28</v>
      </c>
      <c r="C143" s="6">
        <v>36.4</v>
      </c>
      <c r="D143">
        <v>28</v>
      </c>
      <c r="E143" s="6" t="s">
        <v>6</v>
      </c>
      <c r="F143" t="str">
        <f>_xlfn.XLOOKUP(northwind_order_details[[#This Row],[order_id]],northwind_orders[order_id],northwind_orders[ship_country])</f>
        <v>Belgium</v>
      </c>
      <c r="G143">
        <f>INDEX(northwind_orders[],MATCH(northwind_order_details[[#This Row],[order_id]], northwind_orders[order_id], 0), MATCH("employee_id", northwind_orders[#Headers], 0))</f>
        <v>4</v>
      </c>
      <c r="H143">
        <f>northwind_order_details[[#This Row],[unit_price]]*northwind_order_details[[#This Row],[quantity]]</f>
        <v>1019.1999999999999</v>
      </c>
      <c r="I143" s="1">
        <f>northwind_order_details[[#This Row],[purchase amount]]*northwind_order_details[[#This Row],[discount]]</f>
        <v>0</v>
      </c>
      <c r="J143" s="1">
        <f>northwind_order_details[[#This Row],[purchase amount]]-northwind_order_details[[#This Row],[discount amount]]</f>
        <v>1019.1999999999999</v>
      </c>
      <c r="K143" s="6" t="str">
        <f>IF(northwind_order_details[[#This Row],[discount amount]]&gt;0,"Yes","No")</f>
        <v>No</v>
      </c>
      <c r="L143" s="1" t="str">
        <f>IF(northwind_order_details[[#This Row],[Revenue]]&gt;1000,"High",IF(northwind_order_details[[#This Row],[Revenue]]&gt;300,"Medium","Low"))</f>
        <v>High</v>
      </c>
      <c r="M1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4" spans="1:13" x14ac:dyDescent="0.25">
      <c r="A144">
        <v>10302</v>
      </c>
      <c r="B144">
        <v>43</v>
      </c>
      <c r="C144" s="6">
        <v>36.799999999999997</v>
      </c>
      <c r="D144">
        <v>12</v>
      </c>
      <c r="E144" s="6" t="s">
        <v>6</v>
      </c>
      <c r="F144" t="str">
        <f>_xlfn.XLOOKUP(northwind_order_details[[#This Row],[order_id]],northwind_orders[order_id],northwind_orders[ship_country])</f>
        <v>Belgium</v>
      </c>
      <c r="G144">
        <f>INDEX(northwind_orders[],MATCH(northwind_order_details[[#This Row],[order_id]], northwind_orders[order_id], 0), MATCH("employee_id", northwind_orders[#Headers], 0))</f>
        <v>4</v>
      </c>
      <c r="H144">
        <f>northwind_order_details[[#This Row],[unit_price]]*northwind_order_details[[#This Row],[quantity]]</f>
        <v>441.59999999999997</v>
      </c>
      <c r="I144" s="1">
        <f>northwind_order_details[[#This Row],[purchase amount]]*northwind_order_details[[#This Row],[discount]]</f>
        <v>0</v>
      </c>
      <c r="J144" s="1">
        <f>northwind_order_details[[#This Row],[purchase amount]]-northwind_order_details[[#This Row],[discount amount]]</f>
        <v>441.59999999999997</v>
      </c>
      <c r="K144" s="6" t="str">
        <f>IF(northwind_order_details[[#This Row],[discount amount]]&gt;0,"Yes","No")</f>
        <v>No</v>
      </c>
      <c r="L144" s="1" t="str">
        <f>IF(northwind_order_details[[#This Row],[Revenue]]&gt;1000,"High",IF(northwind_order_details[[#This Row],[Revenue]]&gt;300,"Medium","Low"))</f>
        <v>Medium</v>
      </c>
      <c r="M1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" spans="1:13" x14ac:dyDescent="0.25">
      <c r="A145">
        <v>10303</v>
      </c>
      <c r="B145">
        <v>40</v>
      </c>
      <c r="C145" s="6">
        <v>14.7</v>
      </c>
      <c r="D145">
        <v>40</v>
      </c>
      <c r="E145" s="6">
        <v>0.1</v>
      </c>
      <c r="F145" t="str">
        <f>_xlfn.XLOOKUP(northwind_order_details[[#This Row],[order_id]],northwind_orders[order_id],northwind_orders[ship_country])</f>
        <v>Spain</v>
      </c>
      <c r="G145">
        <f>INDEX(northwind_orders[],MATCH(northwind_order_details[[#This Row],[order_id]], northwind_orders[order_id], 0), MATCH("employee_id", northwind_orders[#Headers], 0))</f>
        <v>7</v>
      </c>
      <c r="H145">
        <f>northwind_order_details[[#This Row],[unit_price]]*northwind_order_details[[#This Row],[quantity]]</f>
        <v>588</v>
      </c>
      <c r="I145" s="1">
        <f>northwind_order_details[[#This Row],[purchase amount]]*northwind_order_details[[#This Row],[discount]]</f>
        <v>58.800000000000004</v>
      </c>
      <c r="J145" s="1">
        <f>northwind_order_details[[#This Row],[purchase amount]]-northwind_order_details[[#This Row],[discount amount]]</f>
        <v>529.20000000000005</v>
      </c>
      <c r="K145" s="6" t="str">
        <f>IF(northwind_order_details[[#This Row],[discount amount]]&gt;0,"Yes","No")</f>
        <v>Yes</v>
      </c>
      <c r="L145" s="1" t="str">
        <f>IF(northwind_order_details[[#This Row],[Revenue]]&gt;1000,"High",IF(northwind_order_details[[#This Row],[Revenue]]&gt;300,"Medium","Low"))</f>
        <v>Medium</v>
      </c>
      <c r="M1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6" spans="1:13" x14ac:dyDescent="0.25">
      <c r="A146">
        <v>10303</v>
      </c>
      <c r="B146">
        <v>65</v>
      </c>
      <c r="C146" s="6">
        <v>16.8</v>
      </c>
      <c r="D146">
        <v>30</v>
      </c>
      <c r="E146" s="6">
        <v>0.1</v>
      </c>
      <c r="F146" t="str">
        <f>_xlfn.XLOOKUP(northwind_order_details[[#This Row],[order_id]],northwind_orders[order_id],northwind_orders[ship_country])</f>
        <v>Spain</v>
      </c>
      <c r="G146">
        <f>INDEX(northwind_orders[],MATCH(northwind_order_details[[#This Row],[order_id]], northwind_orders[order_id], 0), MATCH("employee_id", northwind_orders[#Headers], 0))</f>
        <v>7</v>
      </c>
      <c r="H146">
        <f>northwind_order_details[[#This Row],[unit_price]]*northwind_order_details[[#This Row],[quantity]]</f>
        <v>504</v>
      </c>
      <c r="I146" s="1">
        <f>northwind_order_details[[#This Row],[purchase amount]]*northwind_order_details[[#This Row],[discount]]</f>
        <v>50.400000000000006</v>
      </c>
      <c r="J146" s="1">
        <f>northwind_order_details[[#This Row],[purchase amount]]-northwind_order_details[[#This Row],[discount amount]]</f>
        <v>453.6</v>
      </c>
      <c r="K146" s="6" t="str">
        <f>IF(northwind_order_details[[#This Row],[discount amount]]&gt;0,"Yes","No")</f>
        <v>Yes</v>
      </c>
      <c r="L146" s="1" t="str">
        <f>IF(northwind_order_details[[#This Row],[Revenue]]&gt;1000,"High",IF(northwind_order_details[[#This Row],[Revenue]]&gt;300,"Medium","Low"))</f>
        <v>Medium</v>
      </c>
      <c r="M1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" spans="1:13" x14ac:dyDescent="0.25">
      <c r="A147">
        <v>10303</v>
      </c>
      <c r="B147">
        <v>68</v>
      </c>
      <c r="C147" s="6" t="s">
        <v>8</v>
      </c>
      <c r="D147">
        <v>15</v>
      </c>
      <c r="E147" s="6">
        <v>0.1</v>
      </c>
      <c r="F147" t="str">
        <f>_xlfn.XLOOKUP(northwind_order_details[[#This Row],[order_id]],northwind_orders[order_id],northwind_orders[ship_country])</f>
        <v>Spain</v>
      </c>
      <c r="G147">
        <f>INDEX(northwind_orders[],MATCH(northwind_order_details[[#This Row],[order_id]], northwind_orders[order_id], 0), MATCH("employee_id", northwind_orders[#Headers], 0))</f>
        <v>7</v>
      </c>
      <c r="H147">
        <f>northwind_order_details[[#This Row],[unit_price]]*northwind_order_details[[#This Row],[quantity]]</f>
        <v>150</v>
      </c>
      <c r="I147" s="1">
        <f>northwind_order_details[[#This Row],[purchase amount]]*northwind_order_details[[#This Row],[discount]]</f>
        <v>15</v>
      </c>
      <c r="J147" s="1">
        <f>northwind_order_details[[#This Row],[purchase amount]]-northwind_order_details[[#This Row],[discount amount]]</f>
        <v>135</v>
      </c>
      <c r="K147" s="6" t="str">
        <f>IF(northwind_order_details[[#This Row],[discount amount]]&gt;0,"Yes","No")</f>
        <v>Yes</v>
      </c>
      <c r="L147" s="1" t="str">
        <f>IF(northwind_order_details[[#This Row],[Revenue]]&gt;1000,"High",IF(northwind_order_details[[#This Row],[Revenue]]&gt;300,"Medium","Low"))</f>
        <v>Low</v>
      </c>
      <c r="M1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8" spans="1:13" x14ac:dyDescent="0.25">
      <c r="A148">
        <v>10304</v>
      </c>
      <c r="B148">
        <v>49</v>
      </c>
      <c r="C148" s="6" t="s">
        <v>9</v>
      </c>
      <c r="D148">
        <v>30</v>
      </c>
      <c r="E148" s="6" t="s">
        <v>6</v>
      </c>
      <c r="F148" t="str">
        <f>_xlfn.XLOOKUP(northwind_order_details[[#This Row],[order_id]],northwind_orders[order_id],northwind_orders[ship_country])</f>
        <v>Mexico</v>
      </c>
      <c r="G148">
        <f>INDEX(northwind_orders[],MATCH(northwind_order_details[[#This Row],[order_id]], northwind_orders[order_id], 0), MATCH("employee_id", northwind_orders[#Headers], 0))</f>
        <v>1</v>
      </c>
      <c r="H148">
        <f>northwind_order_details[[#This Row],[unit_price]]*northwind_order_details[[#This Row],[quantity]]</f>
        <v>480</v>
      </c>
      <c r="I148" s="1">
        <f>northwind_order_details[[#This Row],[purchase amount]]*northwind_order_details[[#This Row],[discount]]</f>
        <v>0</v>
      </c>
      <c r="J148" s="1">
        <f>northwind_order_details[[#This Row],[purchase amount]]-northwind_order_details[[#This Row],[discount amount]]</f>
        <v>480</v>
      </c>
      <c r="K148" s="6" t="str">
        <f>IF(northwind_order_details[[#This Row],[discount amount]]&gt;0,"Yes","No")</f>
        <v>No</v>
      </c>
      <c r="L148" s="1" t="str">
        <f>IF(northwind_order_details[[#This Row],[Revenue]]&gt;1000,"High",IF(northwind_order_details[[#This Row],[Revenue]]&gt;300,"Medium","Low"))</f>
        <v>Medium</v>
      </c>
      <c r="M1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" spans="1:13" x14ac:dyDescent="0.25">
      <c r="A149">
        <v>10304</v>
      </c>
      <c r="B149">
        <v>59</v>
      </c>
      <c r="C149" s="6" t="s">
        <v>11</v>
      </c>
      <c r="D149">
        <v>10</v>
      </c>
      <c r="E149" s="6" t="s">
        <v>6</v>
      </c>
      <c r="F149" t="str">
        <f>_xlfn.XLOOKUP(northwind_order_details[[#This Row],[order_id]],northwind_orders[order_id],northwind_orders[ship_country])</f>
        <v>Mexico</v>
      </c>
      <c r="G149">
        <f>INDEX(northwind_orders[],MATCH(northwind_order_details[[#This Row],[order_id]], northwind_orders[order_id], 0), MATCH("employee_id", northwind_orders[#Headers], 0))</f>
        <v>1</v>
      </c>
      <c r="H149">
        <f>northwind_order_details[[#This Row],[unit_price]]*northwind_order_details[[#This Row],[quantity]]</f>
        <v>440</v>
      </c>
      <c r="I149" s="1">
        <f>northwind_order_details[[#This Row],[purchase amount]]*northwind_order_details[[#This Row],[discount]]</f>
        <v>0</v>
      </c>
      <c r="J149" s="1">
        <f>northwind_order_details[[#This Row],[purchase amount]]-northwind_order_details[[#This Row],[discount amount]]</f>
        <v>440</v>
      </c>
      <c r="K149" s="6" t="str">
        <f>IF(northwind_order_details[[#This Row],[discount amount]]&gt;0,"Yes","No")</f>
        <v>No</v>
      </c>
      <c r="L149" s="1" t="str">
        <f>IF(northwind_order_details[[#This Row],[Revenue]]&gt;1000,"High",IF(northwind_order_details[[#This Row],[Revenue]]&gt;300,"Medium","Low"))</f>
        <v>Medium</v>
      </c>
      <c r="M1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" spans="1:13" x14ac:dyDescent="0.25">
      <c r="A150">
        <v>10304</v>
      </c>
      <c r="B150">
        <v>71</v>
      </c>
      <c r="C150" s="6">
        <v>17.2</v>
      </c>
      <c r="D150">
        <v>2</v>
      </c>
      <c r="E150" s="6" t="s">
        <v>6</v>
      </c>
      <c r="F150" t="str">
        <f>_xlfn.XLOOKUP(northwind_order_details[[#This Row],[order_id]],northwind_orders[order_id],northwind_orders[ship_country])</f>
        <v>Mexico</v>
      </c>
      <c r="G150">
        <f>INDEX(northwind_orders[],MATCH(northwind_order_details[[#This Row],[order_id]], northwind_orders[order_id], 0), MATCH("employee_id", northwind_orders[#Headers], 0))</f>
        <v>1</v>
      </c>
      <c r="H150">
        <f>northwind_order_details[[#This Row],[unit_price]]*northwind_order_details[[#This Row],[quantity]]</f>
        <v>34.4</v>
      </c>
      <c r="I150" s="1">
        <f>northwind_order_details[[#This Row],[purchase amount]]*northwind_order_details[[#This Row],[discount]]</f>
        <v>0</v>
      </c>
      <c r="J150" s="1">
        <f>northwind_order_details[[#This Row],[purchase amount]]-northwind_order_details[[#This Row],[discount amount]]</f>
        <v>34.4</v>
      </c>
      <c r="K150" s="6" t="str">
        <f>IF(northwind_order_details[[#This Row],[discount amount]]&gt;0,"Yes","No")</f>
        <v>No</v>
      </c>
      <c r="L150" s="1" t="str">
        <f>IF(northwind_order_details[[#This Row],[Revenue]]&gt;1000,"High",IF(northwind_order_details[[#This Row],[Revenue]]&gt;300,"Medium","Low"))</f>
        <v>Low</v>
      </c>
      <c r="M1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" spans="1:13" x14ac:dyDescent="0.25">
      <c r="A151">
        <v>10305</v>
      </c>
      <c r="B151">
        <v>18</v>
      </c>
      <c r="C151" s="6" t="s">
        <v>16</v>
      </c>
      <c r="D151">
        <v>25</v>
      </c>
      <c r="E151" s="6">
        <v>0.1</v>
      </c>
      <c r="F151" t="str">
        <f>_xlfn.XLOOKUP(northwind_order_details[[#This Row],[order_id]],northwind_orders[order_id],northwind_orders[ship_country])</f>
        <v>USA</v>
      </c>
      <c r="G151">
        <f>INDEX(northwind_orders[],MATCH(northwind_order_details[[#This Row],[order_id]], northwind_orders[order_id], 0), MATCH("employee_id", northwind_orders[#Headers], 0))</f>
        <v>8</v>
      </c>
      <c r="H151">
        <f>northwind_order_details[[#This Row],[unit_price]]*northwind_order_details[[#This Row],[quantity]]</f>
        <v>1250</v>
      </c>
      <c r="I151" s="1">
        <f>northwind_order_details[[#This Row],[purchase amount]]*northwind_order_details[[#This Row],[discount]]</f>
        <v>125</v>
      </c>
      <c r="J151" s="1">
        <f>northwind_order_details[[#This Row],[purchase amount]]-northwind_order_details[[#This Row],[discount amount]]</f>
        <v>1125</v>
      </c>
      <c r="K151" s="6" t="str">
        <f>IF(northwind_order_details[[#This Row],[discount amount]]&gt;0,"Yes","No")</f>
        <v>Yes</v>
      </c>
      <c r="L151" s="1" t="str">
        <f>IF(northwind_order_details[[#This Row],[Revenue]]&gt;1000,"High",IF(northwind_order_details[[#This Row],[Revenue]]&gt;300,"Medium","Low"))</f>
        <v>High</v>
      </c>
      <c r="M1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" spans="1:13" x14ac:dyDescent="0.25">
      <c r="A152">
        <v>10305</v>
      </c>
      <c r="B152">
        <v>29</v>
      </c>
      <c r="C152" s="6" t="s">
        <v>15</v>
      </c>
      <c r="D152">
        <v>25</v>
      </c>
      <c r="E152" s="6">
        <v>0.1</v>
      </c>
      <c r="F152" t="str">
        <f>_xlfn.XLOOKUP(northwind_order_details[[#This Row],[order_id]],northwind_orders[order_id],northwind_orders[ship_country])</f>
        <v>USA</v>
      </c>
      <c r="G152">
        <f>INDEX(northwind_orders[],MATCH(northwind_order_details[[#This Row],[order_id]], northwind_orders[order_id], 0), MATCH("employee_id", northwind_orders[#Headers], 0))</f>
        <v>8</v>
      </c>
      <c r="H152">
        <f>northwind_order_details[[#This Row],[unit_price]]*northwind_order_details[[#This Row],[quantity]]</f>
        <v>2475</v>
      </c>
      <c r="I152" s="1">
        <f>northwind_order_details[[#This Row],[purchase amount]]*northwind_order_details[[#This Row],[discount]]</f>
        <v>247.5</v>
      </c>
      <c r="J152" s="1">
        <f>northwind_order_details[[#This Row],[purchase amount]]-northwind_order_details[[#This Row],[discount amount]]</f>
        <v>2227.5</v>
      </c>
      <c r="K152" s="6" t="str">
        <f>IF(northwind_order_details[[#This Row],[discount amount]]&gt;0,"Yes","No")</f>
        <v>Yes</v>
      </c>
      <c r="L152" s="1" t="str">
        <f>IF(northwind_order_details[[#This Row],[Revenue]]&gt;1000,"High",IF(northwind_order_details[[#This Row],[Revenue]]&gt;300,"Medium","Low"))</f>
        <v>High</v>
      </c>
      <c r="M1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3" spans="1:13" x14ac:dyDescent="0.25">
      <c r="A153">
        <v>10305</v>
      </c>
      <c r="B153">
        <v>39</v>
      </c>
      <c r="C153" s="6">
        <v>14.4</v>
      </c>
      <c r="D153">
        <v>30</v>
      </c>
      <c r="E153" s="6">
        <v>0.1</v>
      </c>
      <c r="F153" t="str">
        <f>_xlfn.XLOOKUP(northwind_order_details[[#This Row],[order_id]],northwind_orders[order_id],northwind_orders[ship_country])</f>
        <v>USA</v>
      </c>
      <c r="G153">
        <f>INDEX(northwind_orders[],MATCH(northwind_order_details[[#This Row],[order_id]], northwind_orders[order_id], 0), MATCH("employee_id", northwind_orders[#Headers], 0))</f>
        <v>8</v>
      </c>
      <c r="H153">
        <f>northwind_order_details[[#This Row],[unit_price]]*northwind_order_details[[#This Row],[quantity]]</f>
        <v>432</v>
      </c>
      <c r="I153" s="1">
        <f>northwind_order_details[[#This Row],[purchase amount]]*northwind_order_details[[#This Row],[discount]]</f>
        <v>43.2</v>
      </c>
      <c r="J153" s="1">
        <f>northwind_order_details[[#This Row],[purchase amount]]-northwind_order_details[[#This Row],[discount amount]]</f>
        <v>388.8</v>
      </c>
      <c r="K153" s="6" t="str">
        <f>IF(northwind_order_details[[#This Row],[discount amount]]&gt;0,"Yes","No")</f>
        <v>Yes</v>
      </c>
      <c r="L153" s="1" t="str">
        <f>IF(northwind_order_details[[#This Row],[Revenue]]&gt;1000,"High",IF(northwind_order_details[[#This Row],[Revenue]]&gt;300,"Medium","Low"))</f>
        <v>Medium</v>
      </c>
      <c r="M1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" spans="1:13" x14ac:dyDescent="0.25">
      <c r="A154">
        <v>10306</v>
      </c>
      <c r="B154">
        <v>30</v>
      </c>
      <c r="C154" s="6">
        <v>20.7</v>
      </c>
      <c r="D154">
        <v>10</v>
      </c>
      <c r="E154" s="6" t="s">
        <v>6</v>
      </c>
      <c r="F154" t="str">
        <f>_xlfn.XLOOKUP(northwind_order_details[[#This Row],[order_id]],northwind_orders[order_id],northwind_orders[ship_country])</f>
        <v>Spain</v>
      </c>
      <c r="G154">
        <f>INDEX(northwind_orders[],MATCH(northwind_order_details[[#This Row],[order_id]], northwind_orders[order_id], 0), MATCH("employee_id", northwind_orders[#Headers], 0))</f>
        <v>1</v>
      </c>
      <c r="H154">
        <f>northwind_order_details[[#This Row],[unit_price]]*northwind_order_details[[#This Row],[quantity]]</f>
        <v>207</v>
      </c>
      <c r="I154" s="1">
        <f>northwind_order_details[[#This Row],[purchase amount]]*northwind_order_details[[#This Row],[discount]]</f>
        <v>0</v>
      </c>
      <c r="J154" s="1">
        <f>northwind_order_details[[#This Row],[purchase amount]]-northwind_order_details[[#This Row],[discount amount]]</f>
        <v>207</v>
      </c>
      <c r="K154" s="6" t="str">
        <f>IF(northwind_order_details[[#This Row],[discount amount]]&gt;0,"Yes","No")</f>
        <v>No</v>
      </c>
      <c r="L154" s="1" t="str">
        <f>IF(northwind_order_details[[#This Row],[Revenue]]&gt;1000,"High",IF(northwind_order_details[[#This Row],[Revenue]]&gt;300,"Medium","Low"))</f>
        <v>Low</v>
      </c>
      <c r="M1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5" spans="1:13" x14ac:dyDescent="0.25">
      <c r="A155">
        <v>10306</v>
      </c>
      <c r="B155">
        <v>53</v>
      </c>
      <c r="C155" s="6">
        <v>26.2</v>
      </c>
      <c r="D155">
        <v>10</v>
      </c>
      <c r="E155" s="6" t="s">
        <v>6</v>
      </c>
      <c r="F155" t="str">
        <f>_xlfn.XLOOKUP(northwind_order_details[[#This Row],[order_id]],northwind_orders[order_id],northwind_orders[ship_country])</f>
        <v>Spain</v>
      </c>
      <c r="G155">
        <f>INDEX(northwind_orders[],MATCH(northwind_order_details[[#This Row],[order_id]], northwind_orders[order_id], 0), MATCH("employee_id", northwind_orders[#Headers], 0))</f>
        <v>1</v>
      </c>
      <c r="H155">
        <f>northwind_order_details[[#This Row],[unit_price]]*northwind_order_details[[#This Row],[quantity]]</f>
        <v>262</v>
      </c>
      <c r="I155" s="1">
        <f>northwind_order_details[[#This Row],[purchase amount]]*northwind_order_details[[#This Row],[discount]]</f>
        <v>0</v>
      </c>
      <c r="J155" s="1">
        <f>northwind_order_details[[#This Row],[purchase amount]]-northwind_order_details[[#This Row],[discount amount]]</f>
        <v>262</v>
      </c>
      <c r="K155" s="6" t="str">
        <f>IF(northwind_order_details[[#This Row],[discount amount]]&gt;0,"Yes","No")</f>
        <v>No</v>
      </c>
      <c r="L155" s="1" t="str">
        <f>IF(northwind_order_details[[#This Row],[Revenue]]&gt;1000,"High",IF(northwind_order_details[[#This Row],[Revenue]]&gt;300,"Medium","Low"))</f>
        <v>Low</v>
      </c>
      <c r="M1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6" spans="1:13" x14ac:dyDescent="0.25">
      <c r="A156">
        <v>10306</v>
      </c>
      <c r="B156">
        <v>54</v>
      </c>
      <c r="C156" s="6">
        <v>5.9</v>
      </c>
      <c r="D156">
        <v>5</v>
      </c>
      <c r="E156" s="6" t="s">
        <v>6</v>
      </c>
      <c r="F156" t="str">
        <f>_xlfn.XLOOKUP(northwind_order_details[[#This Row],[order_id]],northwind_orders[order_id],northwind_orders[ship_country])</f>
        <v>Spain</v>
      </c>
      <c r="G156">
        <f>INDEX(northwind_orders[],MATCH(northwind_order_details[[#This Row],[order_id]], northwind_orders[order_id], 0), MATCH("employee_id", northwind_orders[#Headers], 0))</f>
        <v>1</v>
      </c>
      <c r="H156">
        <f>northwind_order_details[[#This Row],[unit_price]]*northwind_order_details[[#This Row],[quantity]]</f>
        <v>29.5</v>
      </c>
      <c r="I156" s="1">
        <f>northwind_order_details[[#This Row],[purchase amount]]*northwind_order_details[[#This Row],[discount]]</f>
        <v>0</v>
      </c>
      <c r="J156" s="1">
        <f>northwind_order_details[[#This Row],[purchase amount]]-northwind_order_details[[#This Row],[discount amount]]</f>
        <v>29.5</v>
      </c>
      <c r="K156" s="6" t="str">
        <f>IF(northwind_order_details[[#This Row],[discount amount]]&gt;0,"Yes","No")</f>
        <v>No</v>
      </c>
      <c r="L156" s="1" t="str">
        <f>IF(northwind_order_details[[#This Row],[Revenue]]&gt;1000,"High",IF(northwind_order_details[[#This Row],[Revenue]]&gt;300,"Medium","Low"))</f>
        <v>Low</v>
      </c>
      <c r="M1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" spans="1:13" x14ac:dyDescent="0.25">
      <c r="A157">
        <v>10307</v>
      </c>
      <c r="B157">
        <v>62</v>
      </c>
      <c r="C157" s="6">
        <v>39.4</v>
      </c>
      <c r="D157">
        <v>10</v>
      </c>
      <c r="E157" s="6" t="s">
        <v>6</v>
      </c>
      <c r="F157" t="str">
        <f>_xlfn.XLOOKUP(northwind_order_details[[#This Row],[order_id]],northwind_orders[order_id],northwind_orders[ship_country])</f>
        <v>USA</v>
      </c>
      <c r="G157">
        <f>INDEX(northwind_orders[],MATCH(northwind_order_details[[#This Row],[order_id]], northwind_orders[order_id], 0), MATCH("employee_id", northwind_orders[#Headers], 0))</f>
        <v>2</v>
      </c>
      <c r="H157">
        <f>northwind_order_details[[#This Row],[unit_price]]*northwind_order_details[[#This Row],[quantity]]</f>
        <v>394</v>
      </c>
      <c r="I157" s="1">
        <f>northwind_order_details[[#This Row],[purchase amount]]*northwind_order_details[[#This Row],[discount]]</f>
        <v>0</v>
      </c>
      <c r="J157" s="1">
        <f>northwind_order_details[[#This Row],[purchase amount]]-northwind_order_details[[#This Row],[discount amount]]</f>
        <v>394</v>
      </c>
      <c r="K157" s="6" t="str">
        <f>IF(northwind_order_details[[#This Row],[discount amount]]&gt;0,"Yes","No")</f>
        <v>No</v>
      </c>
      <c r="L157" s="1" t="str">
        <f>IF(northwind_order_details[[#This Row],[Revenue]]&gt;1000,"High",IF(northwind_order_details[[#This Row],[Revenue]]&gt;300,"Medium","Low"))</f>
        <v>Medium</v>
      </c>
      <c r="M1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" spans="1:13" x14ac:dyDescent="0.25">
      <c r="A158">
        <v>10307</v>
      </c>
      <c r="B158">
        <v>68</v>
      </c>
      <c r="C158" s="6" t="s">
        <v>8</v>
      </c>
      <c r="D158">
        <v>3</v>
      </c>
      <c r="E158" s="6" t="s">
        <v>6</v>
      </c>
      <c r="F158" t="str">
        <f>_xlfn.XLOOKUP(northwind_order_details[[#This Row],[order_id]],northwind_orders[order_id],northwind_orders[ship_country])</f>
        <v>USA</v>
      </c>
      <c r="G158">
        <f>INDEX(northwind_orders[],MATCH(northwind_order_details[[#This Row],[order_id]], northwind_orders[order_id], 0), MATCH("employee_id", northwind_orders[#Headers], 0))</f>
        <v>2</v>
      </c>
      <c r="H158">
        <f>northwind_order_details[[#This Row],[unit_price]]*northwind_order_details[[#This Row],[quantity]]</f>
        <v>30</v>
      </c>
      <c r="I158" s="1">
        <f>northwind_order_details[[#This Row],[purchase amount]]*northwind_order_details[[#This Row],[discount]]</f>
        <v>0</v>
      </c>
      <c r="J158" s="1">
        <f>northwind_order_details[[#This Row],[purchase amount]]-northwind_order_details[[#This Row],[discount amount]]</f>
        <v>30</v>
      </c>
      <c r="K158" s="6" t="str">
        <f>IF(northwind_order_details[[#This Row],[discount amount]]&gt;0,"Yes","No")</f>
        <v>No</v>
      </c>
      <c r="L158" s="1" t="str">
        <f>IF(northwind_order_details[[#This Row],[Revenue]]&gt;1000,"High",IF(northwind_order_details[[#This Row],[Revenue]]&gt;300,"Medium","Low"))</f>
        <v>Low</v>
      </c>
      <c r="M1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9" spans="1:13" x14ac:dyDescent="0.25">
      <c r="A159">
        <v>10308</v>
      </c>
      <c r="B159">
        <v>69</v>
      </c>
      <c r="C159" s="6">
        <v>28.8</v>
      </c>
      <c r="D159">
        <v>1</v>
      </c>
      <c r="E159" s="6" t="s">
        <v>6</v>
      </c>
      <c r="F159" t="str">
        <f>_xlfn.XLOOKUP(northwind_order_details[[#This Row],[order_id]],northwind_orders[order_id],northwind_orders[ship_country])</f>
        <v>Mexico</v>
      </c>
      <c r="G159">
        <f>INDEX(northwind_orders[],MATCH(northwind_order_details[[#This Row],[order_id]], northwind_orders[order_id], 0), MATCH("employee_id", northwind_orders[#Headers], 0))</f>
        <v>7</v>
      </c>
      <c r="H159">
        <f>northwind_order_details[[#This Row],[unit_price]]*northwind_order_details[[#This Row],[quantity]]</f>
        <v>28.8</v>
      </c>
      <c r="I159" s="1">
        <f>northwind_order_details[[#This Row],[purchase amount]]*northwind_order_details[[#This Row],[discount]]</f>
        <v>0</v>
      </c>
      <c r="J159" s="1">
        <f>northwind_order_details[[#This Row],[purchase amount]]-northwind_order_details[[#This Row],[discount amount]]</f>
        <v>28.8</v>
      </c>
      <c r="K159" s="6" t="str">
        <f>IF(northwind_order_details[[#This Row],[discount amount]]&gt;0,"Yes","No")</f>
        <v>No</v>
      </c>
      <c r="L159" s="1" t="str">
        <f>IF(northwind_order_details[[#This Row],[Revenue]]&gt;1000,"High",IF(northwind_order_details[[#This Row],[Revenue]]&gt;300,"Medium","Low"))</f>
        <v>Low</v>
      </c>
      <c r="M1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0" spans="1:13" x14ac:dyDescent="0.25">
      <c r="A160">
        <v>10308</v>
      </c>
      <c r="B160">
        <v>70</v>
      </c>
      <c r="C160" s="6" t="s">
        <v>13</v>
      </c>
      <c r="D160">
        <v>5</v>
      </c>
      <c r="E160" s="6" t="s">
        <v>6</v>
      </c>
      <c r="F160" t="str">
        <f>_xlfn.XLOOKUP(northwind_order_details[[#This Row],[order_id]],northwind_orders[order_id],northwind_orders[ship_country])</f>
        <v>Mexico</v>
      </c>
      <c r="G160">
        <f>INDEX(northwind_orders[],MATCH(northwind_order_details[[#This Row],[order_id]], northwind_orders[order_id], 0), MATCH("employee_id", northwind_orders[#Headers], 0))</f>
        <v>7</v>
      </c>
      <c r="H160">
        <f>northwind_order_details[[#This Row],[unit_price]]*northwind_order_details[[#This Row],[quantity]]</f>
        <v>60</v>
      </c>
      <c r="I160" s="1">
        <f>northwind_order_details[[#This Row],[purchase amount]]*northwind_order_details[[#This Row],[discount]]</f>
        <v>0</v>
      </c>
      <c r="J160" s="1">
        <f>northwind_order_details[[#This Row],[purchase amount]]-northwind_order_details[[#This Row],[discount amount]]</f>
        <v>60</v>
      </c>
      <c r="K160" s="6" t="str">
        <f>IF(northwind_order_details[[#This Row],[discount amount]]&gt;0,"Yes","No")</f>
        <v>No</v>
      </c>
      <c r="L160" s="1" t="str">
        <f>IF(northwind_order_details[[#This Row],[Revenue]]&gt;1000,"High",IF(northwind_order_details[[#This Row],[Revenue]]&gt;300,"Medium","Low"))</f>
        <v>Low</v>
      </c>
      <c r="M1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" spans="1:13" x14ac:dyDescent="0.25">
      <c r="A161">
        <v>10310</v>
      </c>
      <c r="B161">
        <v>16</v>
      </c>
      <c r="C161" s="6">
        <v>13.9</v>
      </c>
      <c r="D161">
        <v>10</v>
      </c>
      <c r="E161" s="6" t="s">
        <v>6</v>
      </c>
      <c r="F161" t="str">
        <f>_xlfn.XLOOKUP(northwind_order_details[[#This Row],[order_id]],northwind_orders[order_id],northwind_orders[ship_country])</f>
        <v>USA</v>
      </c>
      <c r="G161">
        <f>INDEX(northwind_orders[],MATCH(northwind_order_details[[#This Row],[order_id]], northwind_orders[order_id], 0), MATCH("employee_id", northwind_orders[#Headers], 0))</f>
        <v>8</v>
      </c>
      <c r="H161">
        <f>northwind_order_details[[#This Row],[unit_price]]*northwind_order_details[[#This Row],[quantity]]</f>
        <v>139</v>
      </c>
      <c r="I161" s="1">
        <f>northwind_order_details[[#This Row],[purchase amount]]*northwind_order_details[[#This Row],[discount]]</f>
        <v>0</v>
      </c>
      <c r="J161" s="1">
        <f>northwind_order_details[[#This Row],[purchase amount]]-northwind_order_details[[#This Row],[discount amount]]</f>
        <v>139</v>
      </c>
      <c r="K161" s="6" t="str">
        <f>IF(northwind_order_details[[#This Row],[discount amount]]&gt;0,"Yes","No")</f>
        <v>No</v>
      </c>
      <c r="L161" s="1" t="str">
        <f>IF(northwind_order_details[[#This Row],[Revenue]]&gt;1000,"High",IF(northwind_order_details[[#This Row],[Revenue]]&gt;300,"Medium","Low"))</f>
        <v>Low</v>
      </c>
      <c r="M1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" spans="1:13" x14ac:dyDescent="0.25">
      <c r="A162">
        <v>10310</v>
      </c>
      <c r="B162">
        <v>62</v>
      </c>
      <c r="C162" s="6">
        <v>39.4</v>
      </c>
      <c r="D162">
        <v>5</v>
      </c>
      <c r="E162" s="6" t="s">
        <v>6</v>
      </c>
      <c r="F162" t="str">
        <f>_xlfn.XLOOKUP(northwind_order_details[[#This Row],[order_id]],northwind_orders[order_id],northwind_orders[ship_country])</f>
        <v>USA</v>
      </c>
      <c r="G162">
        <f>INDEX(northwind_orders[],MATCH(northwind_order_details[[#This Row],[order_id]], northwind_orders[order_id], 0), MATCH("employee_id", northwind_orders[#Headers], 0))</f>
        <v>8</v>
      </c>
      <c r="H162">
        <f>northwind_order_details[[#This Row],[unit_price]]*northwind_order_details[[#This Row],[quantity]]</f>
        <v>197</v>
      </c>
      <c r="I162" s="1">
        <f>northwind_order_details[[#This Row],[purchase amount]]*northwind_order_details[[#This Row],[discount]]</f>
        <v>0</v>
      </c>
      <c r="J162" s="1">
        <f>northwind_order_details[[#This Row],[purchase amount]]-northwind_order_details[[#This Row],[discount amount]]</f>
        <v>197</v>
      </c>
      <c r="K162" s="6" t="str">
        <f>IF(northwind_order_details[[#This Row],[discount amount]]&gt;0,"Yes","No")</f>
        <v>No</v>
      </c>
      <c r="L162" s="1" t="str">
        <f>IF(northwind_order_details[[#This Row],[Revenue]]&gt;1000,"High",IF(northwind_order_details[[#This Row],[Revenue]]&gt;300,"Medium","Low"))</f>
        <v>Low</v>
      </c>
      <c r="M1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" spans="1:13" x14ac:dyDescent="0.25">
      <c r="A163">
        <v>10311</v>
      </c>
      <c r="B163">
        <v>42</v>
      </c>
      <c r="C163" s="6">
        <v>11.2</v>
      </c>
      <c r="D163">
        <v>6</v>
      </c>
      <c r="E163" s="6" t="s">
        <v>6</v>
      </c>
      <c r="F163" t="str">
        <f>_xlfn.XLOOKUP(northwind_order_details[[#This Row],[order_id]],northwind_orders[order_id],northwind_orders[ship_country])</f>
        <v>France</v>
      </c>
      <c r="G163">
        <f>INDEX(northwind_orders[],MATCH(northwind_order_details[[#This Row],[order_id]], northwind_orders[order_id], 0), MATCH("employee_id", northwind_orders[#Headers], 0))</f>
        <v>1</v>
      </c>
      <c r="H163">
        <f>northwind_order_details[[#This Row],[unit_price]]*northwind_order_details[[#This Row],[quantity]]</f>
        <v>67.199999999999989</v>
      </c>
      <c r="I163" s="1">
        <f>northwind_order_details[[#This Row],[purchase amount]]*northwind_order_details[[#This Row],[discount]]</f>
        <v>0</v>
      </c>
      <c r="J163" s="1">
        <f>northwind_order_details[[#This Row],[purchase amount]]-northwind_order_details[[#This Row],[discount amount]]</f>
        <v>67.199999999999989</v>
      </c>
      <c r="K163" s="6" t="str">
        <f>IF(northwind_order_details[[#This Row],[discount amount]]&gt;0,"Yes","No")</f>
        <v>No</v>
      </c>
      <c r="L163" s="1" t="str">
        <f>IF(northwind_order_details[[#This Row],[Revenue]]&gt;1000,"High",IF(northwind_order_details[[#This Row],[Revenue]]&gt;300,"Medium","Low"))</f>
        <v>Low</v>
      </c>
      <c r="M1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4" spans="1:13" x14ac:dyDescent="0.25">
      <c r="A164">
        <v>10311</v>
      </c>
      <c r="B164">
        <v>69</v>
      </c>
      <c r="C164" s="6">
        <v>28.8</v>
      </c>
      <c r="D164">
        <v>7</v>
      </c>
      <c r="E164" s="6" t="s">
        <v>6</v>
      </c>
      <c r="F164" t="str">
        <f>_xlfn.XLOOKUP(northwind_order_details[[#This Row],[order_id]],northwind_orders[order_id],northwind_orders[ship_country])</f>
        <v>France</v>
      </c>
      <c r="G164">
        <f>INDEX(northwind_orders[],MATCH(northwind_order_details[[#This Row],[order_id]], northwind_orders[order_id], 0), MATCH("employee_id", northwind_orders[#Headers], 0))</f>
        <v>1</v>
      </c>
      <c r="H164">
        <f>northwind_order_details[[#This Row],[unit_price]]*northwind_order_details[[#This Row],[quantity]]</f>
        <v>201.6</v>
      </c>
      <c r="I164" s="1">
        <f>northwind_order_details[[#This Row],[purchase amount]]*northwind_order_details[[#This Row],[discount]]</f>
        <v>0</v>
      </c>
      <c r="J164" s="1">
        <f>northwind_order_details[[#This Row],[purchase amount]]-northwind_order_details[[#This Row],[discount amount]]</f>
        <v>201.6</v>
      </c>
      <c r="K164" s="6" t="str">
        <f>IF(northwind_order_details[[#This Row],[discount amount]]&gt;0,"Yes","No")</f>
        <v>No</v>
      </c>
      <c r="L164" s="1" t="str">
        <f>IF(northwind_order_details[[#This Row],[Revenue]]&gt;1000,"High",IF(northwind_order_details[[#This Row],[Revenue]]&gt;300,"Medium","Low"))</f>
        <v>Low</v>
      </c>
      <c r="M1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" spans="1:13" x14ac:dyDescent="0.25">
      <c r="A165">
        <v>10312</v>
      </c>
      <c r="B165">
        <v>28</v>
      </c>
      <c r="C165" s="6">
        <v>36.4</v>
      </c>
      <c r="D165">
        <v>4</v>
      </c>
      <c r="E165" s="6" t="s">
        <v>6</v>
      </c>
      <c r="F165" t="str">
        <f>_xlfn.XLOOKUP(northwind_order_details[[#This Row],[order_id]],northwind_orders[order_id],northwind_orders[ship_country])</f>
        <v>Germany</v>
      </c>
      <c r="G165">
        <f>INDEX(northwind_orders[],MATCH(northwind_order_details[[#This Row],[order_id]], northwind_orders[order_id], 0), MATCH("employee_id", northwind_orders[#Headers], 0))</f>
        <v>2</v>
      </c>
      <c r="H165">
        <f>northwind_order_details[[#This Row],[unit_price]]*northwind_order_details[[#This Row],[quantity]]</f>
        <v>145.6</v>
      </c>
      <c r="I165" s="1">
        <f>northwind_order_details[[#This Row],[purchase amount]]*northwind_order_details[[#This Row],[discount]]</f>
        <v>0</v>
      </c>
      <c r="J165" s="1">
        <f>northwind_order_details[[#This Row],[purchase amount]]-northwind_order_details[[#This Row],[discount amount]]</f>
        <v>145.6</v>
      </c>
      <c r="K165" s="6" t="str">
        <f>IF(northwind_order_details[[#This Row],[discount amount]]&gt;0,"Yes","No")</f>
        <v>No</v>
      </c>
      <c r="L165" s="1" t="str">
        <f>IF(northwind_order_details[[#This Row],[Revenue]]&gt;1000,"High",IF(northwind_order_details[[#This Row],[Revenue]]&gt;300,"Medium","Low"))</f>
        <v>Low</v>
      </c>
      <c r="M1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6" spans="1:13" x14ac:dyDescent="0.25">
      <c r="A166">
        <v>10312</v>
      </c>
      <c r="B166">
        <v>43</v>
      </c>
      <c r="C166" s="6">
        <v>36.799999999999997</v>
      </c>
      <c r="D166">
        <v>24</v>
      </c>
      <c r="E166" s="6" t="s">
        <v>6</v>
      </c>
      <c r="F166" t="str">
        <f>_xlfn.XLOOKUP(northwind_order_details[[#This Row],[order_id]],northwind_orders[order_id],northwind_orders[ship_country])</f>
        <v>Germany</v>
      </c>
      <c r="G166">
        <f>INDEX(northwind_orders[],MATCH(northwind_order_details[[#This Row],[order_id]], northwind_orders[order_id], 0), MATCH("employee_id", northwind_orders[#Headers], 0))</f>
        <v>2</v>
      </c>
      <c r="H166">
        <f>northwind_order_details[[#This Row],[unit_price]]*northwind_order_details[[#This Row],[quantity]]</f>
        <v>883.19999999999993</v>
      </c>
      <c r="I166" s="1">
        <f>northwind_order_details[[#This Row],[purchase amount]]*northwind_order_details[[#This Row],[discount]]</f>
        <v>0</v>
      </c>
      <c r="J166" s="1">
        <f>northwind_order_details[[#This Row],[purchase amount]]-northwind_order_details[[#This Row],[discount amount]]</f>
        <v>883.19999999999993</v>
      </c>
      <c r="K166" s="6" t="str">
        <f>IF(northwind_order_details[[#This Row],[discount amount]]&gt;0,"Yes","No")</f>
        <v>No</v>
      </c>
      <c r="L166" s="1" t="str">
        <f>IF(northwind_order_details[[#This Row],[Revenue]]&gt;1000,"High",IF(northwind_order_details[[#This Row],[Revenue]]&gt;300,"Medium","Low"))</f>
        <v>Medium</v>
      </c>
      <c r="M1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7" spans="1:13" x14ac:dyDescent="0.25">
      <c r="A167">
        <v>10312</v>
      </c>
      <c r="B167">
        <v>53</v>
      </c>
      <c r="C167" s="6">
        <v>26.2</v>
      </c>
      <c r="D167">
        <v>20</v>
      </c>
      <c r="E167" s="6" t="s">
        <v>6</v>
      </c>
      <c r="F167" t="str">
        <f>_xlfn.XLOOKUP(northwind_order_details[[#This Row],[order_id]],northwind_orders[order_id],northwind_orders[ship_country])</f>
        <v>Germany</v>
      </c>
      <c r="G167">
        <f>INDEX(northwind_orders[],MATCH(northwind_order_details[[#This Row],[order_id]], northwind_orders[order_id], 0), MATCH("employee_id", northwind_orders[#Headers], 0))</f>
        <v>2</v>
      </c>
      <c r="H167">
        <f>northwind_order_details[[#This Row],[unit_price]]*northwind_order_details[[#This Row],[quantity]]</f>
        <v>524</v>
      </c>
      <c r="I167" s="1">
        <f>northwind_order_details[[#This Row],[purchase amount]]*northwind_order_details[[#This Row],[discount]]</f>
        <v>0</v>
      </c>
      <c r="J167" s="1">
        <f>northwind_order_details[[#This Row],[purchase amount]]-northwind_order_details[[#This Row],[discount amount]]</f>
        <v>524</v>
      </c>
      <c r="K167" s="6" t="str">
        <f>IF(northwind_order_details[[#This Row],[discount amount]]&gt;0,"Yes","No")</f>
        <v>No</v>
      </c>
      <c r="L167" s="1" t="str">
        <f>IF(northwind_order_details[[#This Row],[Revenue]]&gt;1000,"High",IF(northwind_order_details[[#This Row],[Revenue]]&gt;300,"Medium","Low"))</f>
        <v>Medium</v>
      </c>
      <c r="M1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8" spans="1:13" x14ac:dyDescent="0.25">
      <c r="A168">
        <v>10312</v>
      </c>
      <c r="B168">
        <v>75</v>
      </c>
      <c r="C168" s="6">
        <v>6.2</v>
      </c>
      <c r="D168">
        <v>10</v>
      </c>
      <c r="E168" s="6" t="s">
        <v>6</v>
      </c>
      <c r="F168" t="str">
        <f>_xlfn.XLOOKUP(northwind_order_details[[#This Row],[order_id]],northwind_orders[order_id],northwind_orders[ship_country])</f>
        <v>Germany</v>
      </c>
      <c r="G168">
        <f>INDEX(northwind_orders[],MATCH(northwind_order_details[[#This Row],[order_id]], northwind_orders[order_id], 0), MATCH("employee_id", northwind_orders[#Headers], 0))</f>
        <v>2</v>
      </c>
      <c r="H168">
        <f>northwind_order_details[[#This Row],[unit_price]]*northwind_order_details[[#This Row],[quantity]]</f>
        <v>62</v>
      </c>
      <c r="I168" s="1">
        <f>northwind_order_details[[#This Row],[purchase amount]]*northwind_order_details[[#This Row],[discount]]</f>
        <v>0</v>
      </c>
      <c r="J168" s="1">
        <f>northwind_order_details[[#This Row],[purchase amount]]-northwind_order_details[[#This Row],[discount amount]]</f>
        <v>62</v>
      </c>
      <c r="K168" s="6" t="str">
        <f>IF(northwind_order_details[[#This Row],[discount amount]]&gt;0,"Yes","No")</f>
        <v>No</v>
      </c>
      <c r="L168" s="1" t="str">
        <f>IF(northwind_order_details[[#This Row],[Revenue]]&gt;1000,"High",IF(northwind_order_details[[#This Row],[Revenue]]&gt;300,"Medium","Low"))</f>
        <v>Low</v>
      </c>
      <c r="M1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9" spans="1:13" x14ac:dyDescent="0.25">
      <c r="A169">
        <v>10313</v>
      </c>
      <c r="B169">
        <v>36</v>
      </c>
      <c r="C169" s="6">
        <v>15.2</v>
      </c>
      <c r="D169">
        <v>12</v>
      </c>
      <c r="E169" s="6" t="s">
        <v>6</v>
      </c>
      <c r="F169" t="str">
        <f>_xlfn.XLOOKUP(northwind_order_details[[#This Row],[order_id]],northwind_orders[order_id],northwind_orders[ship_country])</f>
        <v>Germany</v>
      </c>
      <c r="G169">
        <f>INDEX(northwind_orders[],MATCH(northwind_order_details[[#This Row],[order_id]], northwind_orders[order_id], 0), MATCH("employee_id", northwind_orders[#Headers], 0))</f>
        <v>2</v>
      </c>
      <c r="H169">
        <f>northwind_order_details[[#This Row],[unit_price]]*northwind_order_details[[#This Row],[quantity]]</f>
        <v>182.39999999999998</v>
      </c>
      <c r="I169" s="1">
        <f>northwind_order_details[[#This Row],[purchase amount]]*northwind_order_details[[#This Row],[discount]]</f>
        <v>0</v>
      </c>
      <c r="J169" s="1">
        <f>northwind_order_details[[#This Row],[purchase amount]]-northwind_order_details[[#This Row],[discount amount]]</f>
        <v>182.39999999999998</v>
      </c>
      <c r="K169" s="6" t="str">
        <f>IF(northwind_order_details[[#This Row],[discount amount]]&gt;0,"Yes","No")</f>
        <v>No</v>
      </c>
      <c r="L169" s="1" t="str">
        <f>IF(northwind_order_details[[#This Row],[Revenue]]&gt;1000,"High",IF(northwind_order_details[[#This Row],[Revenue]]&gt;300,"Medium","Low"))</f>
        <v>Low</v>
      </c>
      <c r="M1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" spans="1:13" x14ac:dyDescent="0.25">
      <c r="A170">
        <v>10314</v>
      </c>
      <c r="B170">
        <v>32</v>
      </c>
      <c r="C170" s="6">
        <v>25.6</v>
      </c>
      <c r="D170">
        <v>40</v>
      </c>
      <c r="E170" s="6">
        <v>0.1</v>
      </c>
      <c r="F170" t="str">
        <f>_xlfn.XLOOKUP(northwind_order_details[[#This Row],[order_id]],northwind_orders[order_id],northwind_orders[ship_country])</f>
        <v>USA</v>
      </c>
      <c r="G170">
        <f>INDEX(northwind_orders[],MATCH(northwind_order_details[[#This Row],[order_id]], northwind_orders[order_id], 0), MATCH("employee_id", northwind_orders[#Headers], 0))</f>
        <v>1</v>
      </c>
      <c r="H170">
        <f>northwind_order_details[[#This Row],[unit_price]]*northwind_order_details[[#This Row],[quantity]]</f>
        <v>1024</v>
      </c>
      <c r="I170" s="1">
        <f>northwind_order_details[[#This Row],[purchase amount]]*northwind_order_details[[#This Row],[discount]]</f>
        <v>102.4</v>
      </c>
      <c r="J170" s="1">
        <f>northwind_order_details[[#This Row],[purchase amount]]-northwind_order_details[[#This Row],[discount amount]]</f>
        <v>921.6</v>
      </c>
      <c r="K170" s="6" t="str">
        <f>IF(northwind_order_details[[#This Row],[discount amount]]&gt;0,"Yes","No")</f>
        <v>Yes</v>
      </c>
      <c r="L170" s="1" t="str">
        <f>IF(northwind_order_details[[#This Row],[Revenue]]&gt;1000,"High",IF(northwind_order_details[[#This Row],[Revenue]]&gt;300,"Medium","Low"))</f>
        <v>Medium</v>
      </c>
      <c r="M1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" spans="1:13" x14ac:dyDescent="0.25">
      <c r="A171">
        <v>10314</v>
      </c>
      <c r="B171">
        <v>58</v>
      </c>
      <c r="C171" s="6">
        <v>10.6</v>
      </c>
      <c r="D171">
        <v>30</v>
      </c>
      <c r="E171" s="6">
        <v>0.1</v>
      </c>
      <c r="F171" t="str">
        <f>_xlfn.XLOOKUP(northwind_order_details[[#This Row],[order_id]],northwind_orders[order_id],northwind_orders[ship_country])</f>
        <v>USA</v>
      </c>
      <c r="G171">
        <f>INDEX(northwind_orders[],MATCH(northwind_order_details[[#This Row],[order_id]], northwind_orders[order_id], 0), MATCH("employee_id", northwind_orders[#Headers], 0))</f>
        <v>1</v>
      </c>
      <c r="H171">
        <f>northwind_order_details[[#This Row],[unit_price]]*northwind_order_details[[#This Row],[quantity]]</f>
        <v>318</v>
      </c>
      <c r="I171" s="1">
        <f>northwind_order_details[[#This Row],[purchase amount]]*northwind_order_details[[#This Row],[discount]]</f>
        <v>31.8</v>
      </c>
      <c r="J171" s="1">
        <f>northwind_order_details[[#This Row],[purchase amount]]-northwind_order_details[[#This Row],[discount amount]]</f>
        <v>286.2</v>
      </c>
      <c r="K171" s="6" t="str">
        <f>IF(northwind_order_details[[#This Row],[discount amount]]&gt;0,"Yes","No")</f>
        <v>Yes</v>
      </c>
      <c r="L171" s="1" t="str">
        <f>IF(northwind_order_details[[#This Row],[Revenue]]&gt;1000,"High",IF(northwind_order_details[[#This Row],[Revenue]]&gt;300,"Medium","Low"))</f>
        <v>Low</v>
      </c>
      <c r="M1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" spans="1:13" x14ac:dyDescent="0.25">
      <c r="A172">
        <v>10314</v>
      </c>
      <c r="B172">
        <v>62</v>
      </c>
      <c r="C172" s="6">
        <v>39.4</v>
      </c>
      <c r="D172">
        <v>25</v>
      </c>
      <c r="E172" s="6">
        <v>0.1</v>
      </c>
      <c r="F172" t="str">
        <f>_xlfn.XLOOKUP(northwind_order_details[[#This Row],[order_id]],northwind_orders[order_id],northwind_orders[ship_country])</f>
        <v>USA</v>
      </c>
      <c r="G172">
        <f>INDEX(northwind_orders[],MATCH(northwind_order_details[[#This Row],[order_id]], northwind_orders[order_id], 0), MATCH("employee_id", northwind_orders[#Headers], 0))</f>
        <v>1</v>
      </c>
      <c r="H172">
        <f>northwind_order_details[[#This Row],[unit_price]]*northwind_order_details[[#This Row],[quantity]]</f>
        <v>985</v>
      </c>
      <c r="I172" s="1">
        <f>northwind_order_details[[#This Row],[purchase amount]]*northwind_order_details[[#This Row],[discount]]</f>
        <v>98.5</v>
      </c>
      <c r="J172" s="1">
        <f>northwind_order_details[[#This Row],[purchase amount]]-northwind_order_details[[#This Row],[discount amount]]</f>
        <v>886.5</v>
      </c>
      <c r="K172" s="6" t="str">
        <f>IF(northwind_order_details[[#This Row],[discount amount]]&gt;0,"Yes","No")</f>
        <v>Yes</v>
      </c>
      <c r="L172" s="1" t="str">
        <f>IF(northwind_order_details[[#This Row],[Revenue]]&gt;1000,"High",IF(northwind_order_details[[#This Row],[Revenue]]&gt;300,"Medium","Low"))</f>
        <v>Medium</v>
      </c>
      <c r="M1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3" spans="1:13" x14ac:dyDescent="0.25">
      <c r="A173">
        <v>10315</v>
      </c>
      <c r="B173">
        <v>34</v>
      </c>
      <c r="C173" s="6">
        <v>11.2</v>
      </c>
      <c r="D173">
        <v>14</v>
      </c>
      <c r="E173" s="6" t="s">
        <v>6</v>
      </c>
      <c r="F173" t="str">
        <f>_xlfn.XLOOKUP(northwind_order_details[[#This Row],[order_id]],northwind_orders[order_id],northwind_orders[ship_country])</f>
        <v>UK</v>
      </c>
      <c r="G173">
        <f>INDEX(northwind_orders[],MATCH(northwind_order_details[[#This Row],[order_id]], northwind_orders[order_id], 0), MATCH("employee_id", northwind_orders[#Headers], 0))</f>
        <v>4</v>
      </c>
      <c r="H173">
        <f>northwind_order_details[[#This Row],[unit_price]]*northwind_order_details[[#This Row],[quantity]]</f>
        <v>156.79999999999998</v>
      </c>
      <c r="I173" s="1">
        <f>northwind_order_details[[#This Row],[purchase amount]]*northwind_order_details[[#This Row],[discount]]</f>
        <v>0</v>
      </c>
      <c r="J173" s="1">
        <f>northwind_order_details[[#This Row],[purchase amount]]-northwind_order_details[[#This Row],[discount amount]]</f>
        <v>156.79999999999998</v>
      </c>
      <c r="K173" s="6" t="str">
        <f>IF(northwind_order_details[[#This Row],[discount amount]]&gt;0,"Yes","No")</f>
        <v>No</v>
      </c>
      <c r="L173" s="1" t="str">
        <f>IF(northwind_order_details[[#This Row],[Revenue]]&gt;1000,"High",IF(northwind_order_details[[#This Row],[Revenue]]&gt;300,"Medium","Low"))</f>
        <v>Low</v>
      </c>
      <c r="M1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" spans="1:13" x14ac:dyDescent="0.25">
      <c r="A174">
        <v>10315</v>
      </c>
      <c r="B174">
        <v>70</v>
      </c>
      <c r="C174" s="6" t="s">
        <v>13</v>
      </c>
      <c r="D174">
        <v>30</v>
      </c>
      <c r="E174" s="6" t="s">
        <v>6</v>
      </c>
      <c r="F174" t="str">
        <f>_xlfn.XLOOKUP(northwind_order_details[[#This Row],[order_id]],northwind_orders[order_id],northwind_orders[ship_country])</f>
        <v>UK</v>
      </c>
      <c r="G174">
        <f>INDEX(northwind_orders[],MATCH(northwind_order_details[[#This Row],[order_id]], northwind_orders[order_id], 0), MATCH("employee_id", northwind_orders[#Headers], 0))</f>
        <v>4</v>
      </c>
      <c r="H174">
        <f>northwind_order_details[[#This Row],[unit_price]]*northwind_order_details[[#This Row],[quantity]]</f>
        <v>360</v>
      </c>
      <c r="I174" s="1">
        <f>northwind_order_details[[#This Row],[purchase amount]]*northwind_order_details[[#This Row],[discount]]</f>
        <v>0</v>
      </c>
      <c r="J174" s="1">
        <f>northwind_order_details[[#This Row],[purchase amount]]-northwind_order_details[[#This Row],[discount amount]]</f>
        <v>360</v>
      </c>
      <c r="K174" s="6" t="str">
        <f>IF(northwind_order_details[[#This Row],[discount amount]]&gt;0,"Yes","No")</f>
        <v>No</v>
      </c>
      <c r="L174" s="1" t="str">
        <f>IF(northwind_order_details[[#This Row],[Revenue]]&gt;1000,"High",IF(northwind_order_details[[#This Row],[Revenue]]&gt;300,"Medium","Low"))</f>
        <v>Medium</v>
      </c>
      <c r="M1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" spans="1:13" x14ac:dyDescent="0.25">
      <c r="A175">
        <v>10316</v>
      </c>
      <c r="B175">
        <v>41</v>
      </c>
      <c r="C175" s="6">
        <v>7.7</v>
      </c>
      <c r="D175">
        <v>10</v>
      </c>
      <c r="E175" s="6" t="s">
        <v>6</v>
      </c>
      <c r="F175" t="str">
        <f>_xlfn.XLOOKUP(northwind_order_details[[#This Row],[order_id]],northwind_orders[order_id],northwind_orders[ship_country])</f>
        <v>USA</v>
      </c>
      <c r="G175">
        <f>INDEX(northwind_orders[],MATCH(northwind_order_details[[#This Row],[order_id]], northwind_orders[order_id], 0), MATCH("employee_id", northwind_orders[#Headers], 0))</f>
        <v>1</v>
      </c>
      <c r="H175">
        <f>northwind_order_details[[#This Row],[unit_price]]*northwind_order_details[[#This Row],[quantity]]</f>
        <v>77</v>
      </c>
      <c r="I175" s="1">
        <f>northwind_order_details[[#This Row],[purchase amount]]*northwind_order_details[[#This Row],[discount]]</f>
        <v>0</v>
      </c>
      <c r="J175" s="1">
        <f>northwind_order_details[[#This Row],[purchase amount]]-northwind_order_details[[#This Row],[discount amount]]</f>
        <v>77</v>
      </c>
      <c r="K175" s="6" t="str">
        <f>IF(northwind_order_details[[#This Row],[discount amount]]&gt;0,"Yes","No")</f>
        <v>No</v>
      </c>
      <c r="L175" s="1" t="str">
        <f>IF(northwind_order_details[[#This Row],[Revenue]]&gt;1000,"High",IF(northwind_order_details[[#This Row],[Revenue]]&gt;300,"Medium","Low"))</f>
        <v>Low</v>
      </c>
      <c r="M1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" spans="1:13" x14ac:dyDescent="0.25">
      <c r="A176">
        <v>10316</v>
      </c>
      <c r="B176">
        <v>62</v>
      </c>
      <c r="C176" s="6">
        <v>39.4</v>
      </c>
      <c r="D176">
        <v>70</v>
      </c>
      <c r="E176" s="6" t="s">
        <v>6</v>
      </c>
      <c r="F176" t="str">
        <f>_xlfn.XLOOKUP(northwind_order_details[[#This Row],[order_id]],northwind_orders[order_id],northwind_orders[ship_country])</f>
        <v>USA</v>
      </c>
      <c r="G176">
        <f>INDEX(northwind_orders[],MATCH(northwind_order_details[[#This Row],[order_id]], northwind_orders[order_id], 0), MATCH("employee_id", northwind_orders[#Headers], 0))</f>
        <v>1</v>
      </c>
      <c r="H176">
        <f>northwind_order_details[[#This Row],[unit_price]]*northwind_order_details[[#This Row],[quantity]]</f>
        <v>2758</v>
      </c>
      <c r="I176" s="1">
        <f>northwind_order_details[[#This Row],[purchase amount]]*northwind_order_details[[#This Row],[discount]]</f>
        <v>0</v>
      </c>
      <c r="J176" s="1">
        <f>northwind_order_details[[#This Row],[purchase amount]]-northwind_order_details[[#This Row],[discount amount]]</f>
        <v>2758</v>
      </c>
      <c r="K176" s="6" t="str">
        <f>IF(northwind_order_details[[#This Row],[discount amount]]&gt;0,"Yes","No")</f>
        <v>No</v>
      </c>
      <c r="L176" s="1" t="str">
        <f>IF(northwind_order_details[[#This Row],[Revenue]]&gt;1000,"High",IF(northwind_order_details[[#This Row],[Revenue]]&gt;300,"Medium","Low"))</f>
        <v>High</v>
      </c>
      <c r="M1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" spans="1:13" x14ac:dyDescent="0.25">
      <c r="A177">
        <v>10317</v>
      </c>
      <c r="B177">
        <v>1</v>
      </c>
      <c r="C177" s="6">
        <v>14.4</v>
      </c>
      <c r="D177">
        <v>20</v>
      </c>
      <c r="E177" s="6" t="s">
        <v>6</v>
      </c>
      <c r="F177" t="str">
        <f>_xlfn.XLOOKUP(northwind_order_details[[#This Row],[order_id]],northwind_orders[order_id],northwind_orders[ship_country])</f>
        <v>USA</v>
      </c>
      <c r="G177">
        <f>INDEX(northwind_orders[],MATCH(northwind_order_details[[#This Row],[order_id]], northwind_orders[order_id], 0), MATCH("employee_id", northwind_orders[#Headers], 0))</f>
        <v>6</v>
      </c>
      <c r="H177">
        <f>northwind_order_details[[#This Row],[unit_price]]*northwind_order_details[[#This Row],[quantity]]</f>
        <v>288</v>
      </c>
      <c r="I177" s="1">
        <f>northwind_order_details[[#This Row],[purchase amount]]*northwind_order_details[[#This Row],[discount]]</f>
        <v>0</v>
      </c>
      <c r="J177" s="1">
        <f>northwind_order_details[[#This Row],[purchase amount]]-northwind_order_details[[#This Row],[discount amount]]</f>
        <v>288</v>
      </c>
      <c r="K177" s="6" t="str">
        <f>IF(northwind_order_details[[#This Row],[discount amount]]&gt;0,"Yes","No")</f>
        <v>No</v>
      </c>
      <c r="L177" s="1" t="str">
        <f>IF(northwind_order_details[[#This Row],[Revenue]]&gt;1000,"High",IF(northwind_order_details[[#This Row],[Revenue]]&gt;300,"Medium","Low"))</f>
        <v>Low</v>
      </c>
      <c r="M1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8" spans="1:13" x14ac:dyDescent="0.25">
      <c r="A178">
        <v>10318</v>
      </c>
      <c r="B178">
        <v>41</v>
      </c>
      <c r="C178" s="6">
        <v>7.7</v>
      </c>
      <c r="D178">
        <v>20</v>
      </c>
      <c r="E178" s="6" t="s">
        <v>6</v>
      </c>
      <c r="F178" t="str">
        <f>_xlfn.XLOOKUP(northwind_order_details[[#This Row],[order_id]],northwind_orders[order_id],northwind_orders[ship_country])</f>
        <v>UK</v>
      </c>
      <c r="G178">
        <f>INDEX(northwind_orders[],MATCH(northwind_order_details[[#This Row],[order_id]], northwind_orders[order_id], 0), MATCH("employee_id", northwind_orders[#Headers], 0))</f>
        <v>8</v>
      </c>
      <c r="H178">
        <f>northwind_order_details[[#This Row],[unit_price]]*northwind_order_details[[#This Row],[quantity]]</f>
        <v>154</v>
      </c>
      <c r="I178" s="1">
        <f>northwind_order_details[[#This Row],[purchase amount]]*northwind_order_details[[#This Row],[discount]]</f>
        <v>0</v>
      </c>
      <c r="J178" s="1">
        <f>northwind_order_details[[#This Row],[purchase amount]]-northwind_order_details[[#This Row],[discount amount]]</f>
        <v>154</v>
      </c>
      <c r="K178" s="6" t="str">
        <f>IF(northwind_order_details[[#This Row],[discount amount]]&gt;0,"Yes","No")</f>
        <v>No</v>
      </c>
      <c r="L178" s="1" t="str">
        <f>IF(northwind_order_details[[#This Row],[Revenue]]&gt;1000,"High",IF(northwind_order_details[[#This Row],[Revenue]]&gt;300,"Medium","Low"))</f>
        <v>Low</v>
      </c>
      <c r="M1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9" spans="1:13" x14ac:dyDescent="0.25">
      <c r="A179">
        <v>10318</v>
      </c>
      <c r="B179">
        <v>76</v>
      </c>
      <c r="C179" s="6">
        <v>14.4</v>
      </c>
      <c r="D179">
        <v>6</v>
      </c>
      <c r="E179" s="6" t="s">
        <v>6</v>
      </c>
      <c r="F179" t="str">
        <f>_xlfn.XLOOKUP(northwind_order_details[[#This Row],[order_id]],northwind_orders[order_id],northwind_orders[ship_country])</f>
        <v>UK</v>
      </c>
      <c r="G179">
        <f>INDEX(northwind_orders[],MATCH(northwind_order_details[[#This Row],[order_id]], northwind_orders[order_id], 0), MATCH("employee_id", northwind_orders[#Headers], 0))</f>
        <v>8</v>
      </c>
      <c r="H179">
        <f>northwind_order_details[[#This Row],[unit_price]]*northwind_order_details[[#This Row],[quantity]]</f>
        <v>86.4</v>
      </c>
      <c r="I179" s="1">
        <f>northwind_order_details[[#This Row],[purchase amount]]*northwind_order_details[[#This Row],[discount]]</f>
        <v>0</v>
      </c>
      <c r="J179" s="1">
        <f>northwind_order_details[[#This Row],[purchase amount]]-northwind_order_details[[#This Row],[discount amount]]</f>
        <v>86.4</v>
      </c>
      <c r="K179" s="6" t="str">
        <f>IF(northwind_order_details[[#This Row],[discount amount]]&gt;0,"Yes","No")</f>
        <v>No</v>
      </c>
      <c r="L179" s="1" t="str">
        <f>IF(northwind_order_details[[#This Row],[Revenue]]&gt;1000,"High",IF(northwind_order_details[[#This Row],[Revenue]]&gt;300,"Medium","Low"))</f>
        <v>Low</v>
      </c>
      <c r="M1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" spans="1:13" x14ac:dyDescent="0.25">
      <c r="A180">
        <v>10319</v>
      </c>
      <c r="B180">
        <v>17</v>
      </c>
      <c r="C180" s="6">
        <v>31.2</v>
      </c>
      <c r="D180">
        <v>8</v>
      </c>
      <c r="E180" s="6" t="s">
        <v>6</v>
      </c>
      <c r="F180" t="str">
        <f>_xlfn.XLOOKUP(northwind_order_details[[#This Row],[order_id]],northwind_orders[order_id],northwind_orders[ship_country])</f>
        <v>Mexico</v>
      </c>
      <c r="G180">
        <f>INDEX(northwind_orders[],MATCH(northwind_order_details[[#This Row],[order_id]], northwind_orders[order_id], 0), MATCH("employee_id", northwind_orders[#Headers], 0))</f>
        <v>7</v>
      </c>
      <c r="H180">
        <f>northwind_order_details[[#This Row],[unit_price]]*northwind_order_details[[#This Row],[quantity]]</f>
        <v>249.6</v>
      </c>
      <c r="I180" s="1">
        <f>northwind_order_details[[#This Row],[purchase amount]]*northwind_order_details[[#This Row],[discount]]</f>
        <v>0</v>
      </c>
      <c r="J180" s="1">
        <f>northwind_order_details[[#This Row],[purchase amount]]-northwind_order_details[[#This Row],[discount amount]]</f>
        <v>249.6</v>
      </c>
      <c r="K180" s="6" t="str">
        <f>IF(northwind_order_details[[#This Row],[discount amount]]&gt;0,"Yes","No")</f>
        <v>No</v>
      </c>
      <c r="L180" s="1" t="str">
        <f>IF(northwind_order_details[[#This Row],[Revenue]]&gt;1000,"High",IF(northwind_order_details[[#This Row],[Revenue]]&gt;300,"Medium","Low"))</f>
        <v>Low</v>
      </c>
      <c r="M1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" spans="1:13" x14ac:dyDescent="0.25">
      <c r="A181">
        <v>10319</v>
      </c>
      <c r="B181">
        <v>28</v>
      </c>
      <c r="C181" s="6">
        <v>36.4</v>
      </c>
      <c r="D181">
        <v>14</v>
      </c>
      <c r="E181" s="6" t="s">
        <v>6</v>
      </c>
      <c r="F181" t="str">
        <f>_xlfn.XLOOKUP(northwind_order_details[[#This Row],[order_id]],northwind_orders[order_id],northwind_orders[ship_country])</f>
        <v>Mexico</v>
      </c>
      <c r="G181">
        <f>INDEX(northwind_orders[],MATCH(northwind_order_details[[#This Row],[order_id]], northwind_orders[order_id], 0), MATCH("employee_id", northwind_orders[#Headers], 0))</f>
        <v>7</v>
      </c>
      <c r="H181">
        <f>northwind_order_details[[#This Row],[unit_price]]*northwind_order_details[[#This Row],[quantity]]</f>
        <v>509.59999999999997</v>
      </c>
      <c r="I181" s="1">
        <f>northwind_order_details[[#This Row],[purchase amount]]*northwind_order_details[[#This Row],[discount]]</f>
        <v>0</v>
      </c>
      <c r="J181" s="1">
        <f>northwind_order_details[[#This Row],[purchase amount]]-northwind_order_details[[#This Row],[discount amount]]</f>
        <v>509.59999999999997</v>
      </c>
      <c r="K181" s="6" t="str">
        <f>IF(northwind_order_details[[#This Row],[discount amount]]&gt;0,"Yes","No")</f>
        <v>No</v>
      </c>
      <c r="L181" s="1" t="str">
        <f>IF(northwind_order_details[[#This Row],[Revenue]]&gt;1000,"High",IF(northwind_order_details[[#This Row],[Revenue]]&gt;300,"Medium","Low"))</f>
        <v>Medium</v>
      </c>
      <c r="M1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2" spans="1:13" x14ac:dyDescent="0.25">
      <c r="A182">
        <v>10319</v>
      </c>
      <c r="B182">
        <v>76</v>
      </c>
      <c r="C182" s="6">
        <v>14.4</v>
      </c>
      <c r="D182">
        <v>30</v>
      </c>
      <c r="E182" s="6" t="s">
        <v>6</v>
      </c>
      <c r="F182" t="str">
        <f>_xlfn.XLOOKUP(northwind_order_details[[#This Row],[order_id]],northwind_orders[order_id],northwind_orders[ship_country])</f>
        <v>Mexico</v>
      </c>
      <c r="G182">
        <f>INDEX(northwind_orders[],MATCH(northwind_order_details[[#This Row],[order_id]], northwind_orders[order_id], 0), MATCH("employee_id", northwind_orders[#Headers], 0))</f>
        <v>7</v>
      </c>
      <c r="H182">
        <f>northwind_order_details[[#This Row],[unit_price]]*northwind_order_details[[#This Row],[quantity]]</f>
        <v>432</v>
      </c>
      <c r="I182" s="1">
        <f>northwind_order_details[[#This Row],[purchase amount]]*northwind_order_details[[#This Row],[discount]]</f>
        <v>0</v>
      </c>
      <c r="J182" s="1">
        <f>northwind_order_details[[#This Row],[purchase amount]]-northwind_order_details[[#This Row],[discount amount]]</f>
        <v>432</v>
      </c>
      <c r="K182" s="6" t="str">
        <f>IF(northwind_order_details[[#This Row],[discount amount]]&gt;0,"Yes","No")</f>
        <v>No</v>
      </c>
      <c r="L182" s="1" t="str">
        <f>IF(northwind_order_details[[#This Row],[Revenue]]&gt;1000,"High",IF(northwind_order_details[[#This Row],[Revenue]]&gt;300,"Medium","Low"))</f>
        <v>Medium</v>
      </c>
      <c r="M1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3" spans="1:13" x14ac:dyDescent="0.25">
      <c r="A183">
        <v>10320</v>
      </c>
      <c r="B183">
        <v>71</v>
      </c>
      <c r="C183" s="6">
        <v>17.2</v>
      </c>
      <c r="D183">
        <v>30</v>
      </c>
      <c r="E183" s="6" t="s">
        <v>6</v>
      </c>
      <c r="F183" t="str">
        <f>_xlfn.XLOOKUP(northwind_order_details[[#This Row],[order_id]],northwind_orders[order_id],northwind_orders[ship_country])</f>
        <v>Finland</v>
      </c>
      <c r="G183">
        <f>INDEX(northwind_orders[],MATCH(northwind_order_details[[#This Row],[order_id]], northwind_orders[order_id], 0), MATCH("employee_id", northwind_orders[#Headers], 0))</f>
        <v>5</v>
      </c>
      <c r="H183">
        <f>northwind_order_details[[#This Row],[unit_price]]*northwind_order_details[[#This Row],[quantity]]</f>
        <v>516</v>
      </c>
      <c r="I183" s="1">
        <f>northwind_order_details[[#This Row],[purchase amount]]*northwind_order_details[[#This Row],[discount]]</f>
        <v>0</v>
      </c>
      <c r="J183" s="1">
        <f>northwind_order_details[[#This Row],[purchase amount]]-northwind_order_details[[#This Row],[discount amount]]</f>
        <v>516</v>
      </c>
      <c r="K183" s="6" t="str">
        <f>IF(northwind_order_details[[#This Row],[discount amount]]&gt;0,"Yes","No")</f>
        <v>No</v>
      </c>
      <c r="L183" s="1" t="str">
        <f>IF(northwind_order_details[[#This Row],[Revenue]]&gt;1000,"High",IF(northwind_order_details[[#This Row],[Revenue]]&gt;300,"Medium","Low"))</f>
        <v>Medium</v>
      </c>
      <c r="M1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4" spans="1:13" x14ac:dyDescent="0.25">
      <c r="A184">
        <v>10321</v>
      </c>
      <c r="B184">
        <v>35</v>
      </c>
      <c r="C184" s="6">
        <v>14.4</v>
      </c>
      <c r="D184">
        <v>10</v>
      </c>
      <c r="E184" s="6" t="s">
        <v>6</v>
      </c>
      <c r="F184" t="str">
        <f>_xlfn.XLOOKUP(northwind_order_details[[#This Row],[order_id]],northwind_orders[order_id],northwind_orders[ship_country])</f>
        <v>UK</v>
      </c>
      <c r="G184">
        <f>INDEX(northwind_orders[],MATCH(northwind_order_details[[#This Row],[order_id]], northwind_orders[order_id], 0), MATCH("employee_id", northwind_orders[#Headers], 0))</f>
        <v>3</v>
      </c>
      <c r="H184">
        <f>northwind_order_details[[#This Row],[unit_price]]*northwind_order_details[[#This Row],[quantity]]</f>
        <v>144</v>
      </c>
      <c r="I184" s="1">
        <f>northwind_order_details[[#This Row],[purchase amount]]*northwind_order_details[[#This Row],[discount]]</f>
        <v>0</v>
      </c>
      <c r="J184" s="1">
        <f>northwind_order_details[[#This Row],[purchase amount]]-northwind_order_details[[#This Row],[discount amount]]</f>
        <v>144</v>
      </c>
      <c r="K184" s="6" t="str">
        <f>IF(northwind_order_details[[#This Row],[discount amount]]&gt;0,"Yes","No")</f>
        <v>No</v>
      </c>
      <c r="L184" s="1" t="str">
        <f>IF(northwind_order_details[[#This Row],[Revenue]]&gt;1000,"High",IF(northwind_order_details[[#This Row],[Revenue]]&gt;300,"Medium","Low"))</f>
        <v>Low</v>
      </c>
      <c r="M1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" spans="1:13" x14ac:dyDescent="0.25">
      <c r="A185">
        <v>10322</v>
      </c>
      <c r="B185">
        <v>52</v>
      </c>
      <c r="C185" s="6">
        <v>5.6</v>
      </c>
      <c r="D185">
        <v>20</v>
      </c>
      <c r="E185" s="6" t="s">
        <v>6</v>
      </c>
      <c r="F185" t="str">
        <f>_xlfn.XLOOKUP(northwind_order_details[[#This Row],[order_id]],northwind_orders[order_id],northwind_orders[ship_country])</f>
        <v>Mexico</v>
      </c>
      <c r="G185">
        <f>INDEX(northwind_orders[],MATCH(northwind_order_details[[#This Row],[order_id]], northwind_orders[order_id], 0), MATCH("employee_id", northwind_orders[#Headers], 0))</f>
        <v>7</v>
      </c>
      <c r="H185">
        <f>northwind_order_details[[#This Row],[unit_price]]*northwind_order_details[[#This Row],[quantity]]</f>
        <v>112</v>
      </c>
      <c r="I185" s="1">
        <f>northwind_order_details[[#This Row],[purchase amount]]*northwind_order_details[[#This Row],[discount]]</f>
        <v>0</v>
      </c>
      <c r="J185" s="1">
        <f>northwind_order_details[[#This Row],[purchase amount]]-northwind_order_details[[#This Row],[discount amount]]</f>
        <v>112</v>
      </c>
      <c r="K185" s="6" t="str">
        <f>IF(northwind_order_details[[#This Row],[discount amount]]&gt;0,"Yes","No")</f>
        <v>No</v>
      </c>
      <c r="L185" s="1" t="str">
        <f>IF(northwind_order_details[[#This Row],[Revenue]]&gt;1000,"High",IF(northwind_order_details[[#This Row],[Revenue]]&gt;300,"Medium","Low"))</f>
        <v>Low</v>
      </c>
      <c r="M1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" spans="1:13" x14ac:dyDescent="0.25">
      <c r="A186">
        <v>10323</v>
      </c>
      <c r="B186">
        <v>15</v>
      </c>
      <c r="C186" s="6">
        <v>12.4</v>
      </c>
      <c r="D186">
        <v>5</v>
      </c>
      <c r="E186" s="6" t="s">
        <v>6</v>
      </c>
      <c r="F186" t="str">
        <f>_xlfn.XLOOKUP(northwind_order_details[[#This Row],[order_id]],northwind_orders[order_id],northwind_orders[ship_country])</f>
        <v>Germany</v>
      </c>
      <c r="G186">
        <f>INDEX(northwind_orders[],MATCH(northwind_order_details[[#This Row],[order_id]], northwind_orders[order_id], 0), MATCH("employee_id", northwind_orders[#Headers], 0))</f>
        <v>4</v>
      </c>
      <c r="H186">
        <f>northwind_order_details[[#This Row],[unit_price]]*northwind_order_details[[#This Row],[quantity]]</f>
        <v>62</v>
      </c>
      <c r="I186" s="1">
        <f>northwind_order_details[[#This Row],[purchase amount]]*northwind_order_details[[#This Row],[discount]]</f>
        <v>0</v>
      </c>
      <c r="J186" s="1">
        <f>northwind_order_details[[#This Row],[purchase amount]]-northwind_order_details[[#This Row],[discount amount]]</f>
        <v>62</v>
      </c>
      <c r="K186" s="6" t="str">
        <f>IF(northwind_order_details[[#This Row],[discount amount]]&gt;0,"Yes","No")</f>
        <v>No</v>
      </c>
      <c r="L186" s="1" t="str">
        <f>IF(northwind_order_details[[#This Row],[Revenue]]&gt;1000,"High",IF(northwind_order_details[[#This Row],[Revenue]]&gt;300,"Medium","Low"))</f>
        <v>Low</v>
      </c>
      <c r="M1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" spans="1:13" x14ac:dyDescent="0.25">
      <c r="A187">
        <v>10323</v>
      </c>
      <c r="B187">
        <v>25</v>
      </c>
      <c r="C187" s="6">
        <v>11.2</v>
      </c>
      <c r="D187">
        <v>4</v>
      </c>
      <c r="E187" s="6" t="s">
        <v>6</v>
      </c>
      <c r="F187" t="str">
        <f>_xlfn.XLOOKUP(northwind_order_details[[#This Row],[order_id]],northwind_orders[order_id],northwind_orders[ship_country])</f>
        <v>Germany</v>
      </c>
      <c r="G187">
        <f>INDEX(northwind_orders[],MATCH(northwind_order_details[[#This Row],[order_id]], northwind_orders[order_id], 0), MATCH("employee_id", northwind_orders[#Headers], 0))</f>
        <v>4</v>
      </c>
      <c r="H187">
        <f>northwind_order_details[[#This Row],[unit_price]]*northwind_order_details[[#This Row],[quantity]]</f>
        <v>44.8</v>
      </c>
      <c r="I187" s="1">
        <f>northwind_order_details[[#This Row],[purchase amount]]*northwind_order_details[[#This Row],[discount]]</f>
        <v>0</v>
      </c>
      <c r="J187" s="1">
        <f>northwind_order_details[[#This Row],[purchase amount]]-northwind_order_details[[#This Row],[discount amount]]</f>
        <v>44.8</v>
      </c>
      <c r="K187" s="6" t="str">
        <f>IF(northwind_order_details[[#This Row],[discount amount]]&gt;0,"Yes","No")</f>
        <v>No</v>
      </c>
      <c r="L187" s="1" t="str">
        <f>IF(northwind_order_details[[#This Row],[Revenue]]&gt;1000,"High",IF(northwind_order_details[[#This Row],[Revenue]]&gt;300,"Medium","Low"))</f>
        <v>Low</v>
      </c>
      <c r="M1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" spans="1:13" x14ac:dyDescent="0.25">
      <c r="A188">
        <v>10323</v>
      </c>
      <c r="B188">
        <v>39</v>
      </c>
      <c r="C188" s="6">
        <v>14.4</v>
      </c>
      <c r="D188">
        <v>4</v>
      </c>
      <c r="E188" s="6" t="s">
        <v>6</v>
      </c>
      <c r="F188" t="str">
        <f>_xlfn.XLOOKUP(northwind_order_details[[#This Row],[order_id]],northwind_orders[order_id],northwind_orders[ship_country])</f>
        <v>Germany</v>
      </c>
      <c r="G188">
        <f>INDEX(northwind_orders[],MATCH(northwind_order_details[[#This Row],[order_id]], northwind_orders[order_id], 0), MATCH("employee_id", northwind_orders[#Headers], 0))</f>
        <v>4</v>
      </c>
      <c r="H188">
        <f>northwind_order_details[[#This Row],[unit_price]]*northwind_order_details[[#This Row],[quantity]]</f>
        <v>57.6</v>
      </c>
      <c r="I188" s="1">
        <f>northwind_order_details[[#This Row],[purchase amount]]*northwind_order_details[[#This Row],[discount]]</f>
        <v>0</v>
      </c>
      <c r="J188" s="1">
        <f>northwind_order_details[[#This Row],[purchase amount]]-northwind_order_details[[#This Row],[discount amount]]</f>
        <v>57.6</v>
      </c>
      <c r="K188" s="6" t="str">
        <f>IF(northwind_order_details[[#This Row],[discount amount]]&gt;0,"Yes","No")</f>
        <v>No</v>
      </c>
      <c r="L188" s="1" t="str">
        <f>IF(northwind_order_details[[#This Row],[Revenue]]&gt;1000,"High",IF(northwind_order_details[[#This Row],[Revenue]]&gt;300,"Medium","Low"))</f>
        <v>Low</v>
      </c>
      <c r="M1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" spans="1:13" x14ac:dyDescent="0.25">
      <c r="A189">
        <v>10324</v>
      </c>
      <c r="B189">
        <v>16</v>
      </c>
      <c r="C189" s="6">
        <v>13.9</v>
      </c>
      <c r="D189">
        <v>21</v>
      </c>
      <c r="E189" s="6">
        <v>0.15</v>
      </c>
      <c r="F189" t="str">
        <f>_xlfn.XLOOKUP(northwind_order_details[[#This Row],[order_id]],northwind_orders[order_id],northwind_orders[ship_country])</f>
        <v>USA</v>
      </c>
      <c r="G189">
        <f>INDEX(northwind_orders[],MATCH(northwind_order_details[[#This Row],[order_id]], northwind_orders[order_id], 0), MATCH("employee_id", northwind_orders[#Headers], 0))</f>
        <v>9</v>
      </c>
      <c r="H189">
        <f>northwind_order_details[[#This Row],[unit_price]]*northwind_order_details[[#This Row],[quantity]]</f>
        <v>291.90000000000003</v>
      </c>
      <c r="I189" s="1">
        <f>northwind_order_details[[#This Row],[purchase amount]]*northwind_order_details[[#This Row],[discount]]</f>
        <v>43.785000000000004</v>
      </c>
      <c r="J189" s="1">
        <f>northwind_order_details[[#This Row],[purchase amount]]-northwind_order_details[[#This Row],[discount amount]]</f>
        <v>248.11500000000004</v>
      </c>
      <c r="K189" s="6" t="str">
        <f>IF(northwind_order_details[[#This Row],[discount amount]]&gt;0,"Yes","No")</f>
        <v>Yes</v>
      </c>
      <c r="L189" s="1" t="str">
        <f>IF(northwind_order_details[[#This Row],[Revenue]]&gt;1000,"High",IF(northwind_order_details[[#This Row],[Revenue]]&gt;300,"Medium","Low"))</f>
        <v>Low</v>
      </c>
      <c r="M1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" spans="1:13" x14ac:dyDescent="0.25">
      <c r="A190">
        <v>10324</v>
      </c>
      <c r="B190">
        <v>35</v>
      </c>
      <c r="C190" s="6">
        <v>14.4</v>
      </c>
      <c r="D190">
        <v>70</v>
      </c>
      <c r="E190" s="6">
        <v>0.15</v>
      </c>
      <c r="F190" t="str">
        <f>_xlfn.XLOOKUP(northwind_order_details[[#This Row],[order_id]],northwind_orders[order_id],northwind_orders[ship_country])</f>
        <v>USA</v>
      </c>
      <c r="G190">
        <f>INDEX(northwind_orders[],MATCH(northwind_order_details[[#This Row],[order_id]], northwind_orders[order_id], 0), MATCH("employee_id", northwind_orders[#Headers], 0))</f>
        <v>9</v>
      </c>
      <c r="H190">
        <f>northwind_order_details[[#This Row],[unit_price]]*northwind_order_details[[#This Row],[quantity]]</f>
        <v>1008</v>
      </c>
      <c r="I190" s="1">
        <f>northwind_order_details[[#This Row],[purchase amount]]*northwind_order_details[[#This Row],[discount]]</f>
        <v>151.19999999999999</v>
      </c>
      <c r="J190" s="1">
        <f>northwind_order_details[[#This Row],[purchase amount]]-northwind_order_details[[#This Row],[discount amount]]</f>
        <v>856.8</v>
      </c>
      <c r="K190" s="6" t="str">
        <f>IF(northwind_order_details[[#This Row],[discount amount]]&gt;0,"Yes","No")</f>
        <v>Yes</v>
      </c>
      <c r="L190" s="1" t="str">
        <f>IF(northwind_order_details[[#This Row],[Revenue]]&gt;1000,"High",IF(northwind_order_details[[#This Row],[Revenue]]&gt;300,"Medium","Low"))</f>
        <v>Medium</v>
      </c>
      <c r="M1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1" spans="1:13" x14ac:dyDescent="0.25">
      <c r="A191">
        <v>10324</v>
      </c>
      <c r="B191">
        <v>46</v>
      </c>
      <c r="C191" s="6">
        <v>9.6</v>
      </c>
      <c r="D191">
        <v>30</v>
      </c>
      <c r="E191" s="6" t="s">
        <v>6</v>
      </c>
      <c r="F191" t="str">
        <f>_xlfn.XLOOKUP(northwind_order_details[[#This Row],[order_id]],northwind_orders[order_id],northwind_orders[ship_country])</f>
        <v>USA</v>
      </c>
      <c r="G191">
        <f>INDEX(northwind_orders[],MATCH(northwind_order_details[[#This Row],[order_id]], northwind_orders[order_id], 0), MATCH("employee_id", northwind_orders[#Headers], 0))</f>
        <v>9</v>
      </c>
      <c r="H191">
        <f>northwind_order_details[[#This Row],[unit_price]]*northwind_order_details[[#This Row],[quantity]]</f>
        <v>288</v>
      </c>
      <c r="I191" s="1">
        <f>northwind_order_details[[#This Row],[purchase amount]]*northwind_order_details[[#This Row],[discount]]</f>
        <v>0</v>
      </c>
      <c r="J191" s="1">
        <f>northwind_order_details[[#This Row],[purchase amount]]-northwind_order_details[[#This Row],[discount amount]]</f>
        <v>288</v>
      </c>
      <c r="K191" s="6" t="str">
        <f>IF(northwind_order_details[[#This Row],[discount amount]]&gt;0,"Yes","No")</f>
        <v>No</v>
      </c>
      <c r="L191" s="1" t="str">
        <f>IF(northwind_order_details[[#This Row],[Revenue]]&gt;1000,"High",IF(northwind_order_details[[#This Row],[Revenue]]&gt;300,"Medium","Low"))</f>
        <v>Low</v>
      </c>
      <c r="M1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2" spans="1:13" x14ac:dyDescent="0.25">
      <c r="A192">
        <v>10324</v>
      </c>
      <c r="B192">
        <v>59</v>
      </c>
      <c r="C192" s="6" t="s">
        <v>11</v>
      </c>
      <c r="D192">
        <v>40</v>
      </c>
      <c r="E192" s="6">
        <v>0.15</v>
      </c>
      <c r="F192" t="str">
        <f>_xlfn.XLOOKUP(northwind_order_details[[#This Row],[order_id]],northwind_orders[order_id],northwind_orders[ship_country])</f>
        <v>USA</v>
      </c>
      <c r="G192">
        <f>INDEX(northwind_orders[],MATCH(northwind_order_details[[#This Row],[order_id]], northwind_orders[order_id], 0), MATCH("employee_id", northwind_orders[#Headers], 0))</f>
        <v>9</v>
      </c>
      <c r="H192">
        <f>northwind_order_details[[#This Row],[unit_price]]*northwind_order_details[[#This Row],[quantity]]</f>
        <v>1760</v>
      </c>
      <c r="I192" s="1">
        <f>northwind_order_details[[#This Row],[purchase amount]]*northwind_order_details[[#This Row],[discount]]</f>
        <v>264</v>
      </c>
      <c r="J192" s="1">
        <f>northwind_order_details[[#This Row],[purchase amount]]-northwind_order_details[[#This Row],[discount amount]]</f>
        <v>1496</v>
      </c>
      <c r="K192" s="6" t="str">
        <f>IF(northwind_order_details[[#This Row],[discount amount]]&gt;0,"Yes","No")</f>
        <v>Yes</v>
      </c>
      <c r="L192" s="1" t="str">
        <f>IF(northwind_order_details[[#This Row],[Revenue]]&gt;1000,"High",IF(northwind_order_details[[#This Row],[Revenue]]&gt;300,"Medium","Low"))</f>
        <v>High</v>
      </c>
      <c r="M1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" spans="1:13" x14ac:dyDescent="0.25">
      <c r="A193">
        <v>10324</v>
      </c>
      <c r="B193">
        <v>63</v>
      </c>
      <c r="C193" s="6">
        <v>35.1</v>
      </c>
      <c r="D193">
        <v>80</v>
      </c>
      <c r="E193" s="6">
        <v>0.15</v>
      </c>
      <c r="F193" t="str">
        <f>_xlfn.XLOOKUP(northwind_order_details[[#This Row],[order_id]],northwind_orders[order_id],northwind_orders[ship_country])</f>
        <v>USA</v>
      </c>
      <c r="G193">
        <f>INDEX(northwind_orders[],MATCH(northwind_order_details[[#This Row],[order_id]], northwind_orders[order_id], 0), MATCH("employee_id", northwind_orders[#Headers], 0))</f>
        <v>9</v>
      </c>
      <c r="H193">
        <f>northwind_order_details[[#This Row],[unit_price]]*northwind_order_details[[#This Row],[quantity]]</f>
        <v>2808</v>
      </c>
      <c r="I193" s="1">
        <f>northwind_order_details[[#This Row],[purchase amount]]*northwind_order_details[[#This Row],[discount]]</f>
        <v>421.2</v>
      </c>
      <c r="J193" s="1">
        <f>northwind_order_details[[#This Row],[purchase amount]]-northwind_order_details[[#This Row],[discount amount]]</f>
        <v>2386.8000000000002</v>
      </c>
      <c r="K193" s="6" t="str">
        <f>IF(northwind_order_details[[#This Row],[discount amount]]&gt;0,"Yes","No")</f>
        <v>Yes</v>
      </c>
      <c r="L193" s="1" t="str">
        <f>IF(northwind_order_details[[#This Row],[Revenue]]&gt;1000,"High",IF(northwind_order_details[[#This Row],[Revenue]]&gt;300,"Medium","Low"))</f>
        <v>High</v>
      </c>
      <c r="M1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" spans="1:13" x14ac:dyDescent="0.25">
      <c r="A194">
        <v>10325</v>
      </c>
      <c r="B194">
        <v>6</v>
      </c>
      <c r="C194" s="6" t="s">
        <v>17</v>
      </c>
      <c r="D194">
        <v>6</v>
      </c>
      <c r="E194" s="6" t="s">
        <v>6</v>
      </c>
      <c r="F194" t="str">
        <f>_xlfn.XLOOKUP(northwind_order_details[[#This Row],[order_id]],northwind_orders[order_id],northwind_orders[ship_country])</f>
        <v>Germany</v>
      </c>
      <c r="G194">
        <f>INDEX(northwind_orders[],MATCH(northwind_order_details[[#This Row],[order_id]], northwind_orders[order_id], 0), MATCH("employee_id", northwind_orders[#Headers], 0))</f>
        <v>1</v>
      </c>
      <c r="H194">
        <f>northwind_order_details[[#This Row],[unit_price]]*northwind_order_details[[#This Row],[quantity]]</f>
        <v>120</v>
      </c>
      <c r="I194" s="1">
        <f>northwind_order_details[[#This Row],[purchase amount]]*northwind_order_details[[#This Row],[discount]]</f>
        <v>0</v>
      </c>
      <c r="J194" s="1">
        <f>northwind_order_details[[#This Row],[purchase amount]]-northwind_order_details[[#This Row],[discount amount]]</f>
        <v>120</v>
      </c>
      <c r="K194" s="6" t="str">
        <f>IF(northwind_order_details[[#This Row],[discount amount]]&gt;0,"Yes","No")</f>
        <v>No</v>
      </c>
      <c r="L194" s="1" t="str">
        <f>IF(northwind_order_details[[#This Row],[Revenue]]&gt;1000,"High",IF(northwind_order_details[[#This Row],[Revenue]]&gt;300,"Medium","Low"))</f>
        <v>Low</v>
      </c>
      <c r="M1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5" spans="1:13" x14ac:dyDescent="0.25">
      <c r="A195">
        <v>10325</v>
      </c>
      <c r="B195">
        <v>13</v>
      </c>
      <c r="C195" s="6">
        <v>4.8</v>
      </c>
      <c r="D195">
        <v>12</v>
      </c>
      <c r="E195" s="6" t="s">
        <v>6</v>
      </c>
      <c r="F195" t="str">
        <f>_xlfn.XLOOKUP(northwind_order_details[[#This Row],[order_id]],northwind_orders[order_id],northwind_orders[ship_country])</f>
        <v>Germany</v>
      </c>
      <c r="G195">
        <f>INDEX(northwind_orders[],MATCH(northwind_order_details[[#This Row],[order_id]], northwind_orders[order_id], 0), MATCH("employee_id", northwind_orders[#Headers], 0))</f>
        <v>1</v>
      </c>
      <c r="H195">
        <f>northwind_order_details[[#This Row],[unit_price]]*northwind_order_details[[#This Row],[quantity]]</f>
        <v>57.599999999999994</v>
      </c>
      <c r="I195" s="1">
        <f>northwind_order_details[[#This Row],[purchase amount]]*northwind_order_details[[#This Row],[discount]]</f>
        <v>0</v>
      </c>
      <c r="J195" s="1">
        <f>northwind_order_details[[#This Row],[purchase amount]]-northwind_order_details[[#This Row],[discount amount]]</f>
        <v>57.599999999999994</v>
      </c>
      <c r="K195" s="6" t="str">
        <f>IF(northwind_order_details[[#This Row],[discount amount]]&gt;0,"Yes","No")</f>
        <v>No</v>
      </c>
      <c r="L195" s="1" t="str">
        <f>IF(northwind_order_details[[#This Row],[Revenue]]&gt;1000,"High",IF(northwind_order_details[[#This Row],[Revenue]]&gt;300,"Medium","Low"))</f>
        <v>Low</v>
      </c>
      <c r="M1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" spans="1:13" x14ac:dyDescent="0.25">
      <c r="A196">
        <v>10325</v>
      </c>
      <c r="B196">
        <v>14</v>
      </c>
      <c r="C196" s="6">
        <v>18.600000000000001</v>
      </c>
      <c r="D196">
        <v>9</v>
      </c>
      <c r="E196" s="6" t="s">
        <v>6</v>
      </c>
      <c r="F196" t="str">
        <f>_xlfn.XLOOKUP(northwind_order_details[[#This Row],[order_id]],northwind_orders[order_id],northwind_orders[ship_country])</f>
        <v>Germany</v>
      </c>
      <c r="G196">
        <f>INDEX(northwind_orders[],MATCH(northwind_order_details[[#This Row],[order_id]], northwind_orders[order_id], 0), MATCH("employee_id", northwind_orders[#Headers], 0))</f>
        <v>1</v>
      </c>
      <c r="H196">
        <f>northwind_order_details[[#This Row],[unit_price]]*northwind_order_details[[#This Row],[quantity]]</f>
        <v>167.4</v>
      </c>
      <c r="I196" s="1">
        <f>northwind_order_details[[#This Row],[purchase amount]]*northwind_order_details[[#This Row],[discount]]</f>
        <v>0</v>
      </c>
      <c r="J196" s="1">
        <f>northwind_order_details[[#This Row],[purchase amount]]-northwind_order_details[[#This Row],[discount amount]]</f>
        <v>167.4</v>
      </c>
      <c r="K196" s="6" t="str">
        <f>IF(northwind_order_details[[#This Row],[discount amount]]&gt;0,"Yes","No")</f>
        <v>No</v>
      </c>
      <c r="L196" s="1" t="str">
        <f>IF(northwind_order_details[[#This Row],[Revenue]]&gt;1000,"High",IF(northwind_order_details[[#This Row],[Revenue]]&gt;300,"Medium","Low"))</f>
        <v>Low</v>
      </c>
      <c r="M1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7" spans="1:13" x14ac:dyDescent="0.25">
      <c r="A197">
        <v>10325</v>
      </c>
      <c r="B197">
        <v>31</v>
      </c>
      <c r="C197" s="6" t="s">
        <v>8</v>
      </c>
      <c r="D197">
        <v>4</v>
      </c>
      <c r="E197" s="6" t="s">
        <v>6</v>
      </c>
      <c r="F197" t="str">
        <f>_xlfn.XLOOKUP(northwind_order_details[[#This Row],[order_id]],northwind_orders[order_id],northwind_orders[ship_country])</f>
        <v>Germany</v>
      </c>
      <c r="G197">
        <f>INDEX(northwind_orders[],MATCH(northwind_order_details[[#This Row],[order_id]], northwind_orders[order_id], 0), MATCH("employee_id", northwind_orders[#Headers], 0))</f>
        <v>1</v>
      </c>
      <c r="H197">
        <f>northwind_order_details[[#This Row],[unit_price]]*northwind_order_details[[#This Row],[quantity]]</f>
        <v>40</v>
      </c>
      <c r="I197" s="1">
        <f>northwind_order_details[[#This Row],[purchase amount]]*northwind_order_details[[#This Row],[discount]]</f>
        <v>0</v>
      </c>
      <c r="J197" s="1">
        <f>northwind_order_details[[#This Row],[purchase amount]]-northwind_order_details[[#This Row],[discount amount]]</f>
        <v>40</v>
      </c>
      <c r="K197" s="6" t="str">
        <f>IF(northwind_order_details[[#This Row],[discount amount]]&gt;0,"Yes","No")</f>
        <v>No</v>
      </c>
      <c r="L197" s="1" t="str">
        <f>IF(northwind_order_details[[#This Row],[Revenue]]&gt;1000,"High",IF(northwind_order_details[[#This Row],[Revenue]]&gt;300,"Medium","Low"))</f>
        <v>Low</v>
      </c>
      <c r="M1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" spans="1:13" x14ac:dyDescent="0.25">
      <c r="A198">
        <v>10325</v>
      </c>
      <c r="B198">
        <v>72</v>
      </c>
      <c r="C198" s="6">
        <v>27.8</v>
      </c>
      <c r="D198">
        <v>40</v>
      </c>
      <c r="E198" s="6" t="s">
        <v>6</v>
      </c>
      <c r="F198" t="str">
        <f>_xlfn.XLOOKUP(northwind_order_details[[#This Row],[order_id]],northwind_orders[order_id],northwind_orders[ship_country])</f>
        <v>Germany</v>
      </c>
      <c r="G198">
        <f>INDEX(northwind_orders[],MATCH(northwind_order_details[[#This Row],[order_id]], northwind_orders[order_id], 0), MATCH("employee_id", northwind_orders[#Headers], 0))</f>
        <v>1</v>
      </c>
      <c r="H198">
        <f>northwind_order_details[[#This Row],[unit_price]]*northwind_order_details[[#This Row],[quantity]]</f>
        <v>1112</v>
      </c>
      <c r="I198" s="1">
        <f>northwind_order_details[[#This Row],[purchase amount]]*northwind_order_details[[#This Row],[discount]]</f>
        <v>0</v>
      </c>
      <c r="J198" s="1">
        <f>northwind_order_details[[#This Row],[purchase amount]]-northwind_order_details[[#This Row],[discount amount]]</f>
        <v>1112</v>
      </c>
      <c r="K198" s="6" t="str">
        <f>IF(northwind_order_details[[#This Row],[discount amount]]&gt;0,"Yes","No")</f>
        <v>No</v>
      </c>
      <c r="L198" s="1" t="str">
        <f>IF(northwind_order_details[[#This Row],[Revenue]]&gt;1000,"High",IF(northwind_order_details[[#This Row],[Revenue]]&gt;300,"Medium","Low"))</f>
        <v>High</v>
      </c>
      <c r="M1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" spans="1:13" x14ac:dyDescent="0.25">
      <c r="A199">
        <v>10326</v>
      </c>
      <c r="B199">
        <v>4</v>
      </c>
      <c r="C199" s="6">
        <v>17.600000000000001</v>
      </c>
      <c r="D199">
        <v>24</v>
      </c>
      <c r="E199" s="6" t="s">
        <v>6</v>
      </c>
      <c r="F199" t="str">
        <f>_xlfn.XLOOKUP(northwind_order_details[[#This Row],[order_id]],northwind_orders[order_id],northwind_orders[ship_country])</f>
        <v>Spain</v>
      </c>
      <c r="G199">
        <f>INDEX(northwind_orders[],MATCH(northwind_order_details[[#This Row],[order_id]], northwind_orders[order_id], 0), MATCH("employee_id", northwind_orders[#Headers], 0))</f>
        <v>4</v>
      </c>
      <c r="H199">
        <f>northwind_order_details[[#This Row],[unit_price]]*northwind_order_details[[#This Row],[quantity]]</f>
        <v>422.40000000000003</v>
      </c>
      <c r="I199" s="1">
        <f>northwind_order_details[[#This Row],[purchase amount]]*northwind_order_details[[#This Row],[discount]]</f>
        <v>0</v>
      </c>
      <c r="J199" s="1">
        <f>northwind_order_details[[#This Row],[purchase amount]]-northwind_order_details[[#This Row],[discount amount]]</f>
        <v>422.40000000000003</v>
      </c>
      <c r="K199" s="6" t="str">
        <f>IF(northwind_order_details[[#This Row],[discount amount]]&gt;0,"Yes","No")</f>
        <v>No</v>
      </c>
      <c r="L199" s="1" t="str">
        <f>IF(northwind_order_details[[#This Row],[Revenue]]&gt;1000,"High",IF(northwind_order_details[[#This Row],[Revenue]]&gt;300,"Medium","Low"))</f>
        <v>Medium</v>
      </c>
      <c r="M1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0" spans="1:13" x14ac:dyDescent="0.25">
      <c r="A200">
        <v>10326</v>
      </c>
      <c r="B200">
        <v>57</v>
      </c>
      <c r="C200" s="6">
        <v>15.6</v>
      </c>
      <c r="D200">
        <v>16</v>
      </c>
      <c r="E200" s="6" t="s">
        <v>6</v>
      </c>
      <c r="F200" t="str">
        <f>_xlfn.XLOOKUP(northwind_order_details[[#This Row],[order_id]],northwind_orders[order_id],northwind_orders[ship_country])</f>
        <v>Spain</v>
      </c>
      <c r="G200">
        <f>INDEX(northwind_orders[],MATCH(northwind_order_details[[#This Row],[order_id]], northwind_orders[order_id], 0), MATCH("employee_id", northwind_orders[#Headers], 0))</f>
        <v>4</v>
      </c>
      <c r="H200">
        <f>northwind_order_details[[#This Row],[unit_price]]*northwind_order_details[[#This Row],[quantity]]</f>
        <v>249.6</v>
      </c>
      <c r="I200" s="1">
        <f>northwind_order_details[[#This Row],[purchase amount]]*northwind_order_details[[#This Row],[discount]]</f>
        <v>0</v>
      </c>
      <c r="J200" s="1">
        <f>northwind_order_details[[#This Row],[purchase amount]]-northwind_order_details[[#This Row],[discount amount]]</f>
        <v>249.6</v>
      </c>
      <c r="K200" s="6" t="str">
        <f>IF(northwind_order_details[[#This Row],[discount amount]]&gt;0,"Yes","No")</f>
        <v>No</v>
      </c>
      <c r="L200" s="1" t="str">
        <f>IF(northwind_order_details[[#This Row],[Revenue]]&gt;1000,"High",IF(northwind_order_details[[#This Row],[Revenue]]&gt;300,"Medium","Low"))</f>
        <v>Low</v>
      </c>
      <c r="M2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" spans="1:13" x14ac:dyDescent="0.25">
      <c r="A201">
        <v>10326</v>
      </c>
      <c r="B201">
        <v>75</v>
      </c>
      <c r="C201" s="6">
        <v>6.2</v>
      </c>
      <c r="D201">
        <v>50</v>
      </c>
      <c r="E201" s="6" t="s">
        <v>6</v>
      </c>
      <c r="F201" t="str">
        <f>_xlfn.XLOOKUP(northwind_order_details[[#This Row],[order_id]],northwind_orders[order_id],northwind_orders[ship_country])</f>
        <v>Spain</v>
      </c>
      <c r="G201">
        <f>INDEX(northwind_orders[],MATCH(northwind_order_details[[#This Row],[order_id]], northwind_orders[order_id], 0), MATCH("employee_id", northwind_orders[#Headers], 0))</f>
        <v>4</v>
      </c>
      <c r="H201">
        <f>northwind_order_details[[#This Row],[unit_price]]*northwind_order_details[[#This Row],[quantity]]</f>
        <v>310</v>
      </c>
      <c r="I201" s="1">
        <f>northwind_order_details[[#This Row],[purchase amount]]*northwind_order_details[[#This Row],[discount]]</f>
        <v>0</v>
      </c>
      <c r="J201" s="1">
        <f>northwind_order_details[[#This Row],[purchase amount]]-northwind_order_details[[#This Row],[discount amount]]</f>
        <v>310</v>
      </c>
      <c r="K201" s="6" t="str">
        <f>IF(northwind_order_details[[#This Row],[discount amount]]&gt;0,"Yes","No")</f>
        <v>No</v>
      </c>
      <c r="L201" s="1" t="str">
        <f>IF(northwind_order_details[[#This Row],[Revenue]]&gt;1000,"High",IF(northwind_order_details[[#This Row],[Revenue]]&gt;300,"Medium","Low"))</f>
        <v>Medium</v>
      </c>
      <c r="M2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2" spans="1:13" x14ac:dyDescent="0.25">
      <c r="A202">
        <v>10327</v>
      </c>
      <c r="B202">
        <v>2</v>
      </c>
      <c r="C202" s="6">
        <v>15.2</v>
      </c>
      <c r="D202">
        <v>25</v>
      </c>
      <c r="E202" s="6">
        <v>0.2</v>
      </c>
      <c r="F202" t="str">
        <f>_xlfn.XLOOKUP(northwind_order_details[[#This Row],[order_id]],northwind_orders[order_id],northwind_orders[ship_country])</f>
        <v>Sweden</v>
      </c>
      <c r="G202">
        <f>INDEX(northwind_orders[],MATCH(northwind_order_details[[#This Row],[order_id]], northwind_orders[order_id], 0), MATCH("employee_id", northwind_orders[#Headers], 0))</f>
        <v>2</v>
      </c>
      <c r="H202">
        <f>northwind_order_details[[#This Row],[unit_price]]*northwind_order_details[[#This Row],[quantity]]</f>
        <v>380</v>
      </c>
      <c r="I202" s="1">
        <f>northwind_order_details[[#This Row],[purchase amount]]*northwind_order_details[[#This Row],[discount]]</f>
        <v>76</v>
      </c>
      <c r="J202" s="1">
        <f>northwind_order_details[[#This Row],[purchase amount]]-northwind_order_details[[#This Row],[discount amount]]</f>
        <v>304</v>
      </c>
      <c r="K202" s="6" t="str">
        <f>IF(northwind_order_details[[#This Row],[discount amount]]&gt;0,"Yes","No")</f>
        <v>Yes</v>
      </c>
      <c r="L202" s="1" t="str">
        <f>IF(northwind_order_details[[#This Row],[Revenue]]&gt;1000,"High",IF(northwind_order_details[[#This Row],[Revenue]]&gt;300,"Medium","Low"))</f>
        <v>Medium</v>
      </c>
      <c r="M2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3" spans="1:13" x14ac:dyDescent="0.25">
      <c r="A203">
        <v>10327</v>
      </c>
      <c r="B203">
        <v>11</v>
      </c>
      <c r="C203" s="6">
        <v>16.8</v>
      </c>
      <c r="D203">
        <v>50</v>
      </c>
      <c r="E203" s="6">
        <v>0.2</v>
      </c>
      <c r="F203" t="str">
        <f>_xlfn.XLOOKUP(northwind_order_details[[#This Row],[order_id]],northwind_orders[order_id],northwind_orders[ship_country])</f>
        <v>Sweden</v>
      </c>
      <c r="G203">
        <f>INDEX(northwind_orders[],MATCH(northwind_order_details[[#This Row],[order_id]], northwind_orders[order_id], 0), MATCH("employee_id", northwind_orders[#Headers], 0))</f>
        <v>2</v>
      </c>
      <c r="H203">
        <f>northwind_order_details[[#This Row],[unit_price]]*northwind_order_details[[#This Row],[quantity]]</f>
        <v>840</v>
      </c>
      <c r="I203" s="1">
        <f>northwind_order_details[[#This Row],[purchase amount]]*northwind_order_details[[#This Row],[discount]]</f>
        <v>168</v>
      </c>
      <c r="J203" s="1">
        <f>northwind_order_details[[#This Row],[purchase amount]]-northwind_order_details[[#This Row],[discount amount]]</f>
        <v>672</v>
      </c>
      <c r="K203" s="6" t="str">
        <f>IF(northwind_order_details[[#This Row],[discount amount]]&gt;0,"Yes","No")</f>
        <v>Yes</v>
      </c>
      <c r="L203" s="1" t="str">
        <f>IF(northwind_order_details[[#This Row],[Revenue]]&gt;1000,"High",IF(northwind_order_details[[#This Row],[Revenue]]&gt;300,"Medium","Low"))</f>
        <v>Medium</v>
      </c>
      <c r="M2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4" spans="1:13" x14ac:dyDescent="0.25">
      <c r="A204">
        <v>10327</v>
      </c>
      <c r="B204">
        <v>30</v>
      </c>
      <c r="C204" s="6">
        <v>20.7</v>
      </c>
      <c r="D204">
        <v>35</v>
      </c>
      <c r="E204" s="6">
        <v>0.2</v>
      </c>
      <c r="F204" t="str">
        <f>_xlfn.XLOOKUP(northwind_order_details[[#This Row],[order_id]],northwind_orders[order_id],northwind_orders[ship_country])</f>
        <v>Sweden</v>
      </c>
      <c r="G204">
        <f>INDEX(northwind_orders[],MATCH(northwind_order_details[[#This Row],[order_id]], northwind_orders[order_id], 0), MATCH("employee_id", northwind_orders[#Headers], 0))</f>
        <v>2</v>
      </c>
      <c r="H204">
        <f>northwind_order_details[[#This Row],[unit_price]]*northwind_order_details[[#This Row],[quantity]]</f>
        <v>724.5</v>
      </c>
      <c r="I204" s="1">
        <f>northwind_order_details[[#This Row],[purchase amount]]*northwind_order_details[[#This Row],[discount]]</f>
        <v>144.9</v>
      </c>
      <c r="J204" s="1">
        <f>northwind_order_details[[#This Row],[purchase amount]]-northwind_order_details[[#This Row],[discount amount]]</f>
        <v>579.6</v>
      </c>
      <c r="K204" s="6" t="str">
        <f>IF(northwind_order_details[[#This Row],[discount amount]]&gt;0,"Yes","No")</f>
        <v>Yes</v>
      </c>
      <c r="L204" s="1" t="str">
        <f>IF(northwind_order_details[[#This Row],[Revenue]]&gt;1000,"High",IF(northwind_order_details[[#This Row],[Revenue]]&gt;300,"Medium","Low"))</f>
        <v>Medium</v>
      </c>
      <c r="M2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5" spans="1:13" x14ac:dyDescent="0.25">
      <c r="A205">
        <v>10327</v>
      </c>
      <c r="B205">
        <v>58</v>
      </c>
      <c r="C205" s="6">
        <v>10.6</v>
      </c>
      <c r="D205">
        <v>30</v>
      </c>
      <c r="E205" s="6">
        <v>0.2</v>
      </c>
      <c r="F205" t="str">
        <f>_xlfn.XLOOKUP(northwind_order_details[[#This Row],[order_id]],northwind_orders[order_id],northwind_orders[ship_country])</f>
        <v>Sweden</v>
      </c>
      <c r="G205">
        <f>INDEX(northwind_orders[],MATCH(northwind_order_details[[#This Row],[order_id]], northwind_orders[order_id], 0), MATCH("employee_id", northwind_orders[#Headers], 0))</f>
        <v>2</v>
      </c>
      <c r="H205">
        <f>northwind_order_details[[#This Row],[unit_price]]*northwind_order_details[[#This Row],[quantity]]</f>
        <v>318</v>
      </c>
      <c r="I205" s="1">
        <f>northwind_order_details[[#This Row],[purchase amount]]*northwind_order_details[[#This Row],[discount]]</f>
        <v>63.6</v>
      </c>
      <c r="J205" s="1">
        <f>northwind_order_details[[#This Row],[purchase amount]]-northwind_order_details[[#This Row],[discount amount]]</f>
        <v>254.4</v>
      </c>
      <c r="K205" s="6" t="str">
        <f>IF(northwind_order_details[[#This Row],[discount amount]]&gt;0,"Yes","No")</f>
        <v>Yes</v>
      </c>
      <c r="L205" s="1" t="str">
        <f>IF(northwind_order_details[[#This Row],[Revenue]]&gt;1000,"High",IF(northwind_order_details[[#This Row],[Revenue]]&gt;300,"Medium","Low"))</f>
        <v>Low</v>
      </c>
      <c r="M2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6" spans="1:13" x14ac:dyDescent="0.25">
      <c r="A206">
        <v>10328</v>
      </c>
      <c r="B206">
        <v>59</v>
      </c>
      <c r="C206" s="6" t="s">
        <v>11</v>
      </c>
      <c r="D206">
        <v>9</v>
      </c>
      <c r="E206" s="6" t="s">
        <v>6</v>
      </c>
      <c r="F206" t="str">
        <f>_xlfn.XLOOKUP(northwind_order_details[[#This Row],[order_id]],northwind_orders[order_id],northwind_orders[ship_country])</f>
        <v>Portugal</v>
      </c>
      <c r="G206">
        <f>INDEX(northwind_orders[],MATCH(northwind_order_details[[#This Row],[order_id]], northwind_orders[order_id], 0), MATCH("employee_id", northwind_orders[#Headers], 0))</f>
        <v>4</v>
      </c>
      <c r="H206">
        <f>northwind_order_details[[#This Row],[unit_price]]*northwind_order_details[[#This Row],[quantity]]</f>
        <v>396</v>
      </c>
      <c r="I206" s="1">
        <f>northwind_order_details[[#This Row],[purchase amount]]*northwind_order_details[[#This Row],[discount]]</f>
        <v>0</v>
      </c>
      <c r="J206" s="1">
        <f>northwind_order_details[[#This Row],[purchase amount]]-northwind_order_details[[#This Row],[discount amount]]</f>
        <v>396</v>
      </c>
      <c r="K206" s="6" t="str">
        <f>IF(northwind_order_details[[#This Row],[discount amount]]&gt;0,"Yes","No")</f>
        <v>No</v>
      </c>
      <c r="L206" s="1" t="str">
        <f>IF(northwind_order_details[[#This Row],[Revenue]]&gt;1000,"High",IF(northwind_order_details[[#This Row],[Revenue]]&gt;300,"Medium","Low"))</f>
        <v>Medium</v>
      </c>
      <c r="M2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7" spans="1:13" x14ac:dyDescent="0.25">
      <c r="A207">
        <v>10328</v>
      </c>
      <c r="B207">
        <v>65</v>
      </c>
      <c r="C207" s="6">
        <v>16.8</v>
      </c>
      <c r="D207">
        <v>40</v>
      </c>
      <c r="E207" s="6" t="s">
        <v>6</v>
      </c>
      <c r="F207" t="str">
        <f>_xlfn.XLOOKUP(northwind_order_details[[#This Row],[order_id]],northwind_orders[order_id],northwind_orders[ship_country])</f>
        <v>Portugal</v>
      </c>
      <c r="G207">
        <f>INDEX(northwind_orders[],MATCH(northwind_order_details[[#This Row],[order_id]], northwind_orders[order_id], 0), MATCH("employee_id", northwind_orders[#Headers], 0))</f>
        <v>4</v>
      </c>
      <c r="H207">
        <f>northwind_order_details[[#This Row],[unit_price]]*northwind_order_details[[#This Row],[quantity]]</f>
        <v>672</v>
      </c>
      <c r="I207" s="1">
        <f>northwind_order_details[[#This Row],[purchase amount]]*northwind_order_details[[#This Row],[discount]]</f>
        <v>0</v>
      </c>
      <c r="J207" s="1">
        <f>northwind_order_details[[#This Row],[purchase amount]]-northwind_order_details[[#This Row],[discount amount]]</f>
        <v>672</v>
      </c>
      <c r="K207" s="6" t="str">
        <f>IF(northwind_order_details[[#This Row],[discount amount]]&gt;0,"Yes","No")</f>
        <v>No</v>
      </c>
      <c r="L207" s="1" t="str">
        <f>IF(northwind_order_details[[#This Row],[Revenue]]&gt;1000,"High",IF(northwind_order_details[[#This Row],[Revenue]]&gt;300,"Medium","Low"))</f>
        <v>Medium</v>
      </c>
      <c r="M2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8" spans="1:13" x14ac:dyDescent="0.25">
      <c r="A208">
        <v>10328</v>
      </c>
      <c r="B208">
        <v>68</v>
      </c>
      <c r="C208" s="6" t="s">
        <v>8</v>
      </c>
      <c r="D208">
        <v>10</v>
      </c>
      <c r="E208" s="6" t="s">
        <v>6</v>
      </c>
      <c r="F208" t="str">
        <f>_xlfn.XLOOKUP(northwind_order_details[[#This Row],[order_id]],northwind_orders[order_id],northwind_orders[ship_country])</f>
        <v>Portugal</v>
      </c>
      <c r="G208">
        <f>INDEX(northwind_orders[],MATCH(northwind_order_details[[#This Row],[order_id]], northwind_orders[order_id], 0), MATCH("employee_id", northwind_orders[#Headers], 0))</f>
        <v>4</v>
      </c>
      <c r="H208">
        <f>northwind_order_details[[#This Row],[unit_price]]*northwind_order_details[[#This Row],[quantity]]</f>
        <v>100</v>
      </c>
      <c r="I208" s="1">
        <f>northwind_order_details[[#This Row],[purchase amount]]*northwind_order_details[[#This Row],[discount]]</f>
        <v>0</v>
      </c>
      <c r="J208" s="1">
        <f>northwind_order_details[[#This Row],[purchase amount]]-northwind_order_details[[#This Row],[discount amount]]</f>
        <v>100</v>
      </c>
      <c r="K208" s="6" t="str">
        <f>IF(northwind_order_details[[#This Row],[discount amount]]&gt;0,"Yes","No")</f>
        <v>No</v>
      </c>
      <c r="L208" s="1" t="str">
        <f>IF(northwind_order_details[[#This Row],[Revenue]]&gt;1000,"High",IF(northwind_order_details[[#This Row],[Revenue]]&gt;300,"Medium","Low"))</f>
        <v>Low</v>
      </c>
      <c r="M2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9" spans="1:13" x14ac:dyDescent="0.25">
      <c r="A209">
        <v>10329</v>
      </c>
      <c r="B209">
        <v>19</v>
      </c>
      <c r="C209" s="6">
        <v>7.3</v>
      </c>
      <c r="D209">
        <v>10</v>
      </c>
      <c r="E209" s="6">
        <v>0.05</v>
      </c>
      <c r="F209" t="str">
        <f>_xlfn.XLOOKUP(northwind_order_details[[#This Row],[order_id]],northwind_orders[order_id],northwind_orders[ship_country])</f>
        <v>USA</v>
      </c>
      <c r="G209">
        <f>INDEX(northwind_orders[],MATCH(northwind_order_details[[#This Row],[order_id]], northwind_orders[order_id], 0), MATCH("employee_id", northwind_orders[#Headers], 0))</f>
        <v>4</v>
      </c>
      <c r="H209">
        <f>northwind_order_details[[#This Row],[unit_price]]*northwind_order_details[[#This Row],[quantity]]</f>
        <v>73</v>
      </c>
      <c r="I209" s="1">
        <f>northwind_order_details[[#This Row],[purchase amount]]*northwind_order_details[[#This Row],[discount]]</f>
        <v>3.6500000000000004</v>
      </c>
      <c r="J209" s="1">
        <f>northwind_order_details[[#This Row],[purchase amount]]-northwind_order_details[[#This Row],[discount amount]]</f>
        <v>69.349999999999994</v>
      </c>
      <c r="K209" s="6" t="str">
        <f>IF(northwind_order_details[[#This Row],[discount amount]]&gt;0,"Yes","No")</f>
        <v>Yes</v>
      </c>
      <c r="L209" s="1" t="str">
        <f>IF(northwind_order_details[[#This Row],[Revenue]]&gt;1000,"High",IF(northwind_order_details[[#This Row],[Revenue]]&gt;300,"Medium","Low"))</f>
        <v>Low</v>
      </c>
      <c r="M2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0" spans="1:13" x14ac:dyDescent="0.25">
      <c r="A210">
        <v>10329</v>
      </c>
      <c r="B210">
        <v>30</v>
      </c>
      <c r="C210" s="6">
        <v>20.7</v>
      </c>
      <c r="D210">
        <v>8</v>
      </c>
      <c r="E210" s="6">
        <v>0.05</v>
      </c>
      <c r="F210" t="str">
        <f>_xlfn.XLOOKUP(northwind_order_details[[#This Row],[order_id]],northwind_orders[order_id],northwind_orders[ship_country])</f>
        <v>USA</v>
      </c>
      <c r="G210">
        <f>INDEX(northwind_orders[],MATCH(northwind_order_details[[#This Row],[order_id]], northwind_orders[order_id], 0), MATCH("employee_id", northwind_orders[#Headers], 0))</f>
        <v>4</v>
      </c>
      <c r="H210">
        <f>northwind_order_details[[#This Row],[unit_price]]*northwind_order_details[[#This Row],[quantity]]</f>
        <v>165.6</v>
      </c>
      <c r="I210" s="1">
        <f>northwind_order_details[[#This Row],[purchase amount]]*northwind_order_details[[#This Row],[discount]]</f>
        <v>8.2799999999999994</v>
      </c>
      <c r="J210" s="1">
        <f>northwind_order_details[[#This Row],[purchase amount]]-northwind_order_details[[#This Row],[discount amount]]</f>
        <v>157.32</v>
      </c>
      <c r="K210" s="6" t="str">
        <f>IF(northwind_order_details[[#This Row],[discount amount]]&gt;0,"Yes","No")</f>
        <v>Yes</v>
      </c>
      <c r="L210" s="1" t="str">
        <f>IF(northwind_order_details[[#This Row],[Revenue]]&gt;1000,"High",IF(northwind_order_details[[#This Row],[Revenue]]&gt;300,"Medium","Low"))</f>
        <v>Low</v>
      </c>
      <c r="M2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1" spans="1:13" x14ac:dyDescent="0.25">
      <c r="A211">
        <v>10329</v>
      </c>
      <c r="B211">
        <v>38</v>
      </c>
      <c r="C211" s="6">
        <v>210.8</v>
      </c>
      <c r="D211">
        <v>20</v>
      </c>
      <c r="E211" s="6">
        <v>0.05</v>
      </c>
      <c r="F211" t="str">
        <f>_xlfn.XLOOKUP(northwind_order_details[[#This Row],[order_id]],northwind_orders[order_id],northwind_orders[ship_country])</f>
        <v>USA</v>
      </c>
      <c r="G211">
        <f>INDEX(northwind_orders[],MATCH(northwind_order_details[[#This Row],[order_id]], northwind_orders[order_id], 0), MATCH("employee_id", northwind_orders[#Headers], 0))</f>
        <v>4</v>
      </c>
      <c r="H211">
        <f>northwind_order_details[[#This Row],[unit_price]]*northwind_order_details[[#This Row],[quantity]]</f>
        <v>4216</v>
      </c>
      <c r="I211" s="1">
        <f>northwind_order_details[[#This Row],[purchase amount]]*northwind_order_details[[#This Row],[discount]]</f>
        <v>210.8</v>
      </c>
      <c r="J211" s="1">
        <f>northwind_order_details[[#This Row],[purchase amount]]-northwind_order_details[[#This Row],[discount amount]]</f>
        <v>4005.2</v>
      </c>
      <c r="K211" s="6" t="str">
        <f>IF(northwind_order_details[[#This Row],[discount amount]]&gt;0,"Yes","No")</f>
        <v>Yes</v>
      </c>
      <c r="L211" s="1" t="str">
        <f>IF(northwind_order_details[[#This Row],[Revenue]]&gt;1000,"High",IF(northwind_order_details[[#This Row],[Revenue]]&gt;300,"Medium","Low"))</f>
        <v>High</v>
      </c>
      <c r="M2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2" spans="1:13" x14ac:dyDescent="0.25">
      <c r="A212">
        <v>10329</v>
      </c>
      <c r="B212">
        <v>56</v>
      </c>
      <c r="C212" s="6">
        <v>30.4</v>
      </c>
      <c r="D212">
        <v>12</v>
      </c>
      <c r="E212" s="6">
        <v>0.05</v>
      </c>
      <c r="F212" t="str">
        <f>_xlfn.XLOOKUP(northwind_order_details[[#This Row],[order_id]],northwind_orders[order_id],northwind_orders[ship_country])</f>
        <v>USA</v>
      </c>
      <c r="G212">
        <f>INDEX(northwind_orders[],MATCH(northwind_order_details[[#This Row],[order_id]], northwind_orders[order_id], 0), MATCH("employee_id", northwind_orders[#Headers], 0))</f>
        <v>4</v>
      </c>
      <c r="H212">
        <f>northwind_order_details[[#This Row],[unit_price]]*northwind_order_details[[#This Row],[quantity]]</f>
        <v>364.79999999999995</v>
      </c>
      <c r="I212" s="1">
        <f>northwind_order_details[[#This Row],[purchase amount]]*northwind_order_details[[#This Row],[discount]]</f>
        <v>18.239999999999998</v>
      </c>
      <c r="J212" s="1">
        <f>northwind_order_details[[#This Row],[purchase amount]]-northwind_order_details[[#This Row],[discount amount]]</f>
        <v>346.55999999999995</v>
      </c>
      <c r="K212" s="6" t="str">
        <f>IF(northwind_order_details[[#This Row],[discount amount]]&gt;0,"Yes","No")</f>
        <v>Yes</v>
      </c>
      <c r="L212" s="1" t="str">
        <f>IF(northwind_order_details[[#This Row],[Revenue]]&gt;1000,"High",IF(northwind_order_details[[#This Row],[Revenue]]&gt;300,"Medium","Low"))</f>
        <v>Medium</v>
      </c>
      <c r="M2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3" spans="1:13" x14ac:dyDescent="0.25">
      <c r="A213">
        <v>10330</v>
      </c>
      <c r="B213">
        <v>26</v>
      </c>
      <c r="C213" s="6">
        <v>24.9</v>
      </c>
      <c r="D213">
        <v>50</v>
      </c>
      <c r="E213" s="6">
        <v>0.15</v>
      </c>
      <c r="F213" t="str">
        <f>_xlfn.XLOOKUP(northwind_order_details[[#This Row],[order_id]],northwind_orders[order_id],northwind_orders[ship_country])</f>
        <v>Venezuela</v>
      </c>
      <c r="G213">
        <f>INDEX(northwind_orders[],MATCH(northwind_order_details[[#This Row],[order_id]], northwind_orders[order_id], 0), MATCH("employee_id", northwind_orders[#Headers], 0))</f>
        <v>3</v>
      </c>
      <c r="H213">
        <f>northwind_order_details[[#This Row],[unit_price]]*northwind_order_details[[#This Row],[quantity]]</f>
        <v>1245</v>
      </c>
      <c r="I213" s="1">
        <f>northwind_order_details[[#This Row],[purchase amount]]*northwind_order_details[[#This Row],[discount]]</f>
        <v>186.75</v>
      </c>
      <c r="J213" s="1">
        <f>northwind_order_details[[#This Row],[purchase amount]]-northwind_order_details[[#This Row],[discount amount]]</f>
        <v>1058.25</v>
      </c>
      <c r="K213" s="6" t="str">
        <f>IF(northwind_order_details[[#This Row],[discount amount]]&gt;0,"Yes","No")</f>
        <v>Yes</v>
      </c>
      <c r="L213" s="1" t="str">
        <f>IF(northwind_order_details[[#This Row],[Revenue]]&gt;1000,"High",IF(northwind_order_details[[#This Row],[Revenue]]&gt;300,"Medium","Low"))</f>
        <v>High</v>
      </c>
      <c r="M2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4" spans="1:13" x14ac:dyDescent="0.25">
      <c r="A214">
        <v>10330</v>
      </c>
      <c r="B214">
        <v>72</v>
      </c>
      <c r="C214" s="6">
        <v>27.8</v>
      </c>
      <c r="D214">
        <v>25</v>
      </c>
      <c r="E214" s="6">
        <v>0.15</v>
      </c>
      <c r="F214" t="str">
        <f>_xlfn.XLOOKUP(northwind_order_details[[#This Row],[order_id]],northwind_orders[order_id],northwind_orders[ship_country])</f>
        <v>Venezuela</v>
      </c>
      <c r="G214">
        <f>INDEX(northwind_orders[],MATCH(northwind_order_details[[#This Row],[order_id]], northwind_orders[order_id], 0), MATCH("employee_id", northwind_orders[#Headers], 0))</f>
        <v>3</v>
      </c>
      <c r="H214">
        <f>northwind_order_details[[#This Row],[unit_price]]*northwind_order_details[[#This Row],[quantity]]</f>
        <v>695</v>
      </c>
      <c r="I214" s="1">
        <f>northwind_order_details[[#This Row],[purchase amount]]*northwind_order_details[[#This Row],[discount]]</f>
        <v>104.25</v>
      </c>
      <c r="J214" s="1">
        <f>northwind_order_details[[#This Row],[purchase amount]]-northwind_order_details[[#This Row],[discount amount]]</f>
        <v>590.75</v>
      </c>
      <c r="K214" s="6" t="str">
        <f>IF(northwind_order_details[[#This Row],[discount amount]]&gt;0,"Yes","No")</f>
        <v>Yes</v>
      </c>
      <c r="L214" s="1" t="str">
        <f>IF(northwind_order_details[[#This Row],[Revenue]]&gt;1000,"High",IF(northwind_order_details[[#This Row],[Revenue]]&gt;300,"Medium","Low"))</f>
        <v>Medium</v>
      </c>
      <c r="M2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5" spans="1:13" x14ac:dyDescent="0.25">
      <c r="A215">
        <v>10331</v>
      </c>
      <c r="B215">
        <v>54</v>
      </c>
      <c r="C215" s="6">
        <v>5.9</v>
      </c>
      <c r="D215">
        <v>15</v>
      </c>
      <c r="E215" s="6" t="s">
        <v>6</v>
      </c>
      <c r="F215" t="str">
        <f>_xlfn.XLOOKUP(northwind_order_details[[#This Row],[order_id]],northwind_orders[order_id],northwind_orders[ship_country])</f>
        <v>France</v>
      </c>
      <c r="G215">
        <f>INDEX(northwind_orders[],MATCH(northwind_order_details[[#This Row],[order_id]], northwind_orders[order_id], 0), MATCH("employee_id", northwind_orders[#Headers], 0))</f>
        <v>9</v>
      </c>
      <c r="H215">
        <f>northwind_order_details[[#This Row],[unit_price]]*northwind_order_details[[#This Row],[quantity]]</f>
        <v>88.5</v>
      </c>
      <c r="I215" s="1">
        <f>northwind_order_details[[#This Row],[purchase amount]]*northwind_order_details[[#This Row],[discount]]</f>
        <v>0</v>
      </c>
      <c r="J215" s="1">
        <f>northwind_order_details[[#This Row],[purchase amount]]-northwind_order_details[[#This Row],[discount amount]]</f>
        <v>88.5</v>
      </c>
      <c r="K215" s="6" t="str">
        <f>IF(northwind_order_details[[#This Row],[discount amount]]&gt;0,"Yes","No")</f>
        <v>No</v>
      </c>
      <c r="L215" s="1" t="str">
        <f>IF(northwind_order_details[[#This Row],[Revenue]]&gt;1000,"High",IF(northwind_order_details[[#This Row],[Revenue]]&gt;300,"Medium","Low"))</f>
        <v>Low</v>
      </c>
      <c r="M2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6" spans="1:13" x14ac:dyDescent="0.25">
      <c r="A216">
        <v>10332</v>
      </c>
      <c r="B216">
        <v>18</v>
      </c>
      <c r="C216" s="6" t="s">
        <v>16</v>
      </c>
      <c r="D216">
        <v>40</v>
      </c>
      <c r="E216" s="6">
        <v>0.2</v>
      </c>
      <c r="F216" t="str">
        <f>_xlfn.XLOOKUP(northwind_order_details[[#This Row],[order_id]],northwind_orders[order_id],northwind_orders[ship_country])</f>
        <v>Canada</v>
      </c>
      <c r="G216">
        <f>INDEX(northwind_orders[],MATCH(northwind_order_details[[#This Row],[order_id]], northwind_orders[order_id], 0), MATCH("employee_id", northwind_orders[#Headers], 0))</f>
        <v>3</v>
      </c>
      <c r="H216">
        <f>northwind_order_details[[#This Row],[unit_price]]*northwind_order_details[[#This Row],[quantity]]</f>
        <v>2000</v>
      </c>
      <c r="I216" s="1">
        <f>northwind_order_details[[#This Row],[purchase amount]]*northwind_order_details[[#This Row],[discount]]</f>
        <v>400</v>
      </c>
      <c r="J216" s="1">
        <f>northwind_order_details[[#This Row],[purchase amount]]-northwind_order_details[[#This Row],[discount amount]]</f>
        <v>1600</v>
      </c>
      <c r="K216" s="6" t="str">
        <f>IF(northwind_order_details[[#This Row],[discount amount]]&gt;0,"Yes","No")</f>
        <v>Yes</v>
      </c>
      <c r="L216" s="1" t="str">
        <f>IF(northwind_order_details[[#This Row],[Revenue]]&gt;1000,"High",IF(northwind_order_details[[#This Row],[Revenue]]&gt;300,"Medium","Low"))</f>
        <v>High</v>
      </c>
      <c r="M2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7" spans="1:13" x14ac:dyDescent="0.25">
      <c r="A217">
        <v>10332</v>
      </c>
      <c r="B217">
        <v>42</v>
      </c>
      <c r="C217" s="6">
        <v>11.2</v>
      </c>
      <c r="D217">
        <v>10</v>
      </c>
      <c r="E217" s="6">
        <v>0.2</v>
      </c>
      <c r="F217" t="str">
        <f>_xlfn.XLOOKUP(northwind_order_details[[#This Row],[order_id]],northwind_orders[order_id],northwind_orders[ship_country])</f>
        <v>Canada</v>
      </c>
      <c r="G217">
        <f>INDEX(northwind_orders[],MATCH(northwind_order_details[[#This Row],[order_id]], northwind_orders[order_id], 0), MATCH("employee_id", northwind_orders[#Headers], 0))</f>
        <v>3</v>
      </c>
      <c r="H217">
        <f>northwind_order_details[[#This Row],[unit_price]]*northwind_order_details[[#This Row],[quantity]]</f>
        <v>112</v>
      </c>
      <c r="I217" s="1">
        <f>northwind_order_details[[#This Row],[purchase amount]]*northwind_order_details[[#This Row],[discount]]</f>
        <v>22.400000000000002</v>
      </c>
      <c r="J217" s="1">
        <f>northwind_order_details[[#This Row],[purchase amount]]-northwind_order_details[[#This Row],[discount amount]]</f>
        <v>89.6</v>
      </c>
      <c r="K217" s="6" t="str">
        <f>IF(northwind_order_details[[#This Row],[discount amount]]&gt;0,"Yes","No")</f>
        <v>Yes</v>
      </c>
      <c r="L217" s="1" t="str">
        <f>IF(northwind_order_details[[#This Row],[Revenue]]&gt;1000,"High",IF(northwind_order_details[[#This Row],[Revenue]]&gt;300,"Medium","Low"))</f>
        <v>Low</v>
      </c>
      <c r="M2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8" spans="1:13" x14ac:dyDescent="0.25">
      <c r="A218">
        <v>10332</v>
      </c>
      <c r="B218">
        <v>47</v>
      </c>
      <c r="C218" s="6">
        <v>7.6</v>
      </c>
      <c r="D218">
        <v>16</v>
      </c>
      <c r="E218" s="6">
        <v>0.2</v>
      </c>
      <c r="F218" t="str">
        <f>_xlfn.XLOOKUP(northwind_order_details[[#This Row],[order_id]],northwind_orders[order_id],northwind_orders[ship_country])</f>
        <v>Canada</v>
      </c>
      <c r="G218">
        <f>INDEX(northwind_orders[],MATCH(northwind_order_details[[#This Row],[order_id]], northwind_orders[order_id], 0), MATCH("employee_id", northwind_orders[#Headers], 0))</f>
        <v>3</v>
      </c>
      <c r="H218">
        <f>northwind_order_details[[#This Row],[unit_price]]*northwind_order_details[[#This Row],[quantity]]</f>
        <v>121.6</v>
      </c>
      <c r="I218" s="1">
        <f>northwind_order_details[[#This Row],[purchase amount]]*northwind_order_details[[#This Row],[discount]]</f>
        <v>24.32</v>
      </c>
      <c r="J218" s="1">
        <f>northwind_order_details[[#This Row],[purchase amount]]-northwind_order_details[[#This Row],[discount amount]]</f>
        <v>97.28</v>
      </c>
      <c r="K218" s="6" t="str">
        <f>IF(northwind_order_details[[#This Row],[discount amount]]&gt;0,"Yes","No")</f>
        <v>Yes</v>
      </c>
      <c r="L218" s="1" t="str">
        <f>IF(northwind_order_details[[#This Row],[Revenue]]&gt;1000,"High",IF(northwind_order_details[[#This Row],[Revenue]]&gt;300,"Medium","Low"))</f>
        <v>Low</v>
      </c>
      <c r="M2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19" spans="1:13" x14ac:dyDescent="0.25">
      <c r="A219">
        <v>10333</v>
      </c>
      <c r="B219">
        <v>14</v>
      </c>
      <c r="C219" s="6">
        <v>18.600000000000001</v>
      </c>
      <c r="D219">
        <v>10</v>
      </c>
      <c r="E219" s="6" t="s">
        <v>6</v>
      </c>
      <c r="F219" t="str">
        <f>_xlfn.XLOOKUP(northwind_order_details[[#This Row],[order_id]],northwind_orders[order_id],northwind_orders[ship_country])</f>
        <v>Finland</v>
      </c>
      <c r="G219">
        <f>INDEX(northwind_orders[],MATCH(northwind_order_details[[#This Row],[order_id]], northwind_orders[order_id], 0), MATCH("employee_id", northwind_orders[#Headers], 0))</f>
        <v>5</v>
      </c>
      <c r="H219">
        <f>northwind_order_details[[#This Row],[unit_price]]*northwind_order_details[[#This Row],[quantity]]</f>
        <v>186</v>
      </c>
      <c r="I219" s="1">
        <f>northwind_order_details[[#This Row],[purchase amount]]*northwind_order_details[[#This Row],[discount]]</f>
        <v>0</v>
      </c>
      <c r="J219" s="1">
        <f>northwind_order_details[[#This Row],[purchase amount]]-northwind_order_details[[#This Row],[discount amount]]</f>
        <v>186</v>
      </c>
      <c r="K219" s="6" t="str">
        <f>IF(northwind_order_details[[#This Row],[discount amount]]&gt;0,"Yes","No")</f>
        <v>No</v>
      </c>
      <c r="L219" s="1" t="str">
        <f>IF(northwind_order_details[[#This Row],[Revenue]]&gt;1000,"High",IF(northwind_order_details[[#This Row],[Revenue]]&gt;300,"Medium","Low"))</f>
        <v>Low</v>
      </c>
      <c r="M2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0" spans="1:13" x14ac:dyDescent="0.25">
      <c r="A220">
        <v>10333</v>
      </c>
      <c r="B220">
        <v>21</v>
      </c>
      <c r="C220" s="6" t="s">
        <v>10</v>
      </c>
      <c r="D220">
        <v>10</v>
      </c>
      <c r="E220" s="6">
        <v>0.1</v>
      </c>
      <c r="F220" t="str">
        <f>_xlfn.XLOOKUP(northwind_order_details[[#This Row],[order_id]],northwind_orders[order_id],northwind_orders[ship_country])</f>
        <v>Finland</v>
      </c>
      <c r="G220">
        <f>INDEX(northwind_orders[],MATCH(northwind_order_details[[#This Row],[order_id]], northwind_orders[order_id], 0), MATCH("employee_id", northwind_orders[#Headers], 0))</f>
        <v>5</v>
      </c>
      <c r="H220">
        <f>northwind_order_details[[#This Row],[unit_price]]*northwind_order_details[[#This Row],[quantity]]</f>
        <v>80</v>
      </c>
      <c r="I220" s="1">
        <f>northwind_order_details[[#This Row],[purchase amount]]*northwind_order_details[[#This Row],[discount]]</f>
        <v>8</v>
      </c>
      <c r="J220" s="1">
        <f>northwind_order_details[[#This Row],[purchase amount]]-northwind_order_details[[#This Row],[discount amount]]</f>
        <v>72</v>
      </c>
      <c r="K220" s="6" t="str">
        <f>IF(northwind_order_details[[#This Row],[discount amount]]&gt;0,"Yes","No")</f>
        <v>Yes</v>
      </c>
      <c r="L220" s="1" t="str">
        <f>IF(northwind_order_details[[#This Row],[Revenue]]&gt;1000,"High",IF(northwind_order_details[[#This Row],[Revenue]]&gt;300,"Medium","Low"))</f>
        <v>Low</v>
      </c>
      <c r="M2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1" spans="1:13" x14ac:dyDescent="0.25">
      <c r="A221">
        <v>10333</v>
      </c>
      <c r="B221">
        <v>71</v>
      </c>
      <c r="C221" s="6">
        <v>17.2</v>
      </c>
      <c r="D221">
        <v>40</v>
      </c>
      <c r="E221" s="6">
        <v>0.1</v>
      </c>
      <c r="F221" t="str">
        <f>_xlfn.XLOOKUP(northwind_order_details[[#This Row],[order_id]],northwind_orders[order_id],northwind_orders[ship_country])</f>
        <v>Finland</v>
      </c>
      <c r="G221">
        <f>INDEX(northwind_orders[],MATCH(northwind_order_details[[#This Row],[order_id]], northwind_orders[order_id], 0), MATCH("employee_id", northwind_orders[#Headers], 0))</f>
        <v>5</v>
      </c>
      <c r="H221">
        <f>northwind_order_details[[#This Row],[unit_price]]*northwind_order_details[[#This Row],[quantity]]</f>
        <v>688</v>
      </c>
      <c r="I221" s="1">
        <f>northwind_order_details[[#This Row],[purchase amount]]*northwind_order_details[[#This Row],[discount]]</f>
        <v>68.8</v>
      </c>
      <c r="J221" s="1">
        <f>northwind_order_details[[#This Row],[purchase amount]]-northwind_order_details[[#This Row],[discount amount]]</f>
        <v>619.20000000000005</v>
      </c>
      <c r="K221" s="6" t="str">
        <f>IF(northwind_order_details[[#This Row],[discount amount]]&gt;0,"Yes","No")</f>
        <v>Yes</v>
      </c>
      <c r="L221" s="1" t="str">
        <f>IF(northwind_order_details[[#This Row],[Revenue]]&gt;1000,"High",IF(northwind_order_details[[#This Row],[Revenue]]&gt;300,"Medium","Low"))</f>
        <v>Medium</v>
      </c>
      <c r="M2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2" spans="1:13" x14ac:dyDescent="0.25">
      <c r="A222">
        <v>10334</v>
      </c>
      <c r="B222">
        <v>52</v>
      </c>
      <c r="C222" s="6">
        <v>5.6</v>
      </c>
      <c r="D222">
        <v>8</v>
      </c>
      <c r="E222" s="6" t="s">
        <v>6</v>
      </c>
      <c r="F222" t="str">
        <f>_xlfn.XLOOKUP(northwind_order_details[[#This Row],[order_id]],northwind_orders[order_id],northwind_orders[ship_country])</f>
        <v>France</v>
      </c>
      <c r="G222">
        <f>INDEX(northwind_orders[],MATCH(northwind_order_details[[#This Row],[order_id]], northwind_orders[order_id], 0), MATCH("employee_id", northwind_orders[#Headers], 0))</f>
        <v>8</v>
      </c>
      <c r="H222">
        <f>northwind_order_details[[#This Row],[unit_price]]*northwind_order_details[[#This Row],[quantity]]</f>
        <v>44.8</v>
      </c>
      <c r="I222" s="1">
        <f>northwind_order_details[[#This Row],[purchase amount]]*northwind_order_details[[#This Row],[discount]]</f>
        <v>0</v>
      </c>
      <c r="J222" s="1">
        <f>northwind_order_details[[#This Row],[purchase amount]]-northwind_order_details[[#This Row],[discount amount]]</f>
        <v>44.8</v>
      </c>
      <c r="K222" s="6" t="str">
        <f>IF(northwind_order_details[[#This Row],[discount amount]]&gt;0,"Yes","No")</f>
        <v>No</v>
      </c>
      <c r="L222" s="1" t="str">
        <f>IF(northwind_order_details[[#This Row],[Revenue]]&gt;1000,"High",IF(northwind_order_details[[#This Row],[Revenue]]&gt;300,"Medium","Low"))</f>
        <v>Low</v>
      </c>
      <c r="M2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3" spans="1:13" x14ac:dyDescent="0.25">
      <c r="A223">
        <v>10334</v>
      </c>
      <c r="B223">
        <v>68</v>
      </c>
      <c r="C223" s="6" t="s">
        <v>8</v>
      </c>
      <c r="D223">
        <v>10</v>
      </c>
      <c r="E223" s="6" t="s">
        <v>6</v>
      </c>
      <c r="F223" t="str">
        <f>_xlfn.XLOOKUP(northwind_order_details[[#This Row],[order_id]],northwind_orders[order_id],northwind_orders[ship_country])</f>
        <v>France</v>
      </c>
      <c r="G223">
        <f>INDEX(northwind_orders[],MATCH(northwind_order_details[[#This Row],[order_id]], northwind_orders[order_id], 0), MATCH("employee_id", northwind_orders[#Headers], 0))</f>
        <v>8</v>
      </c>
      <c r="H223">
        <f>northwind_order_details[[#This Row],[unit_price]]*northwind_order_details[[#This Row],[quantity]]</f>
        <v>100</v>
      </c>
      <c r="I223" s="1">
        <f>northwind_order_details[[#This Row],[purchase amount]]*northwind_order_details[[#This Row],[discount]]</f>
        <v>0</v>
      </c>
      <c r="J223" s="1">
        <f>northwind_order_details[[#This Row],[purchase amount]]-northwind_order_details[[#This Row],[discount amount]]</f>
        <v>100</v>
      </c>
      <c r="K223" s="6" t="str">
        <f>IF(northwind_order_details[[#This Row],[discount amount]]&gt;0,"Yes","No")</f>
        <v>No</v>
      </c>
      <c r="L223" s="1" t="str">
        <f>IF(northwind_order_details[[#This Row],[Revenue]]&gt;1000,"High",IF(northwind_order_details[[#This Row],[Revenue]]&gt;300,"Medium","Low"))</f>
        <v>Low</v>
      </c>
      <c r="M2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4" spans="1:13" x14ac:dyDescent="0.25">
      <c r="A224">
        <v>10336</v>
      </c>
      <c r="B224">
        <v>4</v>
      </c>
      <c r="C224" s="6">
        <v>17.600000000000001</v>
      </c>
      <c r="D224">
        <v>18</v>
      </c>
      <c r="E224" s="6">
        <v>0.1</v>
      </c>
      <c r="F224" t="str">
        <f>_xlfn.XLOOKUP(northwind_order_details[[#This Row],[order_id]],northwind_orders[order_id],northwind_orders[ship_country])</f>
        <v>Portugal</v>
      </c>
      <c r="G224">
        <f>INDEX(northwind_orders[],MATCH(northwind_order_details[[#This Row],[order_id]], northwind_orders[order_id], 0), MATCH("employee_id", northwind_orders[#Headers], 0))</f>
        <v>7</v>
      </c>
      <c r="H224">
        <f>northwind_order_details[[#This Row],[unit_price]]*northwind_order_details[[#This Row],[quantity]]</f>
        <v>316.8</v>
      </c>
      <c r="I224" s="1">
        <f>northwind_order_details[[#This Row],[purchase amount]]*northwind_order_details[[#This Row],[discount]]</f>
        <v>31.680000000000003</v>
      </c>
      <c r="J224" s="1">
        <f>northwind_order_details[[#This Row],[purchase amount]]-northwind_order_details[[#This Row],[discount amount]]</f>
        <v>285.12</v>
      </c>
      <c r="K224" s="6" t="str">
        <f>IF(northwind_order_details[[#This Row],[discount amount]]&gt;0,"Yes","No")</f>
        <v>Yes</v>
      </c>
      <c r="L224" s="1" t="str">
        <f>IF(northwind_order_details[[#This Row],[Revenue]]&gt;1000,"High",IF(northwind_order_details[[#This Row],[Revenue]]&gt;300,"Medium","Low"))</f>
        <v>Low</v>
      </c>
      <c r="M2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5" spans="1:13" x14ac:dyDescent="0.25">
      <c r="A225">
        <v>10337</v>
      </c>
      <c r="B225">
        <v>23</v>
      </c>
      <c r="C225" s="6">
        <v>7.2</v>
      </c>
      <c r="D225">
        <v>40</v>
      </c>
      <c r="E225" s="6" t="s">
        <v>6</v>
      </c>
      <c r="F225" t="str">
        <f>_xlfn.XLOOKUP(northwind_order_details[[#This Row],[order_id]],northwind_orders[order_id],northwind_orders[ship_country])</f>
        <v>Germany</v>
      </c>
      <c r="G225">
        <f>INDEX(northwind_orders[],MATCH(northwind_order_details[[#This Row],[order_id]], northwind_orders[order_id], 0), MATCH("employee_id", northwind_orders[#Headers], 0))</f>
        <v>4</v>
      </c>
      <c r="H225">
        <f>northwind_order_details[[#This Row],[unit_price]]*northwind_order_details[[#This Row],[quantity]]</f>
        <v>288</v>
      </c>
      <c r="I225" s="1">
        <f>northwind_order_details[[#This Row],[purchase amount]]*northwind_order_details[[#This Row],[discount]]</f>
        <v>0</v>
      </c>
      <c r="J225" s="1">
        <f>northwind_order_details[[#This Row],[purchase amount]]-northwind_order_details[[#This Row],[discount amount]]</f>
        <v>288</v>
      </c>
      <c r="K225" s="6" t="str">
        <f>IF(northwind_order_details[[#This Row],[discount amount]]&gt;0,"Yes","No")</f>
        <v>No</v>
      </c>
      <c r="L225" s="1" t="str">
        <f>IF(northwind_order_details[[#This Row],[Revenue]]&gt;1000,"High",IF(northwind_order_details[[#This Row],[Revenue]]&gt;300,"Medium","Low"))</f>
        <v>Low</v>
      </c>
      <c r="M2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6" spans="1:13" x14ac:dyDescent="0.25">
      <c r="A226">
        <v>10337</v>
      </c>
      <c r="B226">
        <v>26</v>
      </c>
      <c r="C226" s="6">
        <v>24.9</v>
      </c>
      <c r="D226">
        <v>24</v>
      </c>
      <c r="E226" s="6" t="s">
        <v>6</v>
      </c>
      <c r="F226" t="str">
        <f>_xlfn.XLOOKUP(northwind_order_details[[#This Row],[order_id]],northwind_orders[order_id],northwind_orders[ship_country])</f>
        <v>Germany</v>
      </c>
      <c r="G226">
        <f>INDEX(northwind_orders[],MATCH(northwind_order_details[[#This Row],[order_id]], northwind_orders[order_id], 0), MATCH("employee_id", northwind_orders[#Headers], 0))</f>
        <v>4</v>
      </c>
      <c r="H226">
        <f>northwind_order_details[[#This Row],[unit_price]]*northwind_order_details[[#This Row],[quantity]]</f>
        <v>597.59999999999991</v>
      </c>
      <c r="I226" s="1">
        <f>northwind_order_details[[#This Row],[purchase amount]]*northwind_order_details[[#This Row],[discount]]</f>
        <v>0</v>
      </c>
      <c r="J226" s="1">
        <f>northwind_order_details[[#This Row],[purchase amount]]-northwind_order_details[[#This Row],[discount amount]]</f>
        <v>597.59999999999991</v>
      </c>
      <c r="K226" s="6" t="str">
        <f>IF(northwind_order_details[[#This Row],[discount amount]]&gt;0,"Yes","No")</f>
        <v>No</v>
      </c>
      <c r="L226" s="1" t="str">
        <f>IF(northwind_order_details[[#This Row],[Revenue]]&gt;1000,"High",IF(northwind_order_details[[#This Row],[Revenue]]&gt;300,"Medium","Low"))</f>
        <v>Medium</v>
      </c>
      <c r="M2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7" spans="1:13" x14ac:dyDescent="0.25">
      <c r="A227">
        <v>10337</v>
      </c>
      <c r="B227">
        <v>36</v>
      </c>
      <c r="C227" s="6">
        <v>15.2</v>
      </c>
      <c r="D227">
        <v>20</v>
      </c>
      <c r="E227" s="6" t="s">
        <v>6</v>
      </c>
      <c r="F227" t="str">
        <f>_xlfn.XLOOKUP(northwind_order_details[[#This Row],[order_id]],northwind_orders[order_id],northwind_orders[ship_country])</f>
        <v>Germany</v>
      </c>
      <c r="G227">
        <f>INDEX(northwind_orders[],MATCH(northwind_order_details[[#This Row],[order_id]], northwind_orders[order_id], 0), MATCH("employee_id", northwind_orders[#Headers], 0))</f>
        <v>4</v>
      </c>
      <c r="H227">
        <f>northwind_order_details[[#This Row],[unit_price]]*northwind_order_details[[#This Row],[quantity]]</f>
        <v>304</v>
      </c>
      <c r="I227" s="1">
        <f>northwind_order_details[[#This Row],[purchase amount]]*northwind_order_details[[#This Row],[discount]]</f>
        <v>0</v>
      </c>
      <c r="J227" s="1">
        <f>northwind_order_details[[#This Row],[purchase amount]]-northwind_order_details[[#This Row],[discount amount]]</f>
        <v>304</v>
      </c>
      <c r="K227" s="6" t="str">
        <f>IF(northwind_order_details[[#This Row],[discount amount]]&gt;0,"Yes","No")</f>
        <v>No</v>
      </c>
      <c r="L227" s="1" t="str">
        <f>IF(northwind_order_details[[#This Row],[Revenue]]&gt;1000,"High",IF(northwind_order_details[[#This Row],[Revenue]]&gt;300,"Medium","Low"))</f>
        <v>Medium</v>
      </c>
      <c r="M2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8" spans="1:13" x14ac:dyDescent="0.25">
      <c r="A228">
        <v>10337</v>
      </c>
      <c r="B228">
        <v>37</v>
      </c>
      <c r="C228" s="6">
        <v>20.8</v>
      </c>
      <c r="D228">
        <v>28</v>
      </c>
      <c r="E228" s="6" t="s">
        <v>6</v>
      </c>
      <c r="F228" t="str">
        <f>_xlfn.XLOOKUP(northwind_order_details[[#This Row],[order_id]],northwind_orders[order_id],northwind_orders[ship_country])</f>
        <v>Germany</v>
      </c>
      <c r="G228">
        <f>INDEX(northwind_orders[],MATCH(northwind_order_details[[#This Row],[order_id]], northwind_orders[order_id], 0), MATCH("employee_id", northwind_orders[#Headers], 0))</f>
        <v>4</v>
      </c>
      <c r="H228">
        <f>northwind_order_details[[#This Row],[unit_price]]*northwind_order_details[[#This Row],[quantity]]</f>
        <v>582.4</v>
      </c>
      <c r="I228" s="1">
        <f>northwind_order_details[[#This Row],[purchase amount]]*northwind_order_details[[#This Row],[discount]]</f>
        <v>0</v>
      </c>
      <c r="J228" s="1">
        <f>northwind_order_details[[#This Row],[purchase amount]]-northwind_order_details[[#This Row],[discount amount]]</f>
        <v>582.4</v>
      </c>
      <c r="K228" s="6" t="str">
        <f>IF(northwind_order_details[[#This Row],[discount amount]]&gt;0,"Yes","No")</f>
        <v>No</v>
      </c>
      <c r="L228" s="1" t="str">
        <f>IF(northwind_order_details[[#This Row],[Revenue]]&gt;1000,"High",IF(northwind_order_details[[#This Row],[Revenue]]&gt;300,"Medium","Low"))</f>
        <v>Medium</v>
      </c>
      <c r="M2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29" spans="1:13" x14ac:dyDescent="0.25">
      <c r="A229">
        <v>10337</v>
      </c>
      <c r="B229">
        <v>72</v>
      </c>
      <c r="C229" s="6">
        <v>27.8</v>
      </c>
      <c r="D229">
        <v>25</v>
      </c>
      <c r="E229" s="6" t="s">
        <v>6</v>
      </c>
      <c r="F229" t="str">
        <f>_xlfn.XLOOKUP(northwind_order_details[[#This Row],[order_id]],northwind_orders[order_id],northwind_orders[ship_country])</f>
        <v>Germany</v>
      </c>
      <c r="G229">
        <f>INDEX(northwind_orders[],MATCH(northwind_order_details[[#This Row],[order_id]], northwind_orders[order_id], 0), MATCH("employee_id", northwind_orders[#Headers], 0))</f>
        <v>4</v>
      </c>
      <c r="H229">
        <f>northwind_order_details[[#This Row],[unit_price]]*northwind_order_details[[#This Row],[quantity]]</f>
        <v>695</v>
      </c>
      <c r="I229" s="1">
        <f>northwind_order_details[[#This Row],[purchase amount]]*northwind_order_details[[#This Row],[discount]]</f>
        <v>0</v>
      </c>
      <c r="J229" s="1">
        <f>northwind_order_details[[#This Row],[purchase amount]]-northwind_order_details[[#This Row],[discount amount]]</f>
        <v>695</v>
      </c>
      <c r="K229" s="6" t="str">
        <f>IF(northwind_order_details[[#This Row],[discount amount]]&gt;0,"Yes","No")</f>
        <v>No</v>
      </c>
      <c r="L229" s="1" t="str">
        <f>IF(northwind_order_details[[#This Row],[Revenue]]&gt;1000,"High",IF(northwind_order_details[[#This Row],[Revenue]]&gt;300,"Medium","Low"))</f>
        <v>Medium</v>
      </c>
      <c r="M2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0" spans="1:13" x14ac:dyDescent="0.25">
      <c r="A230">
        <v>10338</v>
      </c>
      <c r="B230">
        <v>17</v>
      </c>
      <c r="C230" s="6">
        <v>31.2</v>
      </c>
      <c r="D230">
        <v>20</v>
      </c>
      <c r="E230" s="6" t="s">
        <v>6</v>
      </c>
      <c r="F230" t="str">
        <f>_xlfn.XLOOKUP(northwind_order_details[[#This Row],[order_id]],northwind_orders[order_id],northwind_orders[ship_country])</f>
        <v>USA</v>
      </c>
      <c r="G230">
        <f>INDEX(northwind_orders[],MATCH(northwind_order_details[[#This Row],[order_id]], northwind_orders[order_id], 0), MATCH("employee_id", northwind_orders[#Headers], 0))</f>
        <v>4</v>
      </c>
      <c r="H230">
        <f>northwind_order_details[[#This Row],[unit_price]]*northwind_order_details[[#This Row],[quantity]]</f>
        <v>624</v>
      </c>
      <c r="I230" s="1">
        <f>northwind_order_details[[#This Row],[purchase amount]]*northwind_order_details[[#This Row],[discount]]</f>
        <v>0</v>
      </c>
      <c r="J230" s="1">
        <f>northwind_order_details[[#This Row],[purchase amount]]-northwind_order_details[[#This Row],[discount amount]]</f>
        <v>624</v>
      </c>
      <c r="K230" s="6" t="str">
        <f>IF(northwind_order_details[[#This Row],[discount amount]]&gt;0,"Yes","No")</f>
        <v>No</v>
      </c>
      <c r="L230" s="1" t="str">
        <f>IF(northwind_order_details[[#This Row],[Revenue]]&gt;1000,"High",IF(northwind_order_details[[#This Row],[Revenue]]&gt;300,"Medium","Low"))</f>
        <v>Medium</v>
      </c>
      <c r="M2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1" spans="1:13" x14ac:dyDescent="0.25">
      <c r="A231">
        <v>10338</v>
      </c>
      <c r="B231">
        <v>30</v>
      </c>
      <c r="C231" s="6">
        <v>20.7</v>
      </c>
      <c r="D231">
        <v>15</v>
      </c>
      <c r="E231" s="6" t="s">
        <v>6</v>
      </c>
      <c r="F231" t="str">
        <f>_xlfn.XLOOKUP(northwind_order_details[[#This Row],[order_id]],northwind_orders[order_id],northwind_orders[ship_country])</f>
        <v>USA</v>
      </c>
      <c r="G231">
        <f>INDEX(northwind_orders[],MATCH(northwind_order_details[[#This Row],[order_id]], northwind_orders[order_id], 0), MATCH("employee_id", northwind_orders[#Headers], 0))</f>
        <v>4</v>
      </c>
      <c r="H231">
        <f>northwind_order_details[[#This Row],[unit_price]]*northwind_order_details[[#This Row],[quantity]]</f>
        <v>310.5</v>
      </c>
      <c r="I231" s="1">
        <f>northwind_order_details[[#This Row],[purchase amount]]*northwind_order_details[[#This Row],[discount]]</f>
        <v>0</v>
      </c>
      <c r="J231" s="1">
        <f>northwind_order_details[[#This Row],[purchase amount]]-northwind_order_details[[#This Row],[discount amount]]</f>
        <v>310.5</v>
      </c>
      <c r="K231" s="6" t="str">
        <f>IF(northwind_order_details[[#This Row],[discount amount]]&gt;0,"Yes","No")</f>
        <v>No</v>
      </c>
      <c r="L231" s="1" t="str">
        <f>IF(northwind_order_details[[#This Row],[Revenue]]&gt;1000,"High",IF(northwind_order_details[[#This Row],[Revenue]]&gt;300,"Medium","Low"))</f>
        <v>Medium</v>
      </c>
      <c r="M2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2" spans="1:13" x14ac:dyDescent="0.25">
      <c r="A232">
        <v>10339</v>
      </c>
      <c r="B232">
        <v>4</v>
      </c>
      <c r="C232" s="6">
        <v>17.600000000000001</v>
      </c>
      <c r="D232">
        <v>10</v>
      </c>
      <c r="E232" s="6" t="s">
        <v>6</v>
      </c>
      <c r="F232" t="str">
        <f>_xlfn.XLOOKUP(northwind_order_details[[#This Row],[order_id]],northwind_orders[order_id],northwind_orders[ship_country])</f>
        <v>Canada</v>
      </c>
      <c r="G232">
        <f>INDEX(northwind_orders[],MATCH(northwind_order_details[[#This Row],[order_id]], northwind_orders[order_id], 0), MATCH("employee_id", northwind_orders[#Headers], 0))</f>
        <v>2</v>
      </c>
      <c r="H232">
        <f>northwind_order_details[[#This Row],[unit_price]]*northwind_order_details[[#This Row],[quantity]]</f>
        <v>176</v>
      </c>
      <c r="I232" s="1">
        <f>northwind_order_details[[#This Row],[purchase amount]]*northwind_order_details[[#This Row],[discount]]</f>
        <v>0</v>
      </c>
      <c r="J232" s="1">
        <f>northwind_order_details[[#This Row],[purchase amount]]-northwind_order_details[[#This Row],[discount amount]]</f>
        <v>176</v>
      </c>
      <c r="K232" s="6" t="str">
        <f>IF(northwind_order_details[[#This Row],[discount amount]]&gt;0,"Yes","No")</f>
        <v>No</v>
      </c>
      <c r="L232" s="1" t="str">
        <f>IF(northwind_order_details[[#This Row],[Revenue]]&gt;1000,"High",IF(northwind_order_details[[#This Row],[Revenue]]&gt;300,"Medium","Low"))</f>
        <v>Low</v>
      </c>
      <c r="M2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3" spans="1:13" x14ac:dyDescent="0.25">
      <c r="A233">
        <v>10339</v>
      </c>
      <c r="B233">
        <v>17</v>
      </c>
      <c r="C233" s="6">
        <v>31.2</v>
      </c>
      <c r="D233">
        <v>70</v>
      </c>
      <c r="E233" s="6">
        <v>0.05</v>
      </c>
      <c r="F233" t="str">
        <f>_xlfn.XLOOKUP(northwind_order_details[[#This Row],[order_id]],northwind_orders[order_id],northwind_orders[ship_country])</f>
        <v>Canada</v>
      </c>
      <c r="G233">
        <f>INDEX(northwind_orders[],MATCH(northwind_order_details[[#This Row],[order_id]], northwind_orders[order_id], 0), MATCH("employee_id", northwind_orders[#Headers], 0))</f>
        <v>2</v>
      </c>
      <c r="H233">
        <f>northwind_order_details[[#This Row],[unit_price]]*northwind_order_details[[#This Row],[quantity]]</f>
        <v>2184</v>
      </c>
      <c r="I233" s="1">
        <f>northwind_order_details[[#This Row],[purchase amount]]*northwind_order_details[[#This Row],[discount]]</f>
        <v>109.2</v>
      </c>
      <c r="J233" s="1">
        <f>northwind_order_details[[#This Row],[purchase amount]]-northwind_order_details[[#This Row],[discount amount]]</f>
        <v>2074.8000000000002</v>
      </c>
      <c r="K233" s="6" t="str">
        <f>IF(northwind_order_details[[#This Row],[discount amount]]&gt;0,"Yes","No")</f>
        <v>Yes</v>
      </c>
      <c r="L233" s="1" t="str">
        <f>IF(northwind_order_details[[#This Row],[Revenue]]&gt;1000,"High",IF(northwind_order_details[[#This Row],[Revenue]]&gt;300,"Medium","Low"))</f>
        <v>High</v>
      </c>
      <c r="M2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4" spans="1:13" x14ac:dyDescent="0.25">
      <c r="A234">
        <v>10339</v>
      </c>
      <c r="B234">
        <v>62</v>
      </c>
      <c r="C234" s="6">
        <v>39.4</v>
      </c>
      <c r="D234">
        <v>28</v>
      </c>
      <c r="E234" s="6" t="s">
        <v>6</v>
      </c>
      <c r="F234" t="str">
        <f>_xlfn.XLOOKUP(northwind_order_details[[#This Row],[order_id]],northwind_orders[order_id],northwind_orders[ship_country])</f>
        <v>Canada</v>
      </c>
      <c r="G234">
        <f>INDEX(northwind_orders[],MATCH(northwind_order_details[[#This Row],[order_id]], northwind_orders[order_id], 0), MATCH("employee_id", northwind_orders[#Headers], 0))</f>
        <v>2</v>
      </c>
      <c r="H234">
        <f>northwind_order_details[[#This Row],[unit_price]]*northwind_order_details[[#This Row],[quantity]]</f>
        <v>1103.2</v>
      </c>
      <c r="I234" s="1">
        <f>northwind_order_details[[#This Row],[purchase amount]]*northwind_order_details[[#This Row],[discount]]</f>
        <v>0</v>
      </c>
      <c r="J234" s="1">
        <f>northwind_order_details[[#This Row],[purchase amount]]-northwind_order_details[[#This Row],[discount amount]]</f>
        <v>1103.2</v>
      </c>
      <c r="K234" s="6" t="str">
        <f>IF(northwind_order_details[[#This Row],[discount amount]]&gt;0,"Yes","No")</f>
        <v>No</v>
      </c>
      <c r="L234" s="1" t="str">
        <f>IF(northwind_order_details[[#This Row],[Revenue]]&gt;1000,"High",IF(northwind_order_details[[#This Row],[Revenue]]&gt;300,"Medium","Low"))</f>
        <v>High</v>
      </c>
      <c r="M2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5" spans="1:13" x14ac:dyDescent="0.25">
      <c r="A235">
        <v>10340</v>
      </c>
      <c r="B235">
        <v>18</v>
      </c>
      <c r="C235" s="6" t="s">
        <v>16</v>
      </c>
      <c r="D235">
        <v>20</v>
      </c>
      <c r="E235" s="6">
        <v>0.05</v>
      </c>
      <c r="F235" t="str">
        <f>_xlfn.XLOOKUP(northwind_order_details[[#This Row],[order_id]],northwind_orders[order_id],northwind_orders[ship_country])</f>
        <v>France</v>
      </c>
      <c r="G235">
        <f>INDEX(northwind_orders[],MATCH(northwind_order_details[[#This Row],[order_id]], northwind_orders[order_id], 0), MATCH("employee_id", northwind_orders[#Headers], 0))</f>
        <v>1</v>
      </c>
      <c r="H235">
        <f>northwind_order_details[[#This Row],[unit_price]]*northwind_order_details[[#This Row],[quantity]]</f>
        <v>1000</v>
      </c>
      <c r="I235" s="1">
        <f>northwind_order_details[[#This Row],[purchase amount]]*northwind_order_details[[#This Row],[discount]]</f>
        <v>50</v>
      </c>
      <c r="J235" s="1">
        <f>northwind_order_details[[#This Row],[purchase amount]]-northwind_order_details[[#This Row],[discount amount]]</f>
        <v>950</v>
      </c>
      <c r="K235" s="6" t="str">
        <f>IF(northwind_order_details[[#This Row],[discount amount]]&gt;0,"Yes","No")</f>
        <v>Yes</v>
      </c>
      <c r="L235" s="1" t="str">
        <f>IF(northwind_order_details[[#This Row],[Revenue]]&gt;1000,"High",IF(northwind_order_details[[#This Row],[Revenue]]&gt;300,"Medium","Low"))</f>
        <v>Medium</v>
      </c>
      <c r="M2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6" spans="1:13" x14ac:dyDescent="0.25">
      <c r="A236">
        <v>10340</v>
      </c>
      <c r="B236">
        <v>41</v>
      </c>
      <c r="C236" s="6">
        <v>7.7</v>
      </c>
      <c r="D236">
        <v>12</v>
      </c>
      <c r="E236" s="6">
        <v>0.05</v>
      </c>
      <c r="F236" t="str">
        <f>_xlfn.XLOOKUP(northwind_order_details[[#This Row],[order_id]],northwind_orders[order_id],northwind_orders[ship_country])</f>
        <v>France</v>
      </c>
      <c r="G236">
        <f>INDEX(northwind_orders[],MATCH(northwind_order_details[[#This Row],[order_id]], northwind_orders[order_id], 0), MATCH("employee_id", northwind_orders[#Headers], 0))</f>
        <v>1</v>
      </c>
      <c r="H236">
        <f>northwind_order_details[[#This Row],[unit_price]]*northwind_order_details[[#This Row],[quantity]]</f>
        <v>92.4</v>
      </c>
      <c r="I236" s="1">
        <f>northwind_order_details[[#This Row],[purchase amount]]*northwind_order_details[[#This Row],[discount]]</f>
        <v>4.62</v>
      </c>
      <c r="J236" s="1">
        <f>northwind_order_details[[#This Row],[purchase amount]]-northwind_order_details[[#This Row],[discount amount]]</f>
        <v>87.78</v>
      </c>
      <c r="K236" s="6" t="str">
        <f>IF(northwind_order_details[[#This Row],[discount amount]]&gt;0,"Yes","No")</f>
        <v>Yes</v>
      </c>
      <c r="L236" s="1" t="str">
        <f>IF(northwind_order_details[[#This Row],[Revenue]]&gt;1000,"High",IF(northwind_order_details[[#This Row],[Revenue]]&gt;300,"Medium","Low"))</f>
        <v>Low</v>
      </c>
      <c r="M2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7" spans="1:13" x14ac:dyDescent="0.25">
      <c r="A237">
        <v>10340</v>
      </c>
      <c r="B237">
        <v>43</v>
      </c>
      <c r="C237" s="6">
        <v>36.799999999999997</v>
      </c>
      <c r="D237">
        <v>40</v>
      </c>
      <c r="E237" s="6">
        <v>0.05</v>
      </c>
      <c r="F237" t="str">
        <f>_xlfn.XLOOKUP(northwind_order_details[[#This Row],[order_id]],northwind_orders[order_id],northwind_orders[ship_country])</f>
        <v>France</v>
      </c>
      <c r="G237">
        <f>INDEX(northwind_orders[],MATCH(northwind_order_details[[#This Row],[order_id]], northwind_orders[order_id], 0), MATCH("employee_id", northwind_orders[#Headers], 0))</f>
        <v>1</v>
      </c>
      <c r="H237">
        <f>northwind_order_details[[#This Row],[unit_price]]*northwind_order_details[[#This Row],[quantity]]</f>
        <v>1472</v>
      </c>
      <c r="I237" s="1">
        <f>northwind_order_details[[#This Row],[purchase amount]]*northwind_order_details[[#This Row],[discount]]</f>
        <v>73.600000000000009</v>
      </c>
      <c r="J237" s="1">
        <f>northwind_order_details[[#This Row],[purchase amount]]-northwind_order_details[[#This Row],[discount amount]]</f>
        <v>1398.4</v>
      </c>
      <c r="K237" s="6" t="str">
        <f>IF(northwind_order_details[[#This Row],[discount amount]]&gt;0,"Yes","No")</f>
        <v>Yes</v>
      </c>
      <c r="L237" s="1" t="str">
        <f>IF(northwind_order_details[[#This Row],[Revenue]]&gt;1000,"High",IF(northwind_order_details[[#This Row],[Revenue]]&gt;300,"Medium","Low"))</f>
        <v>High</v>
      </c>
      <c r="M2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8" spans="1:13" x14ac:dyDescent="0.25">
      <c r="A238">
        <v>10341</v>
      </c>
      <c r="B238">
        <v>33</v>
      </c>
      <c r="C238" s="6" t="s">
        <v>7</v>
      </c>
      <c r="D238">
        <v>8</v>
      </c>
      <c r="E238" s="6" t="s">
        <v>6</v>
      </c>
      <c r="F238" t="str">
        <f>_xlfn.XLOOKUP(northwind_order_details[[#This Row],[order_id]],northwind_orders[order_id],northwind_orders[ship_country])</f>
        <v>Denmark</v>
      </c>
      <c r="G238">
        <f>INDEX(northwind_orders[],MATCH(northwind_order_details[[#This Row],[order_id]], northwind_orders[order_id], 0), MATCH("employee_id", northwind_orders[#Headers], 0))</f>
        <v>7</v>
      </c>
      <c r="H238">
        <f>northwind_order_details[[#This Row],[unit_price]]*northwind_order_details[[#This Row],[quantity]]</f>
        <v>16</v>
      </c>
      <c r="I238" s="1">
        <f>northwind_order_details[[#This Row],[purchase amount]]*northwind_order_details[[#This Row],[discount]]</f>
        <v>0</v>
      </c>
      <c r="J238" s="1">
        <f>northwind_order_details[[#This Row],[purchase amount]]-northwind_order_details[[#This Row],[discount amount]]</f>
        <v>16</v>
      </c>
      <c r="K238" s="6" t="str">
        <f>IF(northwind_order_details[[#This Row],[discount amount]]&gt;0,"Yes","No")</f>
        <v>No</v>
      </c>
      <c r="L238" s="1" t="str">
        <f>IF(northwind_order_details[[#This Row],[Revenue]]&gt;1000,"High",IF(northwind_order_details[[#This Row],[Revenue]]&gt;300,"Medium","Low"))</f>
        <v>Low</v>
      </c>
      <c r="M2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39" spans="1:13" x14ac:dyDescent="0.25">
      <c r="A239">
        <v>10341</v>
      </c>
      <c r="B239">
        <v>59</v>
      </c>
      <c r="C239" s="6" t="s">
        <v>11</v>
      </c>
      <c r="D239">
        <v>9</v>
      </c>
      <c r="E239" s="6">
        <v>0.15</v>
      </c>
      <c r="F239" t="str">
        <f>_xlfn.XLOOKUP(northwind_order_details[[#This Row],[order_id]],northwind_orders[order_id],northwind_orders[ship_country])</f>
        <v>Denmark</v>
      </c>
      <c r="G239">
        <f>INDEX(northwind_orders[],MATCH(northwind_order_details[[#This Row],[order_id]], northwind_orders[order_id], 0), MATCH("employee_id", northwind_orders[#Headers], 0))</f>
        <v>7</v>
      </c>
      <c r="H239">
        <f>northwind_order_details[[#This Row],[unit_price]]*northwind_order_details[[#This Row],[quantity]]</f>
        <v>396</v>
      </c>
      <c r="I239" s="1">
        <f>northwind_order_details[[#This Row],[purchase amount]]*northwind_order_details[[#This Row],[discount]]</f>
        <v>59.4</v>
      </c>
      <c r="J239" s="1">
        <f>northwind_order_details[[#This Row],[purchase amount]]-northwind_order_details[[#This Row],[discount amount]]</f>
        <v>336.6</v>
      </c>
      <c r="K239" s="6" t="str">
        <f>IF(northwind_order_details[[#This Row],[discount amount]]&gt;0,"Yes","No")</f>
        <v>Yes</v>
      </c>
      <c r="L239" s="1" t="str">
        <f>IF(northwind_order_details[[#This Row],[Revenue]]&gt;1000,"High",IF(northwind_order_details[[#This Row],[Revenue]]&gt;300,"Medium","Low"))</f>
        <v>Medium</v>
      </c>
      <c r="M2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0" spans="1:13" x14ac:dyDescent="0.25">
      <c r="A240">
        <v>10342</v>
      </c>
      <c r="B240">
        <v>2</v>
      </c>
      <c r="C240" s="6">
        <v>15.2</v>
      </c>
      <c r="D240">
        <v>24</v>
      </c>
      <c r="E240" s="6">
        <v>0.2</v>
      </c>
      <c r="F240" t="str">
        <f>_xlfn.XLOOKUP(northwind_order_details[[#This Row],[order_id]],northwind_orders[order_id],northwind_orders[ship_country])</f>
        <v>Germany</v>
      </c>
      <c r="G240">
        <f>INDEX(northwind_orders[],MATCH(northwind_order_details[[#This Row],[order_id]], northwind_orders[order_id], 0), MATCH("employee_id", northwind_orders[#Headers], 0))</f>
        <v>4</v>
      </c>
      <c r="H240">
        <f>northwind_order_details[[#This Row],[unit_price]]*northwind_order_details[[#This Row],[quantity]]</f>
        <v>364.79999999999995</v>
      </c>
      <c r="I240" s="1">
        <f>northwind_order_details[[#This Row],[purchase amount]]*northwind_order_details[[#This Row],[discount]]</f>
        <v>72.959999999999994</v>
      </c>
      <c r="J240" s="1">
        <f>northwind_order_details[[#This Row],[purchase amount]]-northwind_order_details[[#This Row],[discount amount]]</f>
        <v>291.83999999999997</v>
      </c>
      <c r="K240" s="6" t="str">
        <f>IF(northwind_order_details[[#This Row],[discount amount]]&gt;0,"Yes","No")</f>
        <v>Yes</v>
      </c>
      <c r="L240" s="1" t="str">
        <f>IF(northwind_order_details[[#This Row],[Revenue]]&gt;1000,"High",IF(northwind_order_details[[#This Row],[Revenue]]&gt;300,"Medium","Low"))</f>
        <v>Low</v>
      </c>
      <c r="M2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1" spans="1:13" x14ac:dyDescent="0.25">
      <c r="A241">
        <v>10342</v>
      </c>
      <c r="B241">
        <v>31</v>
      </c>
      <c r="C241" s="6" t="s">
        <v>8</v>
      </c>
      <c r="D241">
        <v>56</v>
      </c>
      <c r="E241" s="6">
        <v>0.2</v>
      </c>
      <c r="F241" t="str">
        <f>_xlfn.XLOOKUP(northwind_order_details[[#This Row],[order_id]],northwind_orders[order_id],northwind_orders[ship_country])</f>
        <v>Germany</v>
      </c>
      <c r="G241">
        <f>INDEX(northwind_orders[],MATCH(northwind_order_details[[#This Row],[order_id]], northwind_orders[order_id], 0), MATCH("employee_id", northwind_orders[#Headers], 0))</f>
        <v>4</v>
      </c>
      <c r="H241">
        <f>northwind_order_details[[#This Row],[unit_price]]*northwind_order_details[[#This Row],[quantity]]</f>
        <v>560</v>
      </c>
      <c r="I241" s="1">
        <f>northwind_order_details[[#This Row],[purchase amount]]*northwind_order_details[[#This Row],[discount]]</f>
        <v>112</v>
      </c>
      <c r="J241" s="1">
        <f>northwind_order_details[[#This Row],[purchase amount]]-northwind_order_details[[#This Row],[discount amount]]</f>
        <v>448</v>
      </c>
      <c r="K241" s="6" t="str">
        <f>IF(northwind_order_details[[#This Row],[discount amount]]&gt;0,"Yes","No")</f>
        <v>Yes</v>
      </c>
      <c r="L241" s="1" t="str">
        <f>IF(northwind_order_details[[#This Row],[Revenue]]&gt;1000,"High",IF(northwind_order_details[[#This Row],[Revenue]]&gt;300,"Medium","Low"))</f>
        <v>Medium</v>
      </c>
      <c r="M2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2" spans="1:13" x14ac:dyDescent="0.25">
      <c r="A242">
        <v>10342</v>
      </c>
      <c r="B242">
        <v>36</v>
      </c>
      <c r="C242" s="6">
        <v>15.2</v>
      </c>
      <c r="D242">
        <v>40</v>
      </c>
      <c r="E242" s="6">
        <v>0.2</v>
      </c>
      <c r="F242" t="str">
        <f>_xlfn.XLOOKUP(northwind_order_details[[#This Row],[order_id]],northwind_orders[order_id],northwind_orders[ship_country])</f>
        <v>Germany</v>
      </c>
      <c r="G242">
        <f>INDEX(northwind_orders[],MATCH(northwind_order_details[[#This Row],[order_id]], northwind_orders[order_id], 0), MATCH("employee_id", northwind_orders[#Headers], 0))</f>
        <v>4</v>
      </c>
      <c r="H242">
        <f>northwind_order_details[[#This Row],[unit_price]]*northwind_order_details[[#This Row],[quantity]]</f>
        <v>608</v>
      </c>
      <c r="I242" s="1">
        <f>northwind_order_details[[#This Row],[purchase amount]]*northwind_order_details[[#This Row],[discount]]</f>
        <v>121.60000000000001</v>
      </c>
      <c r="J242" s="1">
        <f>northwind_order_details[[#This Row],[purchase amount]]-northwind_order_details[[#This Row],[discount amount]]</f>
        <v>486.4</v>
      </c>
      <c r="K242" s="6" t="str">
        <f>IF(northwind_order_details[[#This Row],[discount amount]]&gt;0,"Yes","No")</f>
        <v>Yes</v>
      </c>
      <c r="L242" s="1" t="str">
        <f>IF(northwind_order_details[[#This Row],[Revenue]]&gt;1000,"High",IF(northwind_order_details[[#This Row],[Revenue]]&gt;300,"Medium","Low"))</f>
        <v>Medium</v>
      </c>
      <c r="M2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3" spans="1:13" x14ac:dyDescent="0.25">
      <c r="A243">
        <v>10342</v>
      </c>
      <c r="B243">
        <v>55</v>
      </c>
      <c r="C243" s="6">
        <v>19.2</v>
      </c>
      <c r="D243">
        <v>40</v>
      </c>
      <c r="E243" s="6">
        <v>0.2</v>
      </c>
      <c r="F243" t="str">
        <f>_xlfn.XLOOKUP(northwind_order_details[[#This Row],[order_id]],northwind_orders[order_id],northwind_orders[ship_country])</f>
        <v>Germany</v>
      </c>
      <c r="G243">
        <f>INDEX(northwind_orders[],MATCH(northwind_order_details[[#This Row],[order_id]], northwind_orders[order_id], 0), MATCH("employee_id", northwind_orders[#Headers], 0))</f>
        <v>4</v>
      </c>
      <c r="H243">
        <f>northwind_order_details[[#This Row],[unit_price]]*northwind_order_details[[#This Row],[quantity]]</f>
        <v>768</v>
      </c>
      <c r="I243" s="1">
        <f>northwind_order_details[[#This Row],[purchase amount]]*northwind_order_details[[#This Row],[discount]]</f>
        <v>153.60000000000002</v>
      </c>
      <c r="J243" s="1">
        <f>northwind_order_details[[#This Row],[purchase amount]]-northwind_order_details[[#This Row],[discount amount]]</f>
        <v>614.4</v>
      </c>
      <c r="K243" s="6" t="str">
        <f>IF(northwind_order_details[[#This Row],[discount amount]]&gt;0,"Yes","No")</f>
        <v>Yes</v>
      </c>
      <c r="L243" s="1" t="str">
        <f>IF(northwind_order_details[[#This Row],[Revenue]]&gt;1000,"High",IF(northwind_order_details[[#This Row],[Revenue]]&gt;300,"Medium","Low"))</f>
        <v>Medium</v>
      </c>
      <c r="M2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4" spans="1:13" x14ac:dyDescent="0.25">
      <c r="A244">
        <v>10343</v>
      </c>
      <c r="B244">
        <v>64</v>
      </c>
      <c r="C244" s="6">
        <v>26.6</v>
      </c>
      <c r="D244">
        <v>50</v>
      </c>
      <c r="E244" s="6" t="s">
        <v>6</v>
      </c>
      <c r="F244" t="str">
        <f>_xlfn.XLOOKUP(northwind_order_details[[#This Row],[order_id]],northwind_orders[order_id],northwind_orders[ship_country])</f>
        <v>Germany</v>
      </c>
      <c r="G244">
        <f>INDEX(northwind_orders[],MATCH(northwind_order_details[[#This Row],[order_id]], northwind_orders[order_id], 0), MATCH("employee_id", northwind_orders[#Headers], 0))</f>
        <v>4</v>
      </c>
      <c r="H244">
        <f>northwind_order_details[[#This Row],[unit_price]]*northwind_order_details[[#This Row],[quantity]]</f>
        <v>1330</v>
      </c>
      <c r="I244" s="1">
        <f>northwind_order_details[[#This Row],[purchase amount]]*northwind_order_details[[#This Row],[discount]]</f>
        <v>0</v>
      </c>
      <c r="J244" s="1">
        <f>northwind_order_details[[#This Row],[purchase amount]]-northwind_order_details[[#This Row],[discount amount]]</f>
        <v>1330</v>
      </c>
      <c r="K244" s="6" t="str">
        <f>IF(northwind_order_details[[#This Row],[discount amount]]&gt;0,"Yes","No")</f>
        <v>No</v>
      </c>
      <c r="L244" s="1" t="str">
        <f>IF(northwind_order_details[[#This Row],[Revenue]]&gt;1000,"High",IF(northwind_order_details[[#This Row],[Revenue]]&gt;300,"Medium","Low"))</f>
        <v>High</v>
      </c>
      <c r="M2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5" spans="1:13" x14ac:dyDescent="0.25">
      <c r="A245">
        <v>10343</v>
      </c>
      <c r="B245">
        <v>68</v>
      </c>
      <c r="C245" s="6" t="s">
        <v>8</v>
      </c>
      <c r="D245">
        <v>4</v>
      </c>
      <c r="E245" s="6">
        <v>0.05</v>
      </c>
      <c r="F245" t="str">
        <f>_xlfn.XLOOKUP(northwind_order_details[[#This Row],[order_id]],northwind_orders[order_id],northwind_orders[ship_country])</f>
        <v>Germany</v>
      </c>
      <c r="G245">
        <f>INDEX(northwind_orders[],MATCH(northwind_order_details[[#This Row],[order_id]], northwind_orders[order_id], 0), MATCH("employee_id", northwind_orders[#Headers], 0))</f>
        <v>4</v>
      </c>
      <c r="H245">
        <f>northwind_order_details[[#This Row],[unit_price]]*northwind_order_details[[#This Row],[quantity]]</f>
        <v>40</v>
      </c>
      <c r="I245" s="1">
        <f>northwind_order_details[[#This Row],[purchase amount]]*northwind_order_details[[#This Row],[discount]]</f>
        <v>2</v>
      </c>
      <c r="J245" s="1">
        <f>northwind_order_details[[#This Row],[purchase amount]]-northwind_order_details[[#This Row],[discount amount]]</f>
        <v>38</v>
      </c>
      <c r="K245" s="6" t="str">
        <f>IF(northwind_order_details[[#This Row],[discount amount]]&gt;0,"Yes","No")</f>
        <v>Yes</v>
      </c>
      <c r="L245" s="1" t="str">
        <f>IF(northwind_order_details[[#This Row],[Revenue]]&gt;1000,"High",IF(northwind_order_details[[#This Row],[Revenue]]&gt;300,"Medium","Low"))</f>
        <v>Low</v>
      </c>
      <c r="M2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6" spans="1:13" x14ac:dyDescent="0.25">
      <c r="A246">
        <v>10343</v>
      </c>
      <c r="B246">
        <v>76</v>
      </c>
      <c r="C246" s="6">
        <v>14.4</v>
      </c>
      <c r="D246">
        <v>15</v>
      </c>
      <c r="E246" s="6" t="s">
        <v>6</v>
      </c>
      <c r="F246" t="str">
        <f>_xlfn.XLOOKUP(northwind_order_details[[#This Row],[order_id]],northwind_orders[order_id],northwind_orders[ship_country])</f>
        <v>Germany</v>
      </c>
      <c r="G246">
        <f>INDEX(northwind_orders[],MATCH(northwind_order_details[[#This Row],[order_id]], northwind_orders[order_id], 0), MATCH("employee_id", northwind_orders[#Headers], 0))</f>
        <v>4</v>
      </c>
      <c r="H246">
        <f>northwind_order_details[[#This Row],[unit_price]]*northwind_order_details[[#This Row],[quantity]]</f>
        <v>216</v>
      </c>
      <c r="I246" s="1">
        <f>northwind_order_details[[#This Row],[purchase amount]]*northwind_order_details[[#This Row],[discount]]</f>
        <v>0</v>
      </c>
      <c r="J246" s="1">
        <f>northwind_order_details[[#This Row],[purchase amount]]-northwind_order_details[[#This Row],[discount amount]]</f>
        <v>216</v>
      </c>
      <c r="K246" s="6" t="str">
        <f>IF(northwind_order_details[[#This Row],[discount amount]]&gt;0,"Yes","No")</f>
        <v>No</v>
      </c>
      <c r="L246" s="1" t="str">
        <f>IF(northwind_order_details[[#This Row],[Revenue]]&gt;1000,"High",IF(northwind_order_details[[#This Row],[Revenue]]&gt;300,"Medium","Low"))</f>
        <v>Low</v>
      </c>
      <c r="M2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7" spans="1:13" x14ac:dyDescent="0.25">
      <c r="A247">
        <v>10344</v>
      </c>
      <c r="B247">
        <v>4</v>
      </c>
      <c r="C247" s="6">
        <v>17.600000000000001</v>
      </c>
      <c r="D247">
        <v>35</v>
      </c>
      <c r="E247" s="6" t="s">
        <v>6</v>
      </c>
      <c r="F247" t="str">
        <f>_xlfn.XLOOKUP(northwind_order_details[[#This Row],[order_id]],northwind_orders[order_id],northwind_orders[ship_country])</f>
        <v>USA</v>
      </c>
      <c r="G247">
        <f>INDEX(northwind_orders[],MATCH(northwind_order_details[[#This Row],[order_id]], northwind_orders[order_id], 0), MATCH("employee_id", northwind_orders[#Headers], 0))</f>
        <v>4</v>
      </c>
      <c r="H247">
        <f>northwind_order_details[[#This Row],[unit_price]]*northwind_order_details[[#This Row],[quantity]]</f>
        <v>616</v>
      </c>
      <c r="I247" s="1">
        <f>northwind_order_details[[#This Row],[purchase amount]]*northwind_order_details[[#This Row],[discount]]</f>
        <v>0</v>
      </c>
      <c r="J247" s="1">
        <f>northwind_order_details[[#This Row],[purchase amount]]-northwind_order_details[[#This Row],[discount amount]]</f>
        <v>616</v>
      </c>
      <c r="K247" s="6" t="str">
        <f>IF(northwind_order_details[[#This Row],[discount amount]]&gt;0,"Yes","No")</f>
        <v>No</v>
      </c>
      <c r="L247" s="1" t="str">
        <f>IF(northwind_order_details[[#This Row],[Revenue]]&gt;1000,"High",IF(northwind_order_details[[#This Row],[Revenue]]&gt;300,"Medium","Low"))</f>
        <v>Medium</v>
      </c>
      <c r="M2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8" spans="1:13" x14ac:dyDescent="0.25">
      <c r="A248">
        <v>10344</v>
      </c>
      <c r="B248">
        <v>8</v>
      </c>
      <c r="C248" s="6" t="s">
        <v>18</v>
      </c>
      <c r="D248">
        <v>70</v>
      </c>
      <c r="E248" s="6">
        <v>0.25</v>
      </c>
      <c r="F248" t="str">
        <f>_xlfn.XLOOKUP(northwind_order_details[[#This Row],[order_id]],northwind_orders[order_id],northwind_orders[ship_country])</f>
        <v>USA</v>
      </c>
      <c r="G248">
        <f>INDEX(northwind_orders[],MATCH(northwind_order_details[[#This Row],[order_id]], northwind_orders[order_id], 0), MATCH("employee_id", northwind_orders[#Headers], 0))</f>
        <v>4</v>
      </c>
      <c r="H248">
        <f>northwind_order_details[[#This Row],[unit_price]]*northwind_order_details[[#This Row],[quantity]]</f>
        <v>2240</v>
      </c>
      <c r="I248" s="1">
        <f>northwind_order_details[[#This Row],[purchase amount]]*northwind_order_details[[#This Row],[discount]]</f>
        <v>560</v>
      </c>
      <c r="J248" s="1">
        <f>northwind_order_details[[#This Row],[purchase amount]]-northwind_order_details[[#This Row],[discount amount]]</f>
        <v>1680</v>
      </c>
      <c r="K248" s="6" t="str">
        <f>IF(northwind_order_details[[#This Row],[discount amount]]&gt;0,"Yes","No")</f>
        <v>Yes</v>
      </c>
      <c r="L248" s="1" t="str">
        <f>IF(northwind_order_details[[#This Row],[Revenue]]&gt;1000,"High",IF(northwind_order_details[[#This Row],[Revenue]]&gt;300,"Medium","Low"))</f>
        <v>High</v>
      </c>
      <c r="M2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49" spans="1:13" x14ac:dyDescent="0.25">
      <c r="A249">
        <v>10345</v>
      </c>
      <c r="B249">
        <v>8</v>
      </c>
      <c r="C249" s="6" t="s">
        <v>18</v>
      </c>
      <c r="D249">
        <v>70</v>
      </c>
      <c r="E249" s="6" t="s">
        <v>6</v>
      </c>
      <c r="F249" t="str">
        <f>_xlfn.XLOOKUP(northwind_order_details[[#This Row],[order_id]],northwind_orders[order_id],northwind_orders[ship_country])</f>
        <v>Germany</v>
      </c>
      <c r="G249">
        <f>INDEX(northwind_orders[],MATCH(northwind_order_details[[#This Row],[order_id]], northwind_orders[order_id], 0), MATCH("employee_id", northwind_orders[#Headers], 0))</f>
        <v>2</v>
      </c>
      <c r="H249">
        <f>northwind_order_details[[#This Row],[unit_price]]*northwind_order_details[[#This Row],[quantity]]</f>
        <v>2240</v>
      </c>
      <c r="I249" s="1">
        <f>northwind_order_details[[#This Row],[purchase amount]]*northwind_order_details[[#This Row],[discount]]</f>
        <v>0</v>
      </c>
      <c r="J249" s="1">
        <f>northwind_order_details[[#This Row],[purchase amount]]-northwind_order_details[[#This Row],[discount amount]]</f>
        <v>2240</v>
      </c>
      <c r="K249" s="6" t="str">
        <f>IF(northwind_order_details[[#This Row],[discount amount]]&gt;0,"Yes","No")</f>
        <v>No</v>
      </c>
      <c r="L249" s="1" t="str">
        <f>IF(northwind_order_details[[#This Row],[Revenue]]&gt;1000,"High",IF(northwind_order_details[[#This Row],[Revenue]]&gt;300,"Medium","Low"))</f>
        <v>High</v>
      </c>
      <c r="M2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0" spans="1:13" x14ac:dyDescent="0.25">
      <c r="A250">
        <v>10345</v>
      </c>
      <c r="B250">
        <v>19</v>
      </c>
      <c r="C250" s="6">
        <v>7.3</v>
      </c>
      <c r="D250">
        <v>80</v>
      </c>
      <c r="E250" s="6" t="s">
        <v>6</v>
      </c>
      <c r="F250" t="str">
        <f>_xlfn.XLOOKUP(northwind_order_details[[#This Row],[order_id]],northwind_orders[order_id],northwind_orders[ship_country])</f>
        <v>Germany</v>
      </c>
      <c r="G250">
        <f>INDEX(northwind_orders[],MATCH(northwind_order_details[[#This Row],[order_id]], northwind_orders[order_id], 0), MATCH("employee_id", northwind_orders[#Headers], 0))</f>
        <v>2</v>
      </c>
      <c r="H250">
        <f>northwind_order_details[[#This Row],[unit_price]]*northwind_order_details[[#This Row],[quantity]]</f>
        <v>584</v>
      </c>
      <c r="I250" s="1">
        <f>northwind_order_details[[#This Row],[purchase amount]]*northwind_order_details[[#This Row],[discount]]</f>
        <v>0</v>
      </c>
      <c r="J250" s="1">
        <f>northwind_order_details[[#This Row],[purchase amount]]-northwind_order_details[[#This Row],[discount amount]]</f>
        <v>584</v>
      </c>
      <c r="K250" s="6" t="str">
        <f>IF(northwind_order_details[[#This Row],[discount amount]]&gt;0,"Yes","No")</f>
        <v>No</v>
      </c>
      <c r="L250" s="1" t="str">
        <f>IF(northwind_order_details[[#This Row],[Revenue]]&gt;1000,"High",IF(northwind_order_details[[#This Row],[Revenue]]&gt;300,"Medium","Low"))</f>
        <v>Medium</v>
      </c>
      <c r="M2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1" spans="1:13" x14ac:dyDescent="0.25">
      <c r="A251">
        <v>10345</v>
      </c>
      <c r="B251">
        <v>42</v>
      </c>
      <c r="C251" s="6">
        <v>11.2</v>
      </c>
      <c r="D251">
        <v>9</v>
      </c>
      <c r="E251" s="6" t="s">
        <v>6</v>
      </c>
      <c r="F251" t="str">
        <f>_xlfn.XLOOKUP(northwind_order_details[[#This Row],[order_id]],northwind_orders[order_id],northwind_orders[ship_country])</f>
        <v>Germany</v>
      </c>
      <c r="G251">
        <f>INDEX(northwind_orders[],MATCH(northwind_order_details[[#This Row],[order_id]], northwind_orders[order_id], 0), MATCH("employee_id", northwind_orders[#Headers], 0))</f>
        <v>2</v>
      </c>
      <c r="H251">
        <f>northwind_order_details[[#This Row],[unit_price]]*northwind_order_details[[#This Row],[quantity]]</f>
        <v>100.8</v>
      </c>
      <c r="I251" s="1">
        <f>northwind_order_details[[#This Row],[purchase amount]]*northwind_order_details[[#This Row],[discount]]</f>
        <v>0</v>
      </c>
      <c r="J251" s="1">
        <f>northwind_order_details[[#This Row],[purchase amount]]-northwind_order_details[[#This Row],[discount amount]]</f>
        <v>100.8</v>
      </c>
      <c r="K251" s="6" t="str">
        <f>IF(northwind_order_details[[#This Row],[discount amount]]&gt;0,"Yes","No")</f>
        <v>No</v>
      </c>
      <c r="L251" s="1" t="str">
        <f>IF(northwind_order_details[[#This Row],[Revenue]]&gt;1000,"High",IF(northwind_order_details[[#This Row],[Revenue]]&gt;300,"Medium","Low"))</f>
        <v>Low</v>
      </c>
      <c r="M2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2" spans="1:13" x14ac:dyDescent="0.25">
      <c r="A252">
        <v>10346</v>
      </c>
      <c r="B252">
        <v>17</v>
      </c>
      <c r="C252" s="6">
        <v>31.2</v>
      </c>
      <c r="D252">
        <v>36</v>
      </c>
      <c r="E252" s="6">
        <v>0.1</v>
      </c>
      <c r="F252" t="str">
        <f>_xlfn.XLOOKUP(northwind_order_details[[#This Row],[order_id]],northwind_orders[order_id],northwind_orders[ship_country])</f>
        <v>USA</v>
      </c>
      <c r="G252">
        <f>INDEX(northwind_orders[],MATCH(northwind_order_details[[#This Row],[order_id]], northwind_orders[order_id], 0), MATCH("employee_id", northwind_orders[#Headers], 0))</f>
        <v>3</v>
      </c>
      <c r="H252">
        <f>northwind_order_details[[#This Row],[unit_price]]*northwind_order_details[[#This Row],[quantity]]</f>
        <v>1123.2</v>
      </c>
      <c r="I252" s="1">
        <f>northwind_order_details[[#This Row],[purchase amount]]*northwind_order_details[[#This Row],[discount]]</f>
        <v>112.32000000000001</v>
      </c>
      <c r="J252" s="1">
        <f>northwind_order_details[[#This Row],[purchase amount]]-northwind_order_details[[#This Row],[discount amount]]</f>
        <v>1010.88</v>
      </c>
      <c r="K252" s="6" t="str">
        <f>IF(northwind_order_details[[#This Row],[discount amount]]&gt;0,"Yes","No")</f>
        <v>Yes</v>
      </c>
      <c r="L252" s="1" t="str">
        <f>IF(northwind_order_details[[#This Row],[Revenue]]&gt;1000,"High",IF(northwind_order_details[[#This Row],[Revenue]]&gt;300,"Medium","Low"))</f>
        <v>High</v>
      </c>
      <c r="M2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3" spans="1:13" x14ac:dyDescent="0.25">
      <c r="A253">
        <v>10346</v>
      </c>
      <c r="B253">
        <v>56</v>
      </c>
      <c r="C253" s="6">
        <v>30.4</v>
      </c>
      <c r="D253">
        <v>20</v>
      </c>
      <c r="E253" s="6" t="s">
        <v>6</v>
      </c>
      <c r="F253" t="str">
        <f>_xlfn.XLOOKUP(northwind_order_details[[#This Row],[order_id]],northwind_orders[order_id],northwind_orders[ship_country])</f>
        <v>USA</v>
      </c>
      <c r="G253">
        <f>INDEX(northwind_orders[],MATCH(northwind_order_details[[#This Row],[order_id]], northwind_orders[order_id], 0), MATCH("employee_id", northwind_orders[#Headers], 0))</f>
        <v>3</v>
      </c>
      <c r="H253">
        <f>northwind_order_details[[#This Row],[unit_price]]*northwind_order_details[[#This Row],[quantity]]</f>
        <v>608</v>
      </c>
      <c r="I253" s="1">
        <f>northwind_order_details[[#This Row],[purchase amount]]*northwind_order_details[[#This Row],[discount]]</f>
        <v>0</v>
      </c>
      <c r="J253" s="1">
        <f>northwind_order_details[[#This Row],[purchase amount]]-northwind_order_details[[#This Row],[discount amount]]</f>
        <v>608</v>
      </c>
      <c r="K253" s="6" t="str">
        <f>IF(northwind_order_details[[#This Row],[discount amount]]&gt;0,"Yes","No")</f>
        <v>No</v>
      </c>
      <c r="L253" s="1" t="str">
        <f>IF(northwind_order_details[[#This Row],[Revenue]]&gt;1000,"High",IF(northwind_order_details[[#This Row],[Revenue]]&gt;300,"Medium","Low"))</f>
        <v>Medium</v>
      </c>
      <c r="M2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4" spans="1:13" x14ac:dyDescent="0.25">
      <c r="A254">
        <v>10347</v>
      </c>
      <c r="B254">
        <v>25</v>
      </c>
      <c r="C254" s="6">
        <v>11.2</v>
      </c>
      <c r="D254">
        <v>10</v>
      </c>
      <c r="E254" s="6" t="s">
        <v>6</v>
      </c>
      <c r="F254" t="str">
        <f>_xlfn.XLOOKUP(northwind_order_details[[#This Row],[order_id]],northwind_orders[order_id],northwind_orders[ship_country])</f>
        <v>Brazil</v>
      </c>
      <c r="G254">
        <f>INDEX(northwind_orders[],MATCH(northwind_order_details[[#This Row],[order_id]], northwind_orders[order_id], 0), MATCH("employee_id", northwind_orders[#Headers], 0))</f>
        <v>4</v>
      </c>
      <c r="H254">
        <f>northwind_order_details[[#This Row],[unit_price]]*northwind_order_details[[#This Row],[quantity]]</f>
        <v>112</v>
      </c>
      <c r="I254" s="1">
        <f>northwind_order_details[[#This Row],[purchase amount]]*northwind_order_details[[#This Row],[discount]]</f>
        <v>0</v>
      </c>
      <c r="J254" s="1">
        <f>northwind_order_details[[#This Row],[purchase amount]]-northwind_order_details[[#This Row],[discount amount]]</f>
        <v>112</v>
      </c>
      <c r="K254" s="6" t="str">
        <f>IF(northwind_order_details[[#This Row],[discount amount]]&gt;0,"Yes","No")</f>
        <v>No</v>
      </c>
      <c r="L254" s="1" t="str">
        <f>IF(northwind_order_details[[#This Row],[Revenue]]&gt;1000,"High",IF(northwind_order_details[[#This Row],[Revenue]]&gt;300,"Medium","Low"))</f>
        <v>Low</v>
      </c>
      <c r="M2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5" spans="1:13" x14ac:dyDescent="0.25">
      <c r="A255">
        <v>10347</v>
      </c>
      <c r="B255">
        <v>39</v>
      </c>
      <c r="C255" s="6">
        <v>14.4</v>
      </c>
      <c r="D255">
        <v>50</v>
      </c>
      <c r="E255" s="6">
        <v>0.15</v>
      </c>
      <c r="F255" t="str">
        <f>_xlfn.XLOOKUP(northwind_order_details[[#This Row],[order_id]],northwind_orders[order_id],northwind_orders[ship_country])</f>
        <v>Brazil</v>
      </c>
      <c r="G255">
        <f>INDEX(northwind_orders[],MATCH(northwind_order_details[[#This Row],[order_id]], northwind_orders[order_id], 0), MATCH("employee_id", northwind_orders[#Headers], 0))</f>
        <v>4</v>
      </c>
      <c r="H255">
        <f>northwind_order_details[[#This Row],[unit_price]]*northwind_order_details[[#This Row],[quantity]]</f>
        <v>720</v>
      </c>
      <c r="I255" s="1">
        <f>northwind_order_details[[#This Row],[purchase amount]]*northwind_order_details[[#This Row],[discount]]</f>
        <v>108</v>
      </c>
      <c r="J255" s="1">
        <f>northwind_order_details[[#This Row],[purchase amount]]-northwind_order_details[[#This Row],[discount amount]]</f>
        <v>612</v>
      </c>
      <c r="K255" s="6" t="str">
        <f>IF(northwind_order_details[[#This Row],[discount amount]]&gt;0,"Yes","No")</f>
        <v>Yes</v>
      </c>
      <c r="L255" s="1" t="str">
        <f>IF(northwind_order_details[[#This Row],[Revenue]]&gt;1000,"High",IF(northwind_order_details[[#This Row],[Revenue]]&gt;300,"Medium","Low"))</f>
        <v>Medium</v>
      </c>
      <c r="M2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6" spans="1:13" x14ac:dyDescent="0.25">
      <c r="A256">
        <v>10347</v>
      </c>
      <c r="B256">
        <v>40</v>
      </c>
      <c r="C256" s="6">
        <v>14.7</v>
      </c>
      <c r="D256">
        <v>4</v>
      </c>
      <c r="E256" s="6" t="s">
        <v>6</v>
      </c>
      <c r="F256" t="str">
        <f>_xlfn.XLOOKUP(northwind_order_details[[#This Row],[order_id]],northwind_orders[order_id],northwind_orders[ship_country])</f>
        <v>Brazil</v>
      </c>
      <c r="G256">
        <f>INDEX(northwind_orders[],MATCH(northwind_order_details[[#This Row],[order_id]], northwind_orders[order_id], 0), MATCH("employee_id", northwind_orders[#Headers], 0))</f>
        <v>4</v>
      </c>
      <c r="H256">
        <f>northwind_order_details[[#This Row],[unit_price]]*northwind_order_details[[#This Row],[quantity]]</f>
        <v>58.8</v>
      </c>
      <c r="I256" s="1">
        <f>northwind_order_details[[#This Row],[purchase amount]]*northwind_order_details[[#This Row],[discount]]</f>
        <v>0</v>
      </c>
      <c r="J256" s="1">
        <f>northwind_order_details[[#This Row],[purchase amount]]-northwind_order_details[[#This Row],[discount amount]]</f>
        <v>58.8</v>
      </c>
      <c r="K256" s="6" t="str">
        <f>IF(northwind_order_details[[#This Row],[discount amount]]&gt;0,"Yes","No")</f>
        <v>No</v>
      </c>
      <c r="L256" s="1" t="str">
        <f>IF(northwind_order_details[[#This Row],[Revenue]]&gt;1000,"High",IF(northwind_order_details[[#This Row],[Revenue]]&gt;300,"Medium","Low"))</f>
        <v>Low</v>
      </c>
      <c r="M2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7" spans="1:13" x14ac:dyDescent="0.25">
      <c r="A257">
        <v>10347</v>
      </c>
      <c r="B257">
        <v>75</v>
      </c>
      <c r="C257" s="6">
        <v>6.2</v>
      </c>
      <c r="D257">
        <v>6</v>
      </c>
      <c r="E257" s="6">
        <v>0.15</v>
      </c>
      <c r="F257" t="str">
        <f>_xlfn.XLOOKUP(northwind_order_details[[#This Row],[order_id]],northwind_orders[order_id],northwind_orders[ship_country])</f>
        <v>Brazil</v>
      </c>
      <c r="G257">
        <f>INDEX(northwind_orders[],MATCH(northwind_order_details[[#This Row],[order_id]], northwind_orders[order_id], 0), MATCH("employee_id", northwind_orders[#Headers], 0))</f>
        <v>4</v>
      </c>
      <c r="H257">
        <f>northwind_order_details[[#This Row],[unit_price]]*northwind_order_details[[#This Row],[quantity]]</f>
        <v>37.200000000000003</v>
      </c>
      <c r="I257" s="1">
        <f>northwind_order_details[[#This Row],[purchase amount]]*northwind_order_details[[#This Row],[discount]]</f>
        <v>5.58</v>
      </c>
      <c r="J257" s="1">
        <f>northwind_order_details[[#This Row],[purchase amount]]-northwind_order_details[[#This Row],[discount amount]]</f>
        <v>31.620000000000005</v>
      </c>
      <c r="K257" s="6" t="str">
        <f>IF(northwind_order_details[[#This Row],[discount amount]]&gt;0,"Yes","No")</f>
        <v>Yes</v>
      </c>
      <c r="L257" s="1" t="str">
        <f>IF(northwind_order_details[[#This Row],[Revenue]]&gt;1000,"High",IF(northwind_order_details[[#This Row],[Revenue]]&gt;300,"Medium","Low"))</f>
        <v>Low</v>
      </c>
      <c r="M2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8" spans="1:13" x14ac:dyDescent="0.25">
      <c r="A258">
        <v>10348</v>
      </c>
      <c r="B258">
        <v>1</v>
      </c>
      <c r="C258" s="6">
        <v>14.4</v>
      </c>
      <c r="D258">
        <v>15</v>
      </c>
      <c r="E258" s="6">
        <v>0.15</v>
      </c>
      <c r="F258" t="str">
        <f>_xlfn.XLOOKUP(northwind_order_details[[#This Row],[order_id]],northwind_orders[order_id],northwind_orders[ship_country])</f>
        <v>Germany</v>
      </c>
      <c r="G258">
        <f>INDEX(northwind_orders[],MATCH(northwind_order_details[[#This Row],[order_id]], northwind_orders[order_id], 0), MATCH("employee_id", northwind_orders[#Headers], 0))</f>
        <v>4</v>
      </c>
      <c r="H258">
        <f>northwind_order_details[[#This Row],[unit_price]]*northwind_order_details[[#This Row],[quantity]]</f>
        <v>216</v>
      </c>
      <c r="I258" s="1">
        <f>northwind_order_details[[#This Row],[purchase amount]]*northwind_order_details[[#This Row],[discount]]</f>
        <v>32.4</v>
      </c>
      <c r="J258" s="1">
        <f>northwind_order_details[[#This Row],[purchase amount]]-northwind_order_details[[#This Row],[discount amount]]</f>
        <v>183.6</v>
      </c>
      <c r="K258" s="6" t="str">
        <f>IF(northwind_order_details[[#This Row],[discount amount]]&gt;0,"Yes","No")</f>
        <v>Yes</v>
      </c>
      <c r="L258" s="1" t="str">
        <f>IF(northwind_order_details[[#This Row],[Revenue]]&gt;1000,"High",IF(northwind_order_details[[#This Row],[Revenue]]&gt;300,"Medium","Low"))</f>
        <v>Low</v>
      </c>
      <c r="M2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59" spans="1:13" x14ac:dyDescent="0.25">
      <c r="A259">
        <v>10348</v>
      </c>
      <c r="B259">
        <v>23</v>
      </c>
      <c r="C259" s="6">
        <v>7.2</v>
      </c>
      <c r="D259">
        <v>25</v>
      </c>
      <c r="E259" s="6" t="s">
        <v>6</v>
      </c>
      <c r="F259" t="str">
        <f>_xlfn.XLOOKUP(northwind_order_details[[#This Row],[order_id]],northwind_orders[order_id],northwind_orders[ship_country])</f>
        <v>Germany</v>
      </c>
      <c r="G259">
        <f>INDEX(northwind_orders[],MATCH(northwind_order_details[[#This Row],[order_id]], northwind_orders[order_id], 0), MATCH("employee_id", northwind_orders[#Headers], 0))</f>
        <v>4</v>
      </c>
      <c r="H259">
        <f>northwind_order_details[[#This Row],[unit_price]]*northwind_order_details[[#This Row],[quantity]]</f>
        <v>180</v>
      </c>
      <c r="I259" s="1">
        <f>northwind_order_details[[#This Row],[purchase amount]]*northwind_order_details[[#This Row],[discount]]</f>
        <v>0</v>
      </c>
      <c r="J259" s="1">
        <f>northwind_order_details[[#This Row],[purchase amount]]-northwind_order_details[[#This Row],[discount amount]]</f>
        <v>180</v>
      </c>
      <c r="K259" s="6" t="str">
        <f>IF(northwind_order_details[[#This Row],[discount amount]]&gt;0,"Yes","No")</f>
        <v>No</v>
      </c>
      <c r="L259" s="1" t="str">
        <f>IF(northwind_order_details[[#This Row],[Revenue]]&gt;1000,"High",IF(northwind_order_details[[#This Row],[Revenue]]&gt;300,"Medium","Low"))</f>
        <v>Low</v>
      </c>
      <c r="M2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0" spans="1:13" x14ac:dyDescent="0.25">
      <c r="A260">
        <v>10349</v>
      </c>
      <c r="B260">
        <v>54</v>
      </c>
      <c r="C260" s="6">
        <v>5.9</v>
      </c>
      <c r="D260">
        <v>24</v>
      </c>
      <c r="E260" s="6" t="s">
        <v>6</v>
      </c>
      <c r="F260" t="str">
        <f>_xlfn.XLOOKUP(northwind_order_details[[#This Row],[order_id]],northwind_orders[order_id],northwind_orders[ship_country])</f>
        <v>USA</v>
      </c>
      <c r="G260">
        <f>INDEX(northwind_orders[],MATCH(northwind_order_details[[#This Row],[order_id]], northwind_orders[order_id], 0), MATCH("employee_id", northwind_orders[#Headers], 0))</f>
        <v>7</v>
      </c>
      <c r="H260">
        <f>northwind_order_details[[#This Row],[unit_price]]*northwind_order_details[[#This Row],[quantity]]</f>
        <v>141.60000000000002</v>
      </c>
      <c r="I260" s="1">
        <f>northwind_order_details[[#This Row],[purchase amount]]*northwind_order_details[[#This Row],[discount]]</f>
        <v>0</v>
      </c>
      <c r="J260" s="1">
        <f>northwind_order_details[[#This Row],[purchase amount]]-northwind_order_details[[#This Row],[discount amount]]</f>
        <v>141.60000000000002</v>
      </c>
      <c r="K260" s="6" t="str">
        <f>IF(northwind_order_details[[#This Row],[discount amount]]&gt;0,"Yes","No")</f>
        <v>No</v>
      </c>
      <c r="L260" s="1" t="str">
        <f>IF(northwind_order_details[[#This Row],[Revenue]]&gt;1000,"High",IF(northwind_order_details[[#This Row],[Revenue]]&gt;300,"Medium","Low"))</f>
        <v>Low</v>
      </c>
      <c r="M2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1" spans="1:13" x14ac:dyDescent="0.25">
      <c r="A261">
        <v>10350</v>
      </c>
      <c r="B261">
        <v>50</v>
      </c>
      <c r="C261" s="6" t="s">
        <v>19</v>
      </c>
      <c r="D261">
        <v>15</v>
      </c>
      <c r="E261" s="6">
        <v>0.1</v>
      </c>
      <c r="F261" t="str">
        <f>_xlfn.XLOOKUP(northwind_order_details[[#This Row],[order_id]],northwind_orders[order_id],northwind_orders[ship_country])</f>
        <v>France</v>
      </c>
      <c r="G261">
        <f>INDEX(northwind_orders[],MATCH(northwind_order_details[[#This Row],[order_id]], northwind_orders[order_id], 0), MATCH("employee_id", northwind_orders[#Headers], 0))</f>
        <v>6</v>
      </c>
      <c r="H261">
        <f>northwind_order_details[[#This Row],[unit_price]]*northwind_order_details[[#This Row],[quantity]]</f>
        <v>195</v>
      </c>
      <c r="I261" s="1">
        <f>northwind_order_details[[#This Row],[purchase amount]]*northwind_order_details[[#This Row],[discount]]</f>
        <v>19.5</v>
      </c>
      <c r="J261" s="1">
        <f>northwind_order_details[[#This Row],[purchase amount]]-northwind_order_details[[#This Row],[discount amount]]</f>
        <v>175.5</v>
      </c>
      <c r="K261" s="6" t="str">
        <f>IF(northwind_order_details[[#This Row],[discount amount]]&gt;0,"Yes","No")</f>
        <v>Yes</v>
      </c>
      <c r="L261" s="1" t="str">
        <f>IF(northwind_order_details[[#This Row],[Revenue]]&gt;1000,"High",IF(northwind_order_details[[#This Row],[Revenue]]&gt;300,"Medium","Low"))</f>
        <v>Low</v>
      </c>
      <c r="M2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2" spans="1:13" x14ac:dyDescent="0.25">
      <c r="A262">
        <v>10350</v>
      </c>
      <c r="B262">
        <v>69</v>
      </c>
      <c r="C262" s="6">
        <v>28.8</v>
      </c>
      <c r="D262">
        <v>18</v>
      </c>
      <c r="E262" s="6">
        <v>0.1</v>
      </c>
      <c r="F262" t="str">
        <f>_xlfn.XLOOKUP(northwind_order_details[[#This Row],[order_id]],northwind_orders[order_id],northwind_orders[ship_country])</f>
        <v>France</v>
      </c>
      <c r="G262">
        <f>INDEX(northwind_orders[],MATCH(northwind_order_details[[#This Row],[order_id]], northwind_orders[order_id], 0), MATCH("employee_id", northwind_orders[#Headers], 0))</f>
        <v>6</v>
      </c>
      <c r="H262">
        <f>northwind_order_details[[#This Row],[unit_price]]*northwind_order_details[[#This Row],[quantity]]</f>
        <v>518.4</v>
      </c>
      <c r="I262" s="1">
        <f>northwind_order_details[[#This Row],[purchase amount]]*northwind_order_details[[#This Row],[discount]]</f>
        <v>51.84</v>
      </c>
      <c r="J262" s="1">
        <f>northwind_order_details[[#This Row],[purchase amount]]-northwind_order_details[[#This Row],[discount amount]]</f>
        <v>466.55999999999995</v>
      </c>
      <c r="K262" s="6" t="str">
        <f>IF(northwind_order_details[[#This Row],[discount amount]]&gt;0,"Yes","No")</f>
        <v>Yes</v>
      </c>
      <c r="L262" s="1" t="str">
        <f>IF(northwind_order_details[[#This Row],[Revenue]]&gt;1000,"High",IF(northwind_order_details[[#This Row],[Revenue]]&gt;300,"Medium","Low"))</f>
        <v>Medium</v>
      </c>
      <c r="M2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3" spans="1:13" x14ac:dyDescent="0.25">
      <c r="A263">
        <v>10351</v>
      </c>
      <c r="B263">
        <v>38</v>
      </c>
      <c r="C263" s="6">
        <v>210.8</v>
      </c>
      <c r="D263">
        <v>20</v>
      </c>
      <c r="E263" s="6">
        <v>0.05</v>
      </c>
      <c r="F263" t="str">
        <f>_xlfn.XLOOKUP(northwind_order_details[[#This Row],[order_id]],northwind_orders[order_id],northwind_orders[ship_country])</f>
        <v>Austria</v>
      </c>
      <c r="G263">
        <f>INDEX(northwind_orders[],MATCH(northwind_order_details[[#This Row],[order_id]], northwind_orders[order_id], 0), MATCH("employee_id", northwind_orders[#Headers], 0))</f>
        <v>1</v>
      </c>
      <c r="H263">
        <f>northwind_order_details[[#This Row],[unit_price]]*northwind_order_details[[#This Row],[quantity]]</f>
        <v>4216</v>
      </c>
      <c r="I263" s="1">
        <f>northwind_order_details[[#This Row],[purchase amount]]*northwind_order_details[[#This Row],[discount]]</f>
        <v>210.8</v>
      </c>
      <c r="J263" s="1">
        <f>northwind_order_details[[#This Row],[purchase amount]]-northwind_order_details[[#This Row],[discount amount]]</f>
        <v>4005.2</v>
      </c>
      <c r="K263" s="6" t="str">
        <f>IF(northwind_order_details[[#This Row],[discount amount]]&gt;0,"Yes","No")</f>
        <v>Yes</v>
      </c>
      <c r="L263" s="1" t="str">
        <f>IF(northwind_order_details[[#This Row],[Revenue]]&gt;1000,"High",IF(northwind_order_details[[#This Row],[Revenue]]&gt;300,"Medium","Low"))</f>
        <v>High</v>
      </c>
      <c r="M2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4" spans="1:13" x14ac:dyDescent="0.25">
      <c r="A264">
        <v>10351</v>
      </c>
      <c r="B264">
        <v>41</v>
      </c>
      <c r="C264" s="6">
        <v>7.7</v>
      </c>
      <c r="D264">
        <v>13</v>
      </c>
      <c r="E264" s="6" t="s">
        <v>6</v>
      </c>
      <c r="F264" t="str">
        <f>_xlfn.XLOOKUP(northwind_order_details[[#This Row],[order_id]],northwind_orders[order_id],northwind_orders[ship_country])</f>
        <v>Austria</v>
      </c>
      <c r="G264">
        <f>INDEX(northwind_orders[],MATCH(northwind_order_details[[#This Row],[order_id]], northwind_orders[order_id], 0), MATCH("employee_id", northwind_orders[#Headers], 0))</f>
        <v>1</v>
      </c>
      <c r="H264">
        <f>northwind_order_details[[#This Row],[unit_price]]*northwind_order_details[[#This Row],[quantity]]</f>
        <v>100.10000000000001</v>
      </c>
      <c r="I264" s="1">
        <f>northwind_order_details[[#This Row],[purchase amount]]*northwind_order_details[[#This Row],[discount]]</f>
        <v>0</v>
      </c>
      <c r="J264" s="1">
        <f>northwind_order_details[[#This Row],[purchase amount]]-northwind_order_details[[#This Row],[discount amount]]</f>
        <v>100.10000000000001</v>
      </c>
      <c r="K264" s="6" t="str">
        <f>IF(northwind_order_details[[#This Row],[discount amount]]&gt;0,"Yes","No")</f>
        <v>No</v>
      </c>
      <c r="L264" s="1" t="str">
        <f>IF(northwind_order_details[[#This Row],[Revenue]]&gt;1000,"High",IF(northwind_order_details[[#This Row],[Revenue]]&gt;300,"Medium","Low"))</f>
        <v>Low</v>
      </c>
      <c r="M2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5" spans="1:13" x14ac:dyDescent="0.25">
      <c r="A265">
        <v>10351</v>
      </c>
      <c r="B265">
        <v>44</v>
      </c>
      <c r="C265" s="6">
        <v>15.5</v>
      </c>
      <c r="D265">
        <v>77</v>
      </c>
      <c r="E265" s="6">
        <v>0.05</v>
      </c>
      <c r="F265" t="str">
        <f>_xlfn.XLOOKUP(northwind_order_details[[#This Row],[order_id]],northwind_orders[order_id],northwind_orders[ship_country])</f>
        <v>Austria</v>
      </c>
      <c r="G265">
        <f>INDEX(northwind_orders[],MATCH(northwind_order_details[[#This Row],[order_id]], northwind_orders[order_id], 0), MATCH("employee_id", northwind_orders[#Headers], 0))</f>
        <v>1</v>
      </c>
      <c r="H265">
        <f>northwind_order_details[[#This Row],[unit_price]]*northwind_order_details[[#This Row],[quantity]]</f>
        <v>1193.5</v>
      </c>
      <c r="I265" s="1">
        <f>northwind_order_details[[#This Row],[purchase amount]]*northwind_order_details[[#This Row],[discount]]</f>
        <v>59.675000000000004</v>
      </c>
      <c r="J265" s="1">
        <f>northwind_order_details[[#This Row],[purchase amount]]-northwind_order_details[[#This Row],[discount amount]]</f>
        <v>1133.825</v>
      </c>
      <c r="K265" s="6" t="str">
        <f>IF(northwind_order_details[[#This Row],[discount amount]]&gt;0,"Yes","No")</f>
        <v>Yes</v>
      </c>
      <c r="L265" s="1" t="str">
        <f>IF(northwind_order_details[[#This Row],[Revenue]]&gt;1000,"High",IF(northwind_order_details[[#This Row],[Revenue]]&gt;300,"Medium","Low"))</f>
        <v>High</v>
      </c>
      <c r="M2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6" spans="1:13" x14ac:dyDescent="0.25">
      <c r="A266">
        <v>10351</v>
      </c>
      <c r="B266">
        <v>65</v>
      </c>
      <c r="C266" s="6">
        <v>16.8</v>
      </c>
      <c r="D266">
        <v>10</v>
      </c>
      <c r="E266" s="6">
        <v>0.05</v>
      </c>
      <c r="F266" t="str">
        <f>_xlfn.XLOOKUP(northwind_order_details[[#This Row],[order_id]],northwind_orders[order_id],northwind_orders[ship_country])</f>
        <v>Austria</v>
      </c>
      <c r="G266">
        <f>INDEX(northwind_orders[],MATCH(northwind_order_details[[#This Row],[order_id]], northwind_orders[order_id], 0), MATCH("employee_id", northwind_orders[#Headers], 0))</f>
        <v>1</v>
      </c>
      <c r="H266">
        <f>northwind_order_details[[#This Row],[unit_price]]*northwind_order_details[[#This Row],[quantity]]</f>
        <v>168</v>
      </c>
      <c r="I266" s="1">
        <f>northwind_order_details[[#This Row],[purchase amount]]*northwind_order_details[[#This Row],[discount]]</f>
        <v>8.4</v>
      </c>
      <c r="J266" s="1">
        <f>northwind_order_details[[#This Row],[purchase amount]]-northwind_order_details[[#This Row],[discount amount]]</f>
        <v>159.6</v>
      </c>
      <c r="K266" s="6" t="str">
        <f>IF(northwind_order_details[[#This Row],[discount amount]]&gt;0,"Yes","No")</f>
        <v>Yes</v>
      </c>
      <c r="L266" s="1" t="str">
        <f>IF(northwind_order_details[[#This Row],[Revenue]]&gt;1000,"High",IF(northwind_order_details[[#This Row],[Revenue]]&gt;300,"Medium","Low"))</f>
        <v>Low</v>
      </c>
      <c r="M2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7" spans="1:13" x14ac:dyDescent="0.25">
      <c r="A267">
        <v>10352</v>
      </c>
      <c r="B267">
        <v>24</v>
      </c>
      <c r="C267" s="6">
        <v>3.6</v>
      </c>
      <c r="D267">
        <v>10</v>
      </c>
      <c r="E267" s="6" t="s">
        <v>6</v>
      </c>
      <c r="F267" t="str">
        <f>_xlfn.XLOOKUP(northwind_order_details[[#This Row],[order_id]],northwind_orders[order_id],northwind_orders[ship_country])</f>
        <v>Portugal</v>
      </c>
      <c r="G267">
        <f>INDEX(northwind_orders[],MATCH(northwind_order_details[[#This Row],[order_id]], northwind_orders[order_id], 0), MATCH("employee_id", northwind_orders[#Headers], 0))</f>
        <v>3</v>
      </c>
      <c r="H267">
        <f>northwind_order_details[[#This Row],[unit_price]]*northwind_order_details[[#This Row],[quantity]]</f>
        <v>36</v>
      </c>
      <c r="I267" s="1">
        <f>northwind_order_details[[#This Row],[purchase amount]]*northwind_order_details[[#This Row],[discount]]</f>
        <v>0</v>
      </c>
      <c r="J267" s="1">
        <f>northwind_order_details[[#This Row],[purchase amount]]-northwind_order_details[[#This Row],[discount amount]]</f>
        <v>36</v>
      </c>
      <c r="K267" s="6" t="str">
        <f>IF(northwind_order_details[[#This Row],[discount amount]]&gt;0,"Yes","No")</f>
        <v>No</v>
      </c>
      <c r="L267" s="1" t="str">
        <f>IF(northwind_order_details[[#This Row],[Revenue]]&gt;1000,"High",IF(northwind_order_details[[#This Row],[Revenue]]&gt;300,"Medium","Low"))</f>
        <v>Low</v>
      </c>
      <c r="M2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8" spans="1:13" x14ac:dyDescent="0.25">
      <c r="A268">
        <v>10352</v>
      </c>
      <c r="B268">
        <v>54</v>
      </c>
      <c r="C268" s="6">
        <v>5.9</v>
      </c>
      <c r="D268">
        <v>20</v>
      </c>
      <c r="E268" s="6">
        <v>0.15</v>
      </c>
      <c r="F268" t="str">
        <f>_xlfn.XLOOKUP(northwind_order_details[[#This Row],[order_id]],northwind_orders[order_id],northwind_orders[ship_country])</f>
        <v>Portugal</v>
      </c>
      <c r="G268">
        <f>INDEX(northwind_orders[],MATCH(northwind_order_details[[#This Row],[order_id]], northwind_orders[order_id], 0), MATCH("employee_id", northwind_orders[#Headers], 0))</f>
        <v>3</v>
      </c>
      <c r="H268">
        <f>northwind_order_details[[#This Row],[unit_price]]*northwind_order_details[[#This Row],[quantity]]</f>
        <v>118</v>
      </c>
      <c r="I268" s="1">
        <f>northwind_order_details[[#This Row],[purchase amount]]*northwind_order_details[[#This Row],[discount]]</f>
        <v>17.7</v>
      </c>
      <c r="J268" s="1">
        <f>northwind_order_details[[#This Row],[purchase amount]]-northwind_order_details[[#This Row],[discount amount]]</f>
        <v>100.3</v>
      </c>
      <c r="K268" s="6" t="str">
        <f>IF(northwind_order_details[[#This Row],[discount amount]]&gt;0,"Yes","No")</f>
        <v>Yes</v>
      </c>
      <c r="L268" s="1" t="str">
        <f>IF(northwind_order_details[[#This Row],[Revenue]]&gt;1000,"High",IF(northwind_order_details[[#This Row],[Revenue]]&gt;300,"Medium","Low"))</f>
        <v>Low</v>
      </c>
      <c r="M2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69" spans="1:13" x14ac:dyDescent="0.25">
      <c r="A269">
        <v>10353</v>
      </c>
      <c r="B269">
        <v>11</v>
      </c>
      <c r="C269" s="6">
        <v>16.8</v>
      </c>
      <c r="D269">
        <v>12</v>
      </c>
      <c r="E269" s="6">
        <v>0.2</v>
      </c>
      <c r="F269" t="str">
        <f>_xlfn.XLOOKUP(northwind_order_details[[#This Row],[order_id]],northwind_orders[order_id],northwind_orders[ship_country])</f>
        <v>Austria</v>
      </c>
      <c r="G269">
        <f>INDEX(northwind_orders[],MATCH(northwind_order_details[[#This Row],[order_id]], northwind_orders[order_id], 0), MATCH("employee_id", northwind_orders[#Headers], 0))</f>
        <v>7</v>
      </c>
      <c r="H269">
        <f>northwind_order_details[[#This Row],[unit_price]]*northwind_order_details[[#This Row],[quantity]]</f>
        <v>201.60000000000002</v>
      </c>
      <c r="I269" s="1">
        <f>northwind_order_details[[#This Row],[purchase amount]]*northwind_order_details[[#This Row],[discount]]</f>
        <v>40.320000000000007</v>
      </c>
      <c r="J269" s="1">
        <f>northwind_order_details[[#This Row],[purchase amount]]-northwind_order_details[[#This Row],[discount amount]]</f>
        <v>161.28000000000003</v>
      </c>
      <c r="K269" s="6" t="str">
        <f>IF(northwind_order_details[[#This Row],[discount amount]]&gt;0,"Yes","No")</f>
        <v>Yes</v>
      </c>
      <c r="L269" s="1" t="str">
        <f>IF(northwind_order_details[[#This Row],[Revenue]]&gt;1000,"High",IF(northwind_order_details[[#This Row],[Revenue]]&gt;300,"Medium","Low"))</f>
        <v>Low</v>
      </c>
      <c r="M2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0" spans="1:13" x14ac:dyDescent="0.25">
      <c r="A270">
        <v>10353</v>
      </c>
      <c r="B270">
        <v>38</v>
      </c>
      <c r="C270" s="6">
        <v>210.8</v>
      </c>
      <c r="D270">
        <v>50</v>
      </c>
      <c r="E270" s="6">
        <v>0.2</v>
      </c>
      <c r="F270" t="str">
        <f>_xlfn.XLOOKUP(northwind_order_details[[#This Row],[order_id]],northwind_orders[order_id],northwind_orders[ship_country])</f>
        <v>Austria</v>
      </c>
      <c r="G270">
        <f>INDEX(northwind_orders[],MATCH(northwind_order_details[[#This Row],[order_id]], northwind_orders[order_id], 0), MATCH("employee_id", northwind_orders[#Headers], 0))</f>
        <v>7</v>
      </c>
      <c r="H270">
        <f>northwind_order_details[[#This Row],[unit_price]]*northwind_order_details[[#This Row],[quantity]]</f>
        <v>10540</v>
      </c>
      <c r="I270" s="1">
        <f>northwind_order_details[[#This Row],[purchase amount]]*northwind_order_details[[#This Row],[discount]]</f>
        <v>2108</v>
      </c>
      <c r="J270" s="1">
        <f>northwind_order_details[[#This Row],[purchase amount]]-northwind_order_details[[#This Row],[discount amount]]</f>
        <v>8432</v>
      </c>
      <c r="K270" s="6" t="str">
        <f>IF(northwind_order_details[[#This Row],[discount amount]]&gt;0,"Yes","No")</f>
        <v>Yes</v>
      </c>
      <c r="L270" s="1" t="str">
        <f>IF(northwind_order_details[[#This Row],[Revenue]]&gt;1000,"High",IF(northwind_order_details[[#This Row],[Revenue]]&gt;300,"Medium","Low"))</f>
        <v>High</v>
      </c>
      <c r="M2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1" spans="1:13" x14ac:dyDescent="0.25">
      <c r="A271">
        <v>10354</v>
      </c>
      <c r="B271">
        <v>1</v>
      </c>
      <c r="C271" s="6">
        <v>14.4</v>
      </c>
      <c r="D271">
        <v>12</v>
      </c>
      <c r="E271" s="6" t="s">
        <v>6</v>
      </c>
      <c r="F271" t="str">
        <f>_xlfn.XLOOKUP(northwind_order_details[[#This Row],[order_id]],northwind_orders[order_id],northwind_orders[ship_country])</f>
        <v>Mexico</v>
      </c>
      <c r="G271">
        <f>INDEX(northwind_orders[],MATCH(northwind_order_details[[#This Row],[order_id]], northwind_orders[order_id], 0), MATCH("employee_id", northwind_orders[#Headers], 0))</f>
        <v>8</v>
      </c>
      <c r="H271">
        <f>northwind_order_details[[#This Row],[unit_price]]*northwind_order_details[[#This Row],[quantity]]</f>
        <v>172.8</v>
      </c>
      <c r="I271" s="1">
        <f>northwind_order_details[[#This Row],[purchase amount]]*northwind_order_details[[#This Row],[discount]]</f>
        <v>0</v>
      </c>
      <c r="J271" s="1">
        <f>northwind_order_details[[#This Row],[purchase amount]]-northwind_order_details[[#This Row],[discount amount]]</f>
        <v>172.8</v>
      </c>
      <c r="K271" s="6" t="str">
        <f>IF(northwind_order_details[[#This Row],[discount amount]]&gt;0,"Yes","No")</f>
        <v>No</v>
      </c>
      <c r="L271" s="1" t="str">
        <f>IF(northwind_order_details[[#This Row],[Revenue]]&gt;1000,"High",IF(northwind_order_details[[#This Row],[Revenue]]&gt;300,"Medium","Low"))</f>
        <v>Low</v>
      </c>
      <c r="M2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2" spans="1:13" x14ac:dyDescent="0.25">
      <c r="A272">
        <v>10354</v>
      </c>
      <c r="B272">
        <v>29</v>
      </c>
      <c r="C272" s="6" t="s">
        <v>15</v>
      </c>
      <c r="D272">
        <v>4</v>
      </c>
      <c r="E272" s="6" t="s">
        <v>6</v>
      </c>
      <c r="F272" t="str">
        <f>_xlfn.XLOOKUP(northwind_order_details[[#This Row],[order_id]],northwind_orders[order_id],northwind_orders[ship_country])</f>
        <v>Mexico</v>
      </c>
      <c r="G272">
        <f>INDEX(northwind_orders[],MATCH(northwind_order_details[[#This Row],[order_id]], northwind_orders[order_id], 0), MATCH("employee_id", northwind_orders[#Headers], 0))</f>
        <v>8</v>
      </c>
      <c r="H272">
        <f>northwind_order_details[[#This Row],[unit_price]]*northwind_order_details[[#This Row],[quantity]]</f>
        <v>396</v>
      </c>
      <c r="I272" s="1">
        <f>northwind_order_details[[#This Row],[purchase amount]]*northwind_order_details[[#This Row],[discount]]</f>
        <v>0</v>
      </c>
      <c r="J272" s="1">
        <f>northwind_order_details[[#This Row],[purchase amount]]-northwind_order_details[[#This Row],[discount amount]]</f>
        <v>396</v>
      </c>
      <c r="K272" s="6" t="str">
        <f>IF(northwind_order_details[[#This Row],[discount amount]]&gt;0,"Yes","No")</f>
        <v>No</v>
      </c>
      <c r="L272" s="1" t="str">
        <f>IF(northwind_order_details[[#This Row],[Revenue]]&gt;1000,"High",IF(northwind_order_details[[#This Row],[Revenue]]&gt;300,"Medium","Low"))</f>
        <v>Medium</v>
      </c>
      <c r="M2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3" spans="1:13" x14ac:dyDescent="0.25">
      <c r="A273">
        <v>10355</v>
      </c>
      <c r="B273">
        <v>24</v>
      </c>
      <c r="C273" s="6">
        <v>3.6</v>
      </c>
      <c r="D273">
        <v>25</v>
      </c>
      <c r="E273" s="6" t="s">
        <v>6</v>
      </c>
      <c r="F273" t="str">
        <f>_xlfn.XLOOKUP(northwind_order_details[[#This Row],[order_id]],northwind_orders[order_id],northwind_orders[ship_country])</f>
        <v>UK</v>
      </c>
      <c r="G273">
        <f>INDEX(northwind_orders[],MATCH(northwind_order_details[[#This Row],[order_id]], northwind_orders[order_id], 0), MATCH("employee_id", northwind_orders[#Headers], 0))</f>
        <v>6</v>
      </c>
      <c r="H273">
        <f>northwind_order_details[[#This Row],[unit_price]]*northwind_order_details[[#This Row],[quantity]]</f>
        <v>90</v>
      </c>
      <c r="I273" s="1">
        <f>northwind_order_details[[#This Row],[purchase amount]]*northwind_order_details[[#This Row],[discount]]</f>
        <v>0</v>
      </c>
      <c r="J273" s="1">
        <f>northwind_order_details[[#This Row],[purchase amount]]-northwind_order_details[[#This Row],[discount amount]]</f>
        <v>90</v>
      </c>
      <c r="K273" s="6" t="str">
        <f>IF(northwind_order_details[[#This Row],[discount amount]]&gt;0,"Yes","No")</f>
        <v>No</v>
      </c>
      <c r="L273" s="1" t="str">
        <f>IF(northwind_order_details[[#This Row],[Revenue]]&gt;1000,"High",IF(northwind_order_details[[#This Row],[Revenue]]&gt;300,"Medium","Low"))</f>
        <v>Low</v>
      </c>
      <c r="M2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4" spans="1:13" x14ac:dyDescent="0.25">
      <c r="A274">
        <v>10355</v>
      </c>
      <c r="B274">
        <v>57</v>
      </c>
      <c r="C274" s="6">
        <v>15.6</v>
      </c>
      <c r="D274">
        <v>25</v>
      </c>
      <c r="E274" s="6" t="s">
        <v>6</v>
      </c>
      <c r="F274" t="str">
        <f>_xlfn.XLOOKUP(northwind_order_details[[#This Row],[order_id]],northwind_orders[order_id],northwind_orders[ship_country])</f>
        <v>UK</v>
      </c>
      <c r="G274">
        <f>INDEX(northwind_orders[],MATCH(northwind_order_details[[#This Row],[order_id]], northwind_orders[order_id], 0), MATCH("employee_id", northwind_orders[#Headers], 0))</f>
        <v>6</v>
      </c>
      <c r="H274">
        <f>northwind_order_details[[#This Row],[unit_price]]*northwind_order_details[[#This Row],[quantity]]</f>
        <v>390</v>
      </c>
      <c r="I274" s="1">
        <f>northwind_order_details[[#This Row],[purchase amount]]*northwind_order_details[[#This Row],[discount]]</f>
        <v>0</v>
      </c>
      <c r="J274" s="1">
        <f>northwind_order_details[[#This Row],[purchase amount]]-northwind_order_details[[#This Row],[discount amount]]</f>
        <v>390</v>
      </c>
      <c r="K274" s="6" t="str">
        <f>IF(northwind_order_details[[#This Row],[discount amount]]&gt;0,"Yes","No")</f>
        <v>No</v>
      </c>
      <c r="L274" s="1" t="str">
        <f>IF(northwind_order_details[[#This Row],[Revenue]]&gt;1000,"High",IF(northwind_order_details[[#This Row],[Revenue]]&gt;300,"Medium","Low"))</f>
        <v>Medium</v>
      </c>
      <c r="M2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5" spans="1:13" x14ac:dyDescent="0.25">
      <c r="A275">
        <v>10356</v>
      </c>
      <c r="B275">
        <v>31</v>
      </c>
      <c r="C275" s="6" t="s">
        <v>8</v>
      </c>
      <c r="D275">
        <v>30</v>
      </c>
      <c r="E275" s="6" t="s">
        <v>6</v>
      </c>
      <c r="F275" t="str">
        <f>_xlfn.XLOOKUP(northwind_order_details[[#This Row],[order_id]],northwind_orders[order_id],northwind_orders[ship_country])</f>
        <v>Germany</v>
      </c>
      <c r="G275">
        <f>INDEX(northwind_orders[],MATCH(northwind_order_details[[#This Row],[order_id]], northwind_orders[order_id], 0), MATCH("employee_id", northwind_orders[#Headers], 0))</f>
        <v>6</v>
      </c>
      <c r="H275">
        <f>northwind_order_details[[#This Row],[unit_price]]*northwind_order_details[[#This Row],[quantity]]</f>
        <v>300</v>
      </c>
      <c r="I275" s="1">
        <f>northwind_order_details[[#This Row],[purchase amount]]*northwind_order_details[[#This Row],[discount]]</f>
        <v>0</v>
      </c>
      <c r="J275" s="1">
        <f>northwind_order_details[[#This Row],[purchase amount]]-northwind_order_details[[#This Row],[discount amount]]</f>
        <v>300</v>
      </c>
      <c r="K275" s="6" t="str">
        <f>IF(northwind_order_details[[#This Row],[discount amount]]&gt;0,"Yes","No")</f>
        <v>No</v>
      </c>
      <c r="L275" s="1" t="str">
        <f>IF(northwind_order_details[[#This Row],[Revenue]]&gt;1000,"High",IF(northwind_order_details[[#This Row],[Revenue]]&gt;300,"Medium","Low"))</f>
        <v>Low</v>
      </c>
      <c r="M2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6" spans="1:13" x14ac:dyDescent="0.25">
      <c r="A276">
        <v>10356</v>
      </c>
      <c r="B276">
        <v>55</v>
      </c>
      <c r="C276" s="6">
        <v>19.2</v>
      </c>
      <c r="D276">
        <v>12</v>
      </c>
      <c r="E276" s="6" t="s">
        <v>6</v>
      </c>
      <c r="F276" t="str">
        <f>_xlfn.XLOOKUP(northwind_order_details[[#This Row],[order_id]],northwind_orders[order_id],northwind_orders[ship_country])</f>
        <v>Germany</v>
      </c>
      <c r="G276">
        <f>INDEX(northwind_orders[],MATCH(northwind_order_details[[#This Row],[order_id]], northwind_orders[order_id], 0), MATCH("employee_id", northwind_orders[#Headers], 0))</f>
        <v>6</v>
      </c>
      <c r="H276">
        <f>northwind_order_details[[#This Row],[unit_price]]*northwind_order_details[[#This Row],[quantity]]</f>
        <v>230.39999999999998</v>
      </c>
      <c r="I276" s="1">
        <f>northwind_order_details[[#This Row],[purchase amount]]*northwind_order_details[[#This Row],[discount]]</f>
        <v>0</v>
      </c>
      <c r="J276" s="1">
        <f>northwind_order_details[[#This Row],[purchase amount]]-northwind_order_details[[#This Row],[discount amount]]</f>
        <v>230.39999999999998</v>
      </c>
      <c r="K276" s="6" t="str">
        <f>IF(northwind_order_details[[#This Row],[discount amount]]&gt;0,"Yes","No")</f>
        <v>No</v>
      </c>
      <c r="L276" s="1" t="str">
        <f>IF(northwind_order_details[[#This Row],[Revenue]]&gt;1000,"High",IF(northwind_order_details[[#This Row],[Revenue]]&gt;300,"Medium","Low"))</f>
        <v>Low</v>
      </c>
      <c r="M2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7" spans="1:13" x14ac:dyDescent="0.25">
      <c r="A277">
        <v>10356</v>
      </c>
      <c r="B277">
        <v>69</v>
      </c>
      <c r="C277" s="6">
        <v>28.8</v>
      </c>
      <c r="D277">
        <v>20</v>
      </c>
      <c r="E277" s="6" t="s">
        <v>6</v>
      </c>
      <c r="F277" t="str">
        <f>_xlfn.XLOOKUP(northwind_order_details[[#This Row],[order_id]],northwind_orders[order_id],northwind_orders[ship_country])</f>
        <v>Germany</v>
      </c>
      <c r="G277">
        <f>INDEX(northwind_orders[],MATCH(northwind_order_details[[#This Row],[order_id]], northwind_orders[order_id], 0), MATCH("employee_id", northwind_orders[#Headers], 0))</f>
        <v>6</v>
      </c>
      <c r="H277">
        <f>northwind_order_details[[#This Row],[unit_price]]*northwind_order_details[[#This Row],[quantity]]</f>
        <v>576</v>
      </c>
      <c r="I277" s="1">
        <f>northwind_order_details[[#This Row],[purchase amount]]*northwind_order_details[[#This Row],[discount]]</f>
        <v>0</v>
      </c>
      <c r="J277" s="1">
        <f>northwind_order_details[[#This Row],[purchase amount]]-northwind_order_details[[#This Row],[discount amount]]</f>
        <v>576</v>
      </c>
      <c r="K277" s="6" t="str">
        <f>IF(northwind_order_details[[#This Row],[discount amount]]&gt;0,"Yes","No")</f>
        <v>No</v>
      </c>
      <c r="L277" s="1" t="str">
        <f>IF(northwind_order_details[[#This Row],[Revenue]]&gt;1000,"High",IF(northwind_order_details[[#This Row],[Revenue]]&gt;300,"Medium","Low"))</f>
        <v>Medium</v>
      </c>
      <c r="M2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8" spans="1:13" x14ac:dyDescent="0.25">
      <c r="A278">
        <v>10357</v>
      </c>
      <c r="B278">
        <v>10</v>
      </c>
      <c r="C278" s="6">
        <v>24.8</v>
      </c>
      <c r="D278">
        <v>30</v>
      </c>
      <c r="E278" s="6">
        <v>0.2</v>
      </c>
      <c r="F278" t="str">
        <f>_xlfn.XLOOKUP(northwind_order_details[[#This Row],[order_id]],northwind_orders[order_id],northwind_orders[ship_country])</f>
        <v>Venezuela</v>
      </c>
      <c r="G278">
        <f>INDEX(northwind_orders[],MATCH(northwind_order_details[[#This Row],[order_id]], northwind_orders[order_id], 0), MATCH("employee_id", northwind_orders[#Headers], 0))</f>
        <v>1</v>
      </c>
      <c r="H278">
        <f>northwind_order_details[[#This Row],[unit_price]]*northwind_order_details[[#This Row],[quantity]]</f>
        <v>744</v>
      </c>
      <c r="I278" s="1">
        <f>northwind_order_details[[#This Row],[purchase amount]]*northwind_order_details[[#This Row],[discount]]</f>
        <v>148.80000000000001</v>
      </c>
      <c r="J278" s="1">
        <f>northwind_order_details[[#This Row],[purchase amount]]-northwind_order_details[[#This Row],[discount amount]]</f>
        <v>595.20000000000005</v>
      </c>
      <c r="K278" s="6" t="str">
        <f>IF(northwind_order_details[[#This Row],[discount amount]]&gt;0,"Yes","No")</f>
        <v>Yes</v>
      </c>
      <c r="L278" s="1" t="str">
        <f>IF(northwind_order_details[[#This Row],[Revenue]]&gt;1000,"High",IF(northwind_order_details[[#This Row],[Revenue]]&gt;300,"Medium","Low"))</f>
        <v>Medium</v>
      </c>
      <c r="M2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79" spans="1:13" x14ac:dyDescent="0.25">
      <c r="A279">
        <v>10357</v>
      </c>
      <c r="B279">
        <v>26</v>
      </c>
      <c r="C279" s="6">
        <v>24.9</v>
      </c>
      <c r="D279">
        <v>16</v>
      </c>
      <c r="E279" s="6" t="s">
        <v>6</v>
      </c>
      <c r="F279" t="str">
        <f>_xlfn.XLOOKUP(northwind_order_details[[#This Row],[order_id]],northwind_orders[order_id],northwind_orders[ship_country])</f>
        <v>Venezuela</v>
      </c>
      <c r="G279">
        <f>INDEX(northwind_orders[],MATCH(northwind_order_details[[#This Row],[order_id]], northwind_orders[order_id], 0), MATCH("employee_id", northwind_orders[#Headers], 0))</f>
        <v>1</v>
      </c>
      <c r="H279">
        <f>northwind_order_details[[#This Row],[unit_price]]*northwind_order_details[[#This Row],[quantity]]</f>
        <v>398.4</v>
      </c>
      <c r="I279" s="1">
        <f>northwind_order_details[[#This Row],[purchase amount]]*northwind_order_details[[#This Row],[discount]]</f>
        <v>0</v>
      </c>
      <c r="J279" s="1">
        <f>northwind_order_details[[#This Row],[purchase amount]]-northwind_order_details[[#This Row],[discount amount]]</f>
        <v>398.4</v>
      </c>
      <c r="K279" s="6" t="str">
        <f>IF(northwind_order_details[[#This Row],[discount amount]]&gt;0,"Yes","No")</f>
        <v>No</v>
      </c>
      <c r="L279" s="1" t="str">
        <f>IF(northwind_order_details[[#This Row],[Revenue]]&gt;1000,"High",IF(northwind_order_details[[#This Row],[Revenue]]&gt;300,"Medium","Low"))</f>
        <v>Medium</v>
      </c>
      <c r="M2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0" spans="1:13" x14ac:dyDescent="0.25">
      <c r="A280">
        <v>10357</v>
      </c>
      <c r="B280">
        <v>60</v>
      </c>
      <c r="C280" s="6">
        <v>27.2</v>
      </c>
      <c r="D280">
        <v>8</v>
      </c>
      <c r="E280" s="6">
        <v>0.2</v>
      </c>
      <c r="F280" t="str">
        <f>_xlfn.XLOOKUP(northwind_order_details[[#This Row],[order_id]],northwind_orders[order_id],northwind_orders[ship_country])</f>
        <v>Venezuela</v>
      </c>
      <c r="G280">
        <f>INDEX(northwind_orders[],MATCH(northwind_order_details[[#This Row],[order_id]], northwind_orders[order_id], 0), MATCH("employee_id", northwind_orders[#Headers], 0))</f>
        <v>1</v>
      </c>
      <c r="H280">
        <f>northwind_order_details[[#This Row],[unit_price]]*northwind_order_details[[#This Row],[quantity]]</f>
        <v>217.6</v>
      </c>
      <c r="I280" s="1">
        <f>northwind_order_details[[#This Row],[purchase amount]]*northwind_order_details[[#This Row],[discount]]</f>
        <v>43.52</v>
      </c>
      <c r="J280" s="1">
        <f>northwind_order_details[[#This Row],[purchase amount]]-northwind_order_details[[#This Row],[discount amount]]</f>
        <v>174.07999999999998</v>
      </c>
      <c r="K280" s="6" t="str">
        <f>IF(northwind_order_details[[#This Row],[discount amount]]&gt;0,"Yes","No")</f>
        <v>Yes</v>
      </c>
      <c r="L280" s="1" t="str">
        <f>IF(northwind_order_details[[#This Row],[Revenue]]&gt;1000,"High",IF(northwind_order_details[[#This Row],[Revenue]]&gt;300,"Medium","Low"))</f>
        <v>Low</v>
      </c>
      <c r="M2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1" spans="1:13" x14ac:dyDescent="0.25">
      <c r="A281">
        <v>10358</v>
      </c>
      <c r="B281">
        <v>24</v>
      </c>
      <c r="C281" s="6">
        <v>3.6</v>
      </c>
      <c r="D281">
        <v>10</v>
      </c>
      <c r="E281" s="6">
        <v>0.05</v>
      </c>
      <c r="F281" t="str">
        <f>_xlfn.XLOOKUP(northwind_order_details[[#This Row],[order_id]],northwind_orders[order_id],northwind_orders[ship_country])</f>
        <v>France</v>
      </c>
      <c r="G281">
        <f>INDEX(northwind_orders[],MATCH(northwind_order_details[[#This Row],[order_id]], northwind_orders[order_id], 0), MATCH("employee_id", northwind_orders[#Headers], 0))</f>
        <v>5</v>
      </c>
      <c r="H281">
        <f>northwind_order_details[[#This Row],[unit_price]]*northwind_order_details[[#This Row],[quantity]]</f>
        <v>36</v>
      </c>
      <c r="I281" s="1">
        <f>northwind_order_details[[#This Row],[purchase amount]]*northwind_order_details[[#This Row],[discount]]</f>
        <v>1.8</v>
      </c>
      <c r="J281" s="1">
        <f>northwind_order_details[[#This Row],[purchase amount]]-northwind_order_details[[#This Row],[discount amount]]</f>
        <v>34.200000000000003</v>
      </c>
      <c r="K281" s="6" t="str">
        <f>IF(northwind_order_details[[#This Row],[discount amount]]&gt;0,"Yes","No")</f>
        <v>Yes</v>
      </c>
      <c r="L281" s="1" t="str">
        <f>IF(northwind_order_details[[#This Row],[Revenue]]&gt;1000,"High",IF(northwind_order_details[[#This Row],[Revenue]]&gt;300,"Medium","Low"))</f>
        <v>Low</v>
      </c>
      <c r="M2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2" spans="1:13" x14ac:dyDescent="0.25">
      <c r="A282">
        <v>10358</v>
      </c>
      <c r="B282">
        <v>34</v>
      </c>
      <c r="C282" s="6">
        <v>11.2</v>
      </c>
      <c r="D282">
        <v>10</v>
      </c>
      <c r="E282" s="6">
        <v>0.05</v>
      </c>
      <c r="F282" t="str">
        <f>_xlfn.XLOOKUP(northwind_order_details[[#This Row],[order_id]],northwind_orders[order_id],northwind_orders[ship_country])</f>
        <v>France</v>
      </c>
      <c r="G282">
        <f>INDEX(northwind_orders[],MATCH(northwind_order_details[[#This Row],[order_id]], northwind_orders[order_id], 0), MATCH("employee_id", northwind_orders[#Headers], 0))</f>
        <v>5</v>
      </c>
      <c r="H282">
        <f>northwind_order_details[[#This Row],[unit_price]]*northwind_order_details[[#This Row],[quantity]]</f>
        <v>112</v>
      </c>
      <c r="I282" s="1">
        <f>northwind_order_details[[#This Row],[purchase amount]]*northwind_order_details[[#This Row],[discount]]</f>
        <v>5.6000000000000005</v>
      </c>
      <c r="J282" s="1">
        <f>northwind_order_details[[#This Row],[purchase amount]]-northwind_order_details[[#This Row],[discount amount]]</f>
        <v>106.4</v>
      </c>
      <c r="K282" s="6" t="str">
        <f>IF(northwind_order_details[[#This Row],[discount amount]]&gt;0,"Yes","No")</f>
        <v>Yes</v>
      </c>
      <c r="L282" s="1" t="str">
        <f>IF(northwind_order_details[[#This Row],[Revenue]]&gt;1000,"High",IF(northwind_order_details[[#This Row],[Revenue]]&gt;300,"Medium","Low"))</f>
        <v>Low</v>
      </c>
      <c r="M2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3" spans="1:13" x14ac:dyDescent="0.25">
      <c r="A283">
        <v>10358</v>
      </c>
      <c r="B283">
        <v>36</v>
      </c>
      <c r="C283" s="6">
        <v>15.2</v>
      </c>
      <c r="D283">
        <v>20</v>
      </c>
      <c r="E283" s="6">
        <v>0.05</v>
      </c>
      <c r="F283" t="str">
        <f>_xlfn.XLOOKUP(northwind_order_details[[#This Row],[order_id]],northwind_orders[order_id],northwind_orders[ship_country])</f>
        <v>France</v>
      </c>
      <c r="G283">
        <f>INDEX(northwind_orders[],MATCH(northwind_order_details[[#This Row],[order_id]], northwind_orders[order_id], 0), MATCH("employee_id", northwind_orders[#Headers], 0))</f>
        <v>5</v>
      </c>
      <c r="H283">
        <f>northwind_order_details[[#This Row],[unit_price]]*northwind_order_details[[#This Row],[quantity]]</f>
        <v>304</v>
      </c>
      <c r="I283" s="1">
        <f>northwind_order_details[[#This Row],[purchase amount]]*northwind_order_details[[#This Row],[discount]]</f>
        <v>15.200000000000001</v>
      </c>
      <c r="J283" s="1">
        <f>northwind_order_details[[#This Row],[purchase amount]]-northwind_order_details[[#This Row],[discount amount]]</f>
        <v>288.8</v>
      </c>
      <c r="K283" s="6" t="str">
        <f>IF(northwind_order_details[[#This Row],[discount amount]]&gt;0,"Yes","No")</f>
        <v>Yes</v>
      </c>
      <c r="L283" s="1" t="str">
        <f>IF(northwind_order_details[[#This Row],[Revenue]]&gt;1000,"High",IF(northwind_order_details[[#This Row],[Revenue]]&gt;300,"Medium","Low"))</f>
        <v>Low</v>
      </c>
      <c r="M2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4" spans="1:13" x14ac:dyDescent="0.25">
      <c r="A284">
        <v>10359</v>
      </c>
      <c r="B284">
        <v>16</v>
      </c>
      <c r="C284" s="6">
        <v>13.9</v>
      </c>
      <c r="D284">
        <v>56</v>
      </c>
      <c r="E284" s="6">
        <v>0.05</v>
      </c>
      <c r="F284" t="str">
        <f>_xlfn.XLOOKUP(northwind_order_details[[#This Row],[order_id]],northwind_orders[order_id],northwind_orders[ship_country])</f>
        <v>UK</v>
      </c>
      <c r="G284">
        <f>INDEX(northwind_orders[],MATCH(northwind_order_details[[#This Row],[order_id]], northwind_orders[order_id], 0), MATCH("employee_id", northwind_orders[#Headers], 0))</f>
        <v>5</v>
      </c>
      <c r="H284">
        <f>northwind_order_details[[#This Row],[unit_price]]*northwind_order_details[[#This Row],[quantity]]</f>
        <v>778.4</v>
      </c>
      <c r="I284" s="1">
        <f>northwind_order_details[[#This Row],[purchase amount]]*northwind_order_details[[#This Row],[discount]]</f>
        <v>38.92</v>
      </c>
      <c r="J284" s="1">
        <f>northwind_order_details[[#This Row],[purchase amount]]-northwind_order_details[[#This Row],[discount amount]]</f>
        <v>739.48</v>
      </c>
      <c r="K284" s="6" t="str">
        <f>IF(northwind_order_details[[#This Row],[discount amount]]&gt;0,"Yes","No")</f>
        <v>Yes</v>
      </c>
      <c r="L284" s="1" t="str">
        <f>IF(northwind_order_details[[#This Row],[Revenue]]&gt;1000,"High",IF(northwind_order_details[[#This Row],[Revenue]]&gt;300,"Medium","Low"))</f>
        <v>Medium</v>
      </c>
      <c r="M2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5" spans="1:13" x14ac:dyDescent="0.25">
      <c r="A285">
        <v>10359</v>
      </c>
      <c r="B285">
        <v>31</v>
      </c>
      <c r="C285" s="6" t="s">
        <v>8</v>
      </c>
      <c r="D285">
        <v>70</v>
      </c>
      <c r="E285" s="6">
        <v>0.05</v>
      </c>
      <c r="F285" t="str">
        <f>_xlfn.XLOOKUP(northwind_order_details[[#This Row],[order_id]],northwind_orders[order_id],northwind_orders[ship_country])</f>
        <v>UK</v>
      </c>
      <c r="G285">
        <f>INDEX(northwind_orders[],MATCH(northwind_order_details[[#This Row],[order_id]], northwind_orders[order_id], 0), MATCH("employee_id", northwind_orders[#Headers], 0))</f>
        <v>5</v>
      </c>
      <c r="H285">
        <f>northwind_order_details[[#This Row],[unit_price]]*northwind_order_details[[#This Row],[quantity]]</f>
        <v>700</v>
      </c>
      <c r="I285" s="1">
        <f>northwind_order_details[[#This Row],[purchase amount]]*northwind_order_details[[#This Row],[discount]]</f>
        <v>35</v>
      </c>
      <c r="J285" s="1">
        <f>northwind_order_details[[#This Row],[purchase amount]]-northwind_order_details[[#This Row],[discount amount]]</f>
        <v>665</v>
      </c>
      <c r="K285" s="6" t="str">
        <f>IF(northwind_order_details[[#This Row],[discount amount]]&gt;0,"Yes","No")</f>
        <v>Yes</v>
      </c>
      <c r="L285" s="1" t="str">
        <f>IF(northwind_order_details[[#This Row],[Revenue]]&gt;1000,"High",IF(northwind_order_details[[#This Row],[Revenue]]&gt;300,"Medium","Low"))</f>
        <v>Medium</v>
      </c>
      <c r="M2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6" spans="1:13" x14ac:dyDescent="0.25">
      <c r="A286">
        <v>10359</v>
      </c>
      <c r="B286">
        <v>60</v>
      </c>
      <c r="C286" s="6">
        <v>27.2</v>
      </c>
      <c r="D286">
        <v>80</v>
      </c>
      <c r="E286" s="6">
        <v>0.05</v>
      </c>
      <c r="F286" t="str">
        <f>_xlfn.XLOOKUP(northwind_order_details[[#This Row],[order_id]],northwind_orders[order_id],northwind_orders[ship_country])</f>
        <v>UK</v>
      </c>
      <c r="G286">
        <f>INDEX(northwind_orders[],MATCH(northwind_order_details[[#This Row],[order_id]], northwind_orders[order_id], 0), MATCH("employee_id", northwind_orders[#Headers], 0))</f>
        <v>5</v>
      </c>
      <c r="H286">
        <f>northwind_order_details[[#This Row],[unit_price]]*northwind_order_details[[#This Row],[quantity]]</f>
        <v>2176</v>
      </c>
      <c r="I286" s="1">
        <f>northwind_order_details[[#This Row],[purchase amount]]*northwind_order_details[[#This Row],[discount]]</f>
        <v>108.80000000000001</v>
      </c>
      <c r="J286" s="1">
        <f>northwind_order_details[[#This Row],[purchase amount]]-northwind_order_details[[#This Row],[discount amount]]</f>
        <v>2067.1999999999998</v>
      </c>
      <c r="K286" s="6" t="str">
        <f>IF(northwind_order_details[[#This Row],[discount amount]]&gt;0,"Yes","No")</f>
        <v>Yes</v>
      </c>
      <c r="L286" s="1" t="str">
        <f>IF(northwind_order_details[[#This Row],[Revenue]]&gt;1000,"High",IF(northwind_order_details[[#This Row],[Revenue]]&gt;300,"Medium","Low"))</f>
        <v>High</v>
      </c>
      <c r="M2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7" spans="1:13" x14ac:dyDescent="0.25">
      <c r="A287">
        <v>10360</v>
      </c>
      <c r="B287">
        <v>28</v>
      </c>
      <c r="C287" s="6">
        <v>36.4</v>
      </c>
      <c r="D287">
        <v>30</v>
      </c>
      <c r="E287" s="6" t="s">
        <v>6</v>
      </c>
      <c r="F287" t="str">
        <f>_xlfn.XLOOKUP(northwind_order_details[[#This Row],[order_id]],northwind_orders[order_id],northwind_orders[ship_country])</f>
        <v>France</v>
      </c>
      <c r="G287">
        <f>INDEX(northwind_orders[],MATCH(northwind_order_details[[#This Row],[order_id]], northwind_orders[order_id], 0), MATCH("employee_id", northwind_orders[#Headers], 0))</f>
        <v>4</v>
      </c>
      <c r="H287">
        <f>northwind_order_details[[#This Row],[unit_price]]*northwind_order_details[[#This Row],[quantity]]</f>
        <v>1092</v>
      </c>
      <c r="I287" s="1">
        <f>northwind_order_details[[#This Row],[purchase amount]]*northwind_order_details[[#This Row],[discount]]</f>
        <v>0</v>
      </c>
      <c r="J287" s="1">
        <f>northwind_order_details[[#This Row],[purchase amount]]-northwind_order_details[[#This Row],[discount amount]]</f>
        <v>1092</v>
      </c>
      <c r="K287" s="6" t="str">
        <f>IF(northwind_order_details[[#This Row],[discount amount]]&gt;0,"Yes","No")</f>
        <v>No</v>
      </c>
      <c r="L287" s="1" t="str">
        <f>IF(northwind_order_details[[#This Row],[Revenue]]&gt;1000,"High",IF(northwind_order_details[[#This Row],[Revenue]]&gt;300,"Medium","Low"))</f>
        <v>High</v>
      </c>
      <c r="M2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8" spans="1:13" x14ac:dyDescent="0.25">
      <c r="A288">
        <v>10360</v>
      </c>
      <c r="B288">
        <v>29</v>
      </c>
      <c r="C288" s="6" t="s">
        <v>15</v>
      </c>
      <c r="D288">
        <v>35</v>
      </c>
      <c r="E288" s="6" t="s">
        <v>6</v>
      </c>
      <c r="F288" t="str">
        <f>_xlfn.XLOOKUP(northwind_order_details[[#This Row],[order_id]],northwind_orders[order_id],northwind_orders[ship_country])</f>
        <v>France</v>
      </c>
      <c r="G288">
        <f>INDEX(northwind_orders[],MATCH(northwind_order_details[[#This Row],[order_id]], northwind_orders[order_id], 0), MATCH("employee_id", northwind_orders[#Headers], 0))</f>
        <v>4</v>
      </c>
      <c r="H288">
        <f>northwind_order_details[[#This Row],[unit_price]]*northwind_order_details[[#This Row],[quantity]]</f>
        <v>3465</v>
      </c>
      <c r="I288" s="1">
        <f>northwind_order_details[[#This Row],[purchase amount]]*northwind_order_details[[#This Row],[discount]]</f>
        <v>0</v>
      </c>
      <c r="J288" s="1">
        <f>northwind_order_details[[#This Row],[purchase amount]]-northwind_order_details[[#This Row],[discount amount]]</f>
        <v>3465</v>
      </c>
      <c r="K288" s="6" t="str">
        <f>IF(northwind_order_details[[#This Row],[discount amount]]&gt;0,"Yes","No")</f>
        <v>No</v>
      </c>
      <c r="L288" s="1" t="str">
        <f>IF(northwind_order_details[[#This Row],[Revenue]]&gt;1000,"High",IF(northwind_order_details[[#This Row],[Revenue]]&gt;300,"Medium","Low"))</f>
        <v>High</v>
      </c>
      <c r="M2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89" spans="1:13" x14ac:dyDescent="0.25">
      <c r="A289">
        <v>10360</v>
      </c>
      <c r="B289">
        <v>38</v>
      </c>
      <c r="C289" s="6">
        <v>210.8</v>
      </c>
      <c r="D289">
        <v>10</v>
      </c>
      <c r="E289" s="6" t="s">
        <v>6</v>
      </c>
      <c r="F289" t="str">
        <f>_xlfn.XLOOKUP(northwind_order_details[[#This Row],[order_id]],northwind_orders[order_id],northwind_orders[ship_country])</f>
        <v>France</v>
      </c>
      <c r="G289">
        <f>INDEX(northwind_orders[],MATCH(northwind_order_details[[#This Row],[order_id]], northwind_orders[order_id], 0), MATCH("employee_id", northwind_orders[#Headers], 0))</f>
        <v>4</v>
      </c>
      <c r="H289">
        <f>northwind_order_details[[#This Row],[unit_price]]*northwind_order_details[[#This Row],[quantity]]</f>
        <v>2108</v>
      </c>
      <c r="I289" s="1">
        <f>northwind_order_details[[#This Row],[purchase amount]]*northwind_order_details[[#This Row],[discount]]</f>
        <v>0</v>
      </c>
      <c r="J289" s="1">
        <f>northwind_order_details[[#This Row],[purchase amount]]-northwind_order_details[[#This Row],[discount amount]]</f>
        <v>2108</v>
      </c>
      <c r="K289" s="6" t="str">
        <f>IF(northwind_order_details[[#This Row],[discount amount]]&gt;0,"Yes","No")</f>
        <v>No</v>
      </c>
      <c r="L289" s="1" t="str">
        <f>IF(northwind_order_details[[#This Row],[Revenue]]&gt;1000,"High",IF(northwind_order_details[[#This Row],[Revenue]]&gt;300,"Medium","Low"))</f>
        <v>High</v>
      </c>
      <c r="M2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0" spans="1:13" x14ac:dyDescent="0.25">
      <c r="A290">
        <v>10360</v>
      </c>
      <c r="B290">
        <v>49</v>
      </c>
      <c r="C290" s="6" t="s">
        <v>9</v>
      </c>
      <c r="D290">
        <v>35</v>
      </c>
      <c r="E290" s="6" t="s">
        <v>6</v>
      </c>
      <c r="F290" t="str">
        <f>_xlfn.XLOOKUP(northwind_order_details[[#This Row],[order_id]],northwind_orders[order_id],northwind_orders[ship_country])</f>
        <v>France</v>
      </c>
      <c r="G290">
        <f>INDEX(northwind_orders[],MATCH(northwind_order_details[[#This Row],[order_id]], northwind_orders[order_id], 0), MATCH("employee_id", northwind_orders[#Headers], 0))</f>
        <v>4</v>
      </c>
      <c r="H290">
        <f>northwind_order_details[[#This Row],[unit_price]]*northwind_order_details[[#This Row],[quantity]]</f>
        <v>560</v>
      </c>
      <c r="I290" s="1">
        <f>northwind_order_details[[#This Row],[purchase amount]]*northwind_order_details[[#This Row],[discount]]</f>
        <v>0</v>
      </c>
      <c r="J290" s="1">
        <f>northwind_order_details[[#This Row],[purchase amount]]-northwind_order_details[[#This Row],[discount amount]]</f>
        <v>560</v>
      </c>
      <c r="K290" s="6" t="str">
        <f>IF(northwind_order_details[[#This Row],[discount amount]]&gt;0,"Yes","No")</f>
        <v>No</v>
      </c>
      <c r="L290" s="1" t="str">
        <f>IF(northwind_order_details[[#This Row],[Revenue]]&gt;1000,"High",IF(northwind_order_details[[#This Row],[Revenue]]&gt;300,"Medium","Low"))</f>
        <v>Medium</v>
      </c>
      <c r="M2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1" spans="1:13" x14ac:dyDescent="0.25">
      <c r="A291">
        <v>10360</v>
      </c>
      <c r="B291">
        <v>54</v>
      </c>
      <c r="C291" s="6">
        <v>5.9</v>
      </c>
      <c r="D291">
        <v>28</v>
      </c>
      <c r="E291" s="6" t="s">
        <v>6</v>
      </c>
      <c r="F291" t="str">
        <f>_xlfn.XLOOKUP(northwind_order_details[[#This Row],[order_id]],northwind_orders[order_id],northwind_orders[ship_country])</f>
        <v>France</v>
      </c>
      <c r="G291">
        <f>INDEX(northwind_orders[],MATCH(northwind_order_details[[#This Row],[order_id]], northwind_orders[order_id], 0), MATCH("employee_id", northwind_orders[#Headers], 0))</f>
        <v>4</v>
      </c>
      <c r="H291">
        <f>northwind_order_details[[#This Row],[unit_price]]*northwind_order_details[[#This Row],[quantity]]</f>
        <v>165.20000000000002</v>
      </c>
      <c r="I291" s="1">
        <f>northwind_order_details[[#This Row],[purchase amount]]*northwind_order_details[[#This Row],[discount]]</f>
        <v>0</v>
      </c>
      <c r="J291" s="1">
        <f>northwind_order_details[[#This Row],[purchase amount]]-northwind_order_details[[#This Row],[discount amount]]</f>
        <v>165.20000000000002</v>
      </c>
      <c r="K291" s="6" t="str">
        <f>IF(northwind_order_details[[#This Row],[discount amount]]&gt;0,"Yes","No")</f>
        <v>No</v>
      </c>
      <c r="L291" s="1" t="str">
        <f>IF(northwind_order_details[[#This Row],[Revenue]]&gt;1000,"High",IF(northwind_order_details[[#This Row],[Revenue]]&gt;300,"Medium","Low"))</f>
        <v>Low</v>
      </c>
      <c r="M2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2" spans="1:13" x14ac:dyDescent="0.25">
      <c r="A292">
        <v>10361</v>
      </c>
      <c r="B292">
        <v>39</v>
      </c>
      <c r="C292" s="6">
        <v>14.4</v>
      </c>
      <c r="D292">
        <v>54</v>
      </c>
      <c r="E292" s="6">
        <v>0.1</v>
      </c>
      <c r="F292" t="str">
        <f>_xlfn.XLOOKUP(northwind_order_details[[#This Row],[order_id]],northwind_orders[order_id],northwind_orders[ship_country])</f>
        <v>Germany</v>
      </c>
      <c r="G292">
        <f>INDEX(northwind_orders[],MATCH(northwind_order_details[[#This Row],[order_id]], northwind_orders[order_id], 0), MATCH("employee_id", northwind_orders[#Headers], 0))</f>
        <v>1</v>
      </c>
      <c r="H292">
        <f>northwind_order_details[[#This Row],[unit_price]]*northwind_order_details[[#This Row],[quantity]]</f>
        <v>777.6</v>
      </c>
      <c r="I292" s="1">
        <f>northwind_order_details[[#This Row],[purchase amount]]*northwind_order_details[[#This Row],[discount]]</f>
        <v>77.760000000000005</v>
      </c>
      <c r="J292" s="1">
        <f>northwind_order_details[[#This Row],[purchase amount]]-northwind_order_details[[#This Row],[discount amount]]</f>
        <v>699.84</v>
      </c>
      <c r="K292" s="6" t="str">
        <f>IF(northwind_order_details[[#This Row],[discount amount]]&gt;0,"Yes","No")</f>
        <v>Yes</v>
      </c>
      <c r="L292" s="1" t="str">
        <f>IF(northwind_order_details[[#This Row],[Revenue]]&gt;1000,"High",IF(northwind_order_details[[#This Row],[Revenue]]&gt;300,"Medium","Low"))</f>
        <v>Medium</v>
      </c>
      <c r="M2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3" spans="1:13" x14ac:dyDescent="0.25">
      <c r="A293">
        <v>10361</v>
      </c>
      <c r="B293">
        <v>60</v>
      </c>
      <c r="C293" s="6">
        <v>27.2</v>
      </c>
      <c r="D293">
        <v>55</v>
      </c>
      <c r="E293" s="6">
        <v>0.1</v>
      </c>
      <c r="F293" t="str">
        <f>_xlfn.XLOOKUP(northwind_order_details[[#This Row],[order_id]],northwind_orders[order_id],northwind_orders[ship_country])</f>
        <v>Germany</v>
      </c>
      <c r="G293">
        <f>INDEX(northwind_orders[],MATCH(northwind_order_details[[#This Row],[order_id]], northwind_orders[order_id], 0), MATCH("employee_id", northwind_orders[#Headers], 0))</f>
        <v>1</v>
      </c>
      <c r="H293">
        <f>northwind_order_details[[#This Row],[unit_price]]*northwind_order_details[[#This Row],[quantity]]</f>
        <v>1496</v>
      </c>
      <c r="I293" s="1">
        <f>northwind_order_details[[#This Row],[purchase amount]]*northwind_order_details[[#This Row],[discount]]</f>
        <v>149.6</v>
      </c>
      <c r="J293" s="1">
        <f>northwind_order_details[[#This Row],[purchase amount]]-northwind_order_details[[#This Row],[discount amount]]</f>
        <v>1346.4</v>
      </c>
      <c r="K293" s="6" t="str">
        <f>IF(northwind_order_details[[#This Row],[discount amount]]&gt;0,"Yes","No")</f>
        <v>Yes</v>
      </c>
      <c r="L293" s="1" t="str">
        <f>IF(northwind_order_details[[#This Row],[Revenue]]&gt;1000,"High",IF(northwind_order_details[[#This Row],[Revenue]]&gt;300,"Medium","Low"))</f>
        <v>High</v>
      </c>
      <c r="M2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4" spans="1:13" x14ac:dyDescent="0.25">
      <c r="A294">
        <v>10362</v>
      </c>
      <c r="B294">
        <v>25</v>
      </c>
      <c r="C294" s="6">
        <v>11.2</v>
      </c>
      <c r="D294">
        <v>50</v>
      </c>
      <c r="E294" s="6" t="s">
        <v>6</v>
      </c>
      <c r="F294" t="str">
        <f>_xlfn.XLOOKUP(northwind_order_details[[#This Row],[order_id]],northwind_orders[order_id],northwind_orders[ship_country])</f>
        <v>France</v>
      </c>
      <c r="G294">
        <f>INDEX(northwind_orders[],MATCH(northwind_order_details[[#This Row],[order_id]], northwind_orders[order_id], 0), MATCH("employee_id", northwind_orders[#Headers], 0))</f>
        <v>3</v>
      </c>
      <c r="H294">
        <f>northwind_order_details[[#This Row],[unit_price]]*northwind_order_details[[#This Row],[quantity]]</f>
        <v>560</v>
      </c>
      <c r="I294" s="1">
        <f>northwind_order_details[[#This Row],[purchase amount]]*northwind_order_details[[#This Row],[discount]]</f>
        <v>0</v>
      </c>
      <c r="J294" s="1">
        <f>northwind_order_details[[#This Row],[purchase amount]]-northwind_order_details[[#This Row],[discount amount]]</f>
        <v>560</v>
      </c>
      <c r="K294" s="6" t="str">
        <f>IF(northwind_order_details[[#This Row],[discount amount]]&gt;0,"Yes","No")</f>
        <v>No</v>
      </c>
      <c r="L294" s="1" t="str">
        <f>IF(northwind_order_details[[#This Row],[Revenue]]&gt;1000,"High",IF(northwind_order_details[[#This Row],[Revenue]]&gt;300,"Medium","Low"))</f>
        <v>Medium</v>
      </c>
      <c r="M2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5" spans="1:13" x14ac:dyDescent="0.25">
      <c r="A295">
        <v>10362</v>
      </c>
      <c r="B295">
        <v>51</v>
      </c>
      <c r="C295" s="6">
        <v>42.4</v>
      </c>
      <c r="D295">
        <v>20</v>
      </c>
      <c r="E295" s="6" t="s">
        <v>6</v>
      </c>
      <c r="F295" t="str">
        <f>_xlfn.XLOOKUP(northwind_order_details[[#This Row],[order_id]],northwind_orders[order_id],northwind_orders[ship_country])</f>
        <v>France</v>
      </c>
      <c r="G295">
        <f>INDEX(northwind_orders[],MATCH(northwind_order_details[[#This Row],[order_id]], northwind_orders[order_id], 0), MATCH("employee_id", northwind_orders[#Headers], 0))</f>
        <v>3</v>
      </c>
      <c r="H295">
        <f>northwind_order_details[[#This Row],[unit_price]]*northwind_order_details[[#This Row],[quantity]]</f>
        <v>848</v>
      </c>
      <c r="I295" s="1">
        <f>northwind_order_details[[#This Row],[purchase amount]]*northwind_order_details[[#This Row],[discount]]</f>
        <v>0</v>
      </c>
      <c r="J295" s="1">
        <f>northwind_order_details[[#This Row],[purchase amount]]-northwind_order_details[[#This Row],[discount amount]]</f>
        <v>848</v>
      </c>
      <c r="K295" s="6" t="str">
        <f>IF(northwind_order_details[[#This Row],[discount amount]]&gt;0,"Yes","No")</f>
        <v>No</v>
      </c>
      <c r="L295" s="1" t="str">
        <f>IF(northwind_order_details[[#This Row],[Revenue]]&gt;1000,"High",IF(northwind_order_details[[#This Row],[Revenue]]&gt;300,"Medium","Low"))</f>
        <v>Medium</v>
      </c>
      <c r="M2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6" spans="1:13" x14ac:dyDescent="0.25">
      <c r="A296">
        <v>10362</v>
      </c>
      <c r="B296">
        <v>54</v>
      </c>
      <c r="C296" s="6">
        <v>5.9</v>
      </c>
      <c r="D296">
        <v>24</v>
      </c>
      <c r="E296" s="6" t="s">
        <v>6</v>
      </c>
      <c r="F296" t="str">
        <f>_xlfn.XLOOKUP(northwind_order_details[[#This Row],[order_id]],northwind_orders[order_id],northwind_orders[ship_country])</f>
        <v>France</v>
      </c>
      <c r="G296">
        <f>INDEX(northwind_orders[],MATCH(northwind_order_details[[#This Row],[order_id]], northwind_orders[order_id], 0), MATCH("employee_id", northwind_orders[#Headers], 0))</f>
        <v>3</v>
      </c>
      <c r="H296">
        <f>northwind_order_details[[#This Row],[unit_price]]*northwind_order_details[[#This Row],[quantity]]</f>
        <v>141.60000000000002</v>
      </c>
      <c r="I296" s="1">
        <f>northwind_order_details[[#This Row],[purchase amount]]*northwind_order_details[[#This Row],[discount]]</f>
        <v>0</v>
      </c>
      <c r="J296" s="1">
        <f>northwind_order_details[[#This Row],[purchase amount]]-northwind_order_details[[#This Row],[discount amount]]</f>
        <v>141.60000000000002</v>
      </c>
      <c r="K296" s="6" t="str">
        <f>IF(northwind_order_details[[#This Row],[discount amount]]&gt;0,"Yes","No")</f>
        <v>No</v>
      </c>
      <c r="L296" s="1" t="str">
        <f>IF(northwind_order_details[[#This Row],[Revenue]]&gt;1000,"High",IF(northwind_order_details[[#This Row],[Revenue]]&gt;300,"Medium","Low"))</f>
        <v>Low</v>
      </c>
      <c r="M2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7" spans="1:13" x14ac:dyDescent="0.25">
      <c r="A297">
        <v>10363</v>
      </c>
      <c r="B297">
        <v>31</v>
      </c>
      <c r="C297" s="6" t="s">
        <v>8</v>
      </c>
      <c r="D297">
        <v>20</v>
      </c>
      <c r="E297" s="6" t="s">
        <v>6</v>
      </c>
      <c r="F297" t="str">
        <f>_xlfn.XLOOKUP(northwind_order_details[[#This Row],[order_id]],northwind_orders[order_id],northwind_orders[ship_country])</f>
        <v>Germany</v>
      </c>
      <c r="G297">
        <f>INDEX(northwind_orders[],MATCH(northwind_order_details[[#This Row],[order_id]], northwind_orders[order_id], 0), MATCH("employee_id", northwind_orders[#Headers], 0))</f>
        <v>4</v>
      </c>
      <c r="H297">
        <f>northwind_order_details[[#This Row],[unit_price]]*northwind_order_details[[#This Row],[quantity]]</f>
        <v>200</v>
      </c>
      <c r="I297" s="1">
        <f>northwind_order_details[[#This Row],[purchase amount]]*northwind_order_details[[#This Row],[discount]]</f>
        <v>0</v>
      </c>
      <c r="J297" s="1">
        <f>northwind_order_details[[#This Row],[purchase amount]]-northwind_order_details[[#This Row],[discount amount]]</f>
        <v>200</v>
      </c>
      <c r="K297" s="6" t="str">
        <f>IF(northwind_order_details[[#This Row],[discount amount]]&gt;0,"Yes","No")</f>
        <v>No</v>
      </c>
      <c r="L297" s="1" t="str">
        <f>IF(northwind_order_details[[#This Row],[Revenue]]&gt;1000,"High",IF(northwind_order_details[[#This Row],[Revenue]]&gt;300,"Medium","Low"))</f>
        <v>Low</v>
      </c>
      <c r="M2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8" spans="1:13" x14ac:dyDescent="0.25">
      <c r="A298">
        <v>10363</v>
      </c>
      <c r="B298">
        <v>75</v>
      </c>
      <c r="C298" s="6">
        <v>6.2</v>
      </c>
      <c r="D298">
        <v>12</v>
      </c>
      <c r="E298" s="6" t="s">
        <v>6</v>
      </c>
      <c r="F298" t="str">
        <f>_xlfn.XLOOKUP(northwind_order_details[[#This Row],[order_id]],northwind_orders[order_id],northwind_orders[ship_country])</f>
        <v>Germany</v>
      </c>
      <c r="G298">
        <f>INDEX(northwind_orders[],MATCH(northwind_order_details[[#This Row],[order_id]], northwind_orders[order_id], 0), MATCH("employee_id", northwind_orders[#Headers], 0))</f>
        <v>4</v>
      </c>
      <c r="H298">
        <f>northwind_order_details[[#This Row],[unit_price]]*northwind_order_details[[#This Row],[quantity]]</f>
        <v>74.400000000000006</v>
      </c>
      <c r="I298" s="1">
        <f>northwind_order_details[[#This Row],[purchase amount]]*northwind_order_details[[#This Row],[discount]]</f>
        <v>0</v>
      </c>
      <c r="J298" s="1">
        <f>northwind_order_details[[#This Row],[purchase amount]]-northwind_order_details[[#This Row],[discount amount]]</f>
        <v>74.400000000000006</v>
      </c>
      <c r="K298" s="6" t="str">
        <f>IF(northwind_order_details[[#This Row],[discount amount]]&gt;0,"Yes","No")</f>
        <v>No</v>
      </c>
      <c r="L298" s="1" t="str">
        <f>IF(northwind_order_details[[#This Row],[Revenue]]&gt;1000,"High",IF(northwind_order_details[[#This Row],[Revenue]]&gt;300,"Medium","Low"))</f>
        <v>Low</v>
      </c>
      <c r="M2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99" spans="1:13" x14ac:dyDescent="0.25">
      <c r="A299">
        <v>10363</v>
      </c>
      <c r="B299">
        <v>76</v>
      </c>
      <c r="C299" s="6">
        <v>14.4</v>
      </c>
      <c r="D299">
        <v>12</v>
      </c>
      <c r="E299" s="6" t="s">
        <v>6</v>
      </c>
      <c r="F299" t="str">
        <f>_xlfn.XLOOKUP(northwind_order_details[[#This Row],[order_id]],northwind_orders[order_id],northwind_orders[ship_country])</f>
        <v>Germany</v>
      </c>
      <c r="G299">
        <f>INDEX(northwind_orders[],MATCH(northwind_order_details[[#This Row],[order_id]], northwind_orders[order_id], 0), MATCH("employee_id", northwind_orders[#Headers], 0))</f>
        <v>4</v>
      </c>
      <c r="H299">
        <f>northwind_order_details[[#This Row],[unit_price]]*northwind_order_details[[#This Row],[quantity]]</f>
        <v>172.8</v>
      </c>
      <c r="I299" s="1">
        <f>northwind_order_details[[#This Row],[purchase amount]]*northwind_order_details[[#This Row],[discount]]</f>
        <v>0</v>
      </c>
      <c r="J299" s="1">
        <f>northwind_order_details[[#This Row],[purchase amount]]-northwind_order_details[[#This Row],[discount amount]]</f>
        <v>172.8</v>
      </c>
      <c r="K299" s="6" t="str">
        <f>IF(northwind_order_details[[#This Row],[discount amount]]&gt;0,"Yes","No")</f>
        <v>No</v>
      </c>
      <c r="L299" s="1" t="str">
        <f>IF(northwind_order_details[[#This Row],[Revenue]]&gt;1000,"High",IF(northwind_order_details[[#This Row],[Revenue]]&gt;300,"Medium","Low"))</f>
        <v>Low</v>
      </c>
      <c r="M2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0" spans="1:13" x14ac:dyDescent="0.25">
      <c r="A300">
        <v>10364</v>
      </c>
      <c r="B300">
        <v>69</v>
      </c>
      <c r="C300" s="6">
        <v>28.8</v>
      </c>
      <c r="D300">
        <v>30</v>
      </c>
      <c r="E300" s="6" t="s">
        <v>6</v>
      </c>
      <c r="F300" t="str">
        <f>_xlfn.XLOOKUP(northwind_order_details[[#This Row],[order_id]],northwind_orders[order_id],northwind_orders[ship_country])</f>
        <v>UK</v>
      </c>
      <c r="G300">
        <f>INDEX(northwind_orders[],MATCH(northwind_order_details[[#This Row],[order_id]], northwind_orders[order_id], 0), MATCH("employee_id", northwind_orders[#Headers], 0))</f>
        <v>1</v>
      </c>
      <c r="H300">
        <f>northwind_order_details[[#This Row],[unit_price]]*northwind_order_details[[#This Row],[quantity]]</f>
        <v>864</v>
      </c>
      <c r="I300" s="1">
        <f>northwind_order_details[[#This Row],[purchase amount]]*northwind_order_details[[#This Row],[discount]]</f>
        <v>0</v>
      </c>
      <c r="J300" s="1">
        <f>northwind_order_details[[#This Row],[purchase amount]]-northwind_order_details[[#This Row],[discount amount]]</f>
        <v>864</v>
      </c>
      <c r="K300" s="6" t="str">
        <f>IF(northwind_order_details[[#This Row],[discount amount]]&gt;0,"Yes","No")</f>
        <v>No</v>
      </c>
      <c r="L300" s="1" t="str">
        <f>IF(northwind_order_details[[#This Row],[Revenue]]&gt;1000,"High",IF(northwind_order_details[[#This Row],[Revenue]]&gt;300,"Medium","Low"))</f>
        <v>Medium</v>
      </c>
      <c r="M3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1" spans="1:13" x14ac:dyDescent="0.25">
      <c r="A301">
        <v>10364</v>
      </c>
      <c r="B301">
        <v>71</v>
      </c>
      <c r="C301" s="6">
        <v>17.2</v>
      </c>
      <c r="D301">
        <v>5</v>
      </c>
      <c r="E301" s="6" t="s">
        <v>6</v>
      </c>
      <c r="F301" t="str">
        <f>_xlfn.XLOOKUP(northwind_order_details[[#This Row],[order_id]],northwind_orders[order_id],northwind_orders[ship_country])</f>
        <v>UK</v>
      </c>
      <c r="G301">
        <f>INDEX(northwind_orders[],MATCH(northwind_order_details[[#This Row],[order_id]], northwind_orders[order_id], 0), MATCH("employee_id", northwind_orders[#Headers], 0))</f>
        <v>1</v>
      </c>
      <c r="H301">
        <f>northwind_order_details[[#This Row],[unit_price]]*northwind_order_details[[#This Row],[quantity]]</f>
        <v>86</v>
      </c>
      <c r="I301" s="1">
        <f>northwind_order_details[[#This Row],[purchase amount]]*northwind_order_details[[#This Row],[discount]]</f>
        <v>0</v>
      </c>
      <c r="J301" s="1">
        <f>northwind_order_details[[#This Row],[purchase amount]]-northwind_order_details[[#This Row],[discount amount]]</f>
        <v>86</v>
      </c>
      <c r="K301" s="6" t="str">
        <f>IF(northwind_order_details[[#This Row],[discount amount]]&gt;0,"Yes","No")</f>
        <v>No</v>
      </c>
      <c r="L301" s="1" t="str">
        <f>IF(northwind_order_details[[#This Row],[Revenue]]&gt;1000,"High",IF(northwind_order_details[[#This Row],[Revenue]]&gt;300,"Medium","Low"))</f>
        <v>Low</v>
      </c>
      <c r="M3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2" spans="1:13" x14ac:dyDescent="0.25">
      <c r="A302">
        <v>10365</v>
      </c>
      <c r="B302">
        <v>11</v>
      </c>
      <c r="C302" s="6">
        <v>16.8</v>
      </c>
      <c r="D302">
        <v>24</v>
      </c>
      <c r="E302" s="6" t="s">
        <v>6</v>
      </c>
      <c r="F302" t="str">
        <f>_xlfn.XLOOKUP(northwind_order_details[[#This Row],[order_id]],northwind_orders[order_id],northwind_orders[ship_country])</f>
        <v>Mexico</v>
      </c>
      <c r="G302">
        <f>INDEX(northwind_orders[],MATCH(northwind_order_details[[#This Row],[order_id]], northwind_orders[order_id], 0), MATCH("employee_id", northwind_orders[#Headers], 0))</f>
        <v>3</v>
      </c>
      <c r="H302">
        <f>northwind_order_details[[#This Row],[unit_price]]*northwind_order_details[[#This Row],[quantity]]</f>
        <v>403.20000000000005</v>
      </c>
      <c r="I302" s="1">
        <f>northwind_order_details[[#This Row],[purchase amount]]*northwind_order_details[[#This Row],[discount]]</f>
        <v>0</v>
      </c>
      <c r="J302" s="1">
        <f>northwind_order_details[[#This Row],[purchase amount]]-northwind_order_details[[#This Row],[discount amount]]</f>
        <v>403.20000000000005</v>
      </c>
      <c r="K302" s="6" t="str">
        <f>IF(northwind_order_details[[#This Row],[discount amount]]&gt;0,"Yes","No")</f>
        <v>No</v>
      </c>
      <c r="L302" s="1" t="str">
        <f>IF(northwind_order_details[[#This Row],[Revenue]]&gt;1000,"High",IF(northwind_order_details[[#This Row],[Revenue]]&gt;300,"Medium","Low"))</f>
        <v>Medium</v>
      </c>
      <c r="M3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3" spans="1:13" x14ac:dyDescent="0.25">
      <c r="A303">
        <v>10366</v>
      </c>
      <c r="B303">
        <v>65</v>
      </c>
      <c r="C303" s="6">
        <v>16.8</v>
      </c>
      <c r="D303">
        <v>5</v>
      </c>
      <c r="E303" s="6" t="s">
        <v>6</v>
      </c>
      <c r="F303" t="str">
        <f>_xlfn.XLOOKUP(northwind_order_details[[#This Row],[order_id]],northwind_orders[order_id],northwind_orders[ship_country])</f>
        <v>Spain</v>
      </c>
      <c r="G303">
        <f>INDEX(northwind_orders[],MATCH(northwind_order_details[[#This Row],[order_id]], northwind_orders[order_id], 0), MATCH("employee_id", northwind_orders[#Headers], 0))</f>
        <v>8</v>
      </c>
      <c r="H303">
        <f>northwind_order_details[[#This Row],[unit_price]]*northwind_order_details[[#This Row],[quantity]]</f>
        <v>84</v>
      </c>
      <c r="I303" s="1">
        <f>northwind_order_details[[#This Row],[purchase amount]]*northwind_order_details[[#This Row],[discount]]</f>
        <v>0</v>
      </c>
      <c r="J303" s="1">
        <f>northwind_order_details[[#This Row],[purchase amount]]-northwind_order_details[[#This Row],[discount amount]]</f>
        <v>84</v>
      </c>
      <c r="K303" s="6" t="str">
        <f>IF(northwind_order_details[[#This Row],[discount amount]]&gt;0,"Yes","No")</f>
        <v>No</v>
      </c>
      <c r="L303" s="1" t="str">
        <f>IF(northwind_order_details[[#This Row],[Revenue]]&gt;1000,"High",IF(northwind_order_details[[#This Row],[Revenue]]&gt;300,"Medium","Low"))</f>
        <v>Low</v>
      </c>
      <c r="M3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4" spans="1:13" x14ac:dyDescent="0.25">
      <c r="A304">
        <v>10366</v>
      </c>
      <c r="B304">
        <v>77</v>
      </c>
      <c r="C304" s="6">
        <v>10.4</v>
      </c>
      <c r="D304">
        <v>5</v>
      </c>
      <c r="E304" s="6" t="s">
        <v>6</v>
      </c>
      <c r="F304" t="str">
        <f>_xlfn.XLOOKUP(northwind_order_details[[#This Row],[order_id]],northwind_orders[order_id],northwind_orders[ship_country])</f>
        <v>Spain</v>
      </c>
      <c r="G304">
        <f>INDEX(northwind_orders[],MATCH(northwind_order_details[[#This Row],[order_id]], northwind_orders[order_id], 0), MATCH("employee_id", northwind_orders[#Headers], 0))</f>
        <v>8</v>
      </c>
      <c r="H304">
        <f>northwind_order_details[[#This Row],[unit_price]]*northwind_order_details[[#This Row],[quantity]]</f>
        <v>52</v>
      </c>
      <c r="I304" s="1">
        <f>northwind_order_details[[#This Row],[purchase amount]]*northwind_order_details[[#This Row],[discount]]</f>
        <v>0</v>
      </c>
      <c r="J304" s="1">
        <f>northwind_order_details[[#This Row],[purchase amount]]-northwind_order_details[[#This Row],[discount amount]]</f>
        <v>52</v>
      </c>
      <c r="K304" s="6" t="str">
        <f>IF(northwind_order_details[[#This Row],[discount amount]]&gt;0,"Yes","No")</f>
        <v>No</v>
      </c>
      <c r="L304" s="1" t="str">
        <f>IF(northwind_order_details[[#This Row],[Revenue]]&gt;1000,"High",IF(northwind_order_details[[#This Row],[Revenue]]&gt;300,"Medium","Low"))</f>
        <v>Low</v>
      </c>
      <c r="M3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5" spans="1:13" x14ac:dyDescent="0.25">
      <c r="A305">
        <v>10367</v>
      </c>
      <c r="B305">
        <v>34</v>
      </c>
      <c r="C305" s="6">
        <v>11.2</v>
      </c>
      <c r="D305">
        <v>36</v>
      </c>
      <c r="E305" s="6" t="s">
        <v>6</v>
      </c>
      <c r="F305" t="str">
        <f>_xlfn.XLOOKUP(northwind_order_details[[#This Row],[order_id]],northwind_orders[order_id],northwind_orders[ship_country])</f>
        <v>Denmark</v>
      </c>
      <c r="G305">
        <f>INDEX(northwind_orders[],MATCH(northwind_order_details[[#This Row],[order_id]], northwind_orders[order_id], 0), MATCH("employee_id", northwind_orders[#Headers], 0))</f>
        <v>7</v>
      </c>
      <c r="H305">
        <f>northwind_order_details[[#This Row],[unit_price]]*northwind_order_details[[#This Row],[quantity]]</f>
        <v>403.2</v>
      </c>
      <c r="I305" s="1">
        <f>northwind_order_details[[#This Row],[purchase amount]]*northwind_order_details[[#This Row],[discount]]</f>
        <v>0</v>
      </c>
      <c r="J305" s="1">
        <f>northwind_order_details[[#This Row],[purchase amount]]-northwind_order_details[[#This Row],[discount amount]]</f>
        <v>403.2</v>
      </c>
      <c r="K305" s="6" t="str">
        <f>IF(northwind_order_details[[#This Row],[discount amount]]&gt;0,"Yes","No")</f>
        <v>No</v>
      </c>
      <c r="L305" s="1" t="str">
        <f>IF(northwind_order_details[[#This Row],[Revenue]]&gt;1000,"High",IF(northwind_order_details[[#This Row],[Revenue]]&gt;300,"Medium","Low"))</f>
        <v>Medium</v>
      </c>
      <c r="M3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6" spans="1:13" x14ac:dyDescent="0.25">
      <c r="A306">
        <v>10367</v>
      </c>
      <c r="B306">
        <v>54</v>
      </c>
      <c r="C306" s="6">
        <v>5.9</v>
      </c>
      <c r="D306">
        <v>18</v>
      </c>
      <c r="E306" s="6" t="s">
        <v>6</v>
      </c>
      <c r="F306" t="str">
        <f>_xlfn.XLOOKUP(northwind_order_details[[#This Row],[order_id]],northwind_orders[order_id],northwind_orders[ship_country])</f>
        <v>Denmark</v>
      </c>
      <c r="G306">
        <f>INDEX(northwind_orders[],MATCH(northwind_order_details[[#This Row],[order_id]], northwind_orders[order_id], 0), MATCH("employee_id", northwind_orders[#Headers], 0))</f>
        <v>7</v>
      </c>
      <c r="H306">
        <f>northwind_order_details[[#This Row],[unit_price]]*northwind_order_details[[#This Row],[quantity]]</f>
        <v>106.2</v>
      </c>
      <c r="I306" s="1">
        <f>northwind_order_details[[#This Row],[purchase amount]]*northwind_order_details[[#This Row],[discount]]</f>
        <v>0</v>
      </c>
      <c r="J306" s="1">
        <f>northwind_order_details[[#This Row],[purchase amount]]-northwind_order_details[[#This Row],[discount amount]]</f>
        <v>106.2</v>
      </c>
      <c r="K306" s="6" t="str">
        <f>IF(northwind_order_details[[#This Row],[discount amount]]&gt;0,"Yes","No")</f>
        <v>No</v>
      </c>
      <c r="L306" s="1" t="str">
        <f>IF(northwind_order_details[[#This Row],[Revenue]]&gt;1000,"High",IF(northwind_order_details[[#This Row],[Revenue]]&gt;300,"Medium","Low"))</f>
        <v>Low</v>
      </c>
      <c r="M3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7" spans="1:13" x14ac:dyDescent="0.25">
      <c r="A307">
        <v>10367</v>
      </c>
      <c r="B307">
        <v>65</v>
      </c>
      <c r="C307" s="6">
        <v>16.8</v>
      </c>
      <c r="D307">
        <v>15</v>
      </c>
      <c r="E307" s="6" t="s">
        <v>6</v>
      </c>
      <c r="F307" t="str">
        <f>_xlfn.XLOOKUP(northwind_order_details[[#This Row],[order_id]],northwind_orders[order_id],northwind_orders[ship_country])</f>
        <v>Denmark</v>
      </c>
      <c r="G307">
        <f>INDEX(northwind_orders[],MATCH(northwind_order_details[[#This Row],[order_id]], northwind_orders[order_id], 0), MATCH("employee_id", northwind_orders[#Headers], 0))</f>
        <v>7</v>
      </c>
      <c r="H307">
        <f>northwind_order_details[[#This Row],[unit_price]]*northwind_order_details[[#This Row],[quantity]]</f>
        <v>252</v>
      </c>
      <c r="I307" s="1">
        <f>northwind_order_details[[#This Row],[purchase amount]]*northwind_order_details[[#This Row],[discount]]</f>
        <v>0</v>
      </c>
      <c r="J307" s="1">
        <f>northwind_order_details[[#This Row],[purchase amount]]-northwind_order_details[[#This Row],[discount amount]]</f>
        <v>252</v>
      </c>
      <c r="K307" s="6" t="str">
        <f>IF(northwind_order_details[[#This Row],[discount amount]]&gt;0,"Yes","No")</f>
        <v>No</v>
      </c>
      <c r="L307" s="1" t="str">
        <f>IF(northwind_order_details[[#This Row],[Revenue]]&gt;1000,"High",IF(northwind_order_details[[#This Row],[Revenue]]&gt;300,"Medium","Low"))</f>
        <v>Low</v>
      </c>
      <c r="M3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8" spans="1:13" x14ac:dyDescent="0.25">
      <c r="A308">
        <v>10367</v>
      </c>
      <c r="B308">
        <v>77</v>
      </c>
      <c r="C308" s="6">
        <v>10.4</v>
      </c>
      <c r="D308">
        <v>7</v>
      </c>
      <c r="E308" s="6" t="s">
        <v>6</v>
      </c>
      <c r="F308" t="str">
        <f>_xlfn.XLOOKUP(northwind_order_details[[#This Row],[order_id]],northwind_orders[order_id],northwind_orders[ship_country])</f>
        <v>Denmark</v>
      </c>
      <c r="G308">
        <f>INDEX(northwind_orders[],MATCH(northwind_order_details[[#This Row],[order_id]], northwind_orders[order_id], 0), MATCH("employee_id", northwind_orders[#Headers], 0))</f>
        <v>7</v>
      </c>
      <c r="H308">
        <f>northwind_order_details[[#This Row],[unit_price]]*northwind_order_details[[#This Row],[quantity]]</f>
        <v>72.8</v>
      </c>
      <c r="I308" s="1">
        <f>northwind_order_details[[#This Row],[purchase amount]]*northwind_order_details[[#This Row],[discount]]</f>
        <v>0</v>
      </c>
      <c r="J308" s="1">
        <f>northwind_order_details[[#This Row],[purchase amount]]-northwind_order_details[[#This Row],[discount amount]]</f>
        <v>72.8</v>
      </c>
      <c r="K308" s="6" t="str">
        <f>IF(northwind_order_details[[#This Row],[discount amount]]&gt;0,"Yes","No")</f>
        <v>No</v>
      </c>
      <c r="L308" s="1" t="str">
        <f>IF(northwind_order_details[[#This Row],[Revenue]]&gt;1000,"High",IF(northwind_order_details[[#This Row],[Revenue]]&gt;300,"Medium","Low"))</f>
        <v>Low</v>
      </c>
      <c r="M3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09" spans="1:13" x14ac:dyDescent="0.25">
      <c r="A309">
        <v>10368</v>
      </c>
      <c r="B309">
        <v>21</v>
      </c>
      <c r="C309" s="6" t="s">
        <v>10</v>
      </c>
      <c r="D309">
        <v>5</v>
      </c>
      <c r="E309" s="6">
        <v>0.1</v>
      </c>
      <c r="F309" t="str">
        <f>_xlfn.XLOOKUP(northwind_order_details[[#This Row],[order_id]],northwind_orders[order_id],northwind_orders[ship_country])</f>
        <v>Austria</v>
      </c>
      <c r="G309">
        <f>INDEX(northwind_orders[],MATCH(northwind_order_details[[#This Row],[order_id]], northwind_orders[order_id], 0), MATCH("employee_id", northwind_orders[#Headers], 0))</f>
        <v>2</v>
      </c>
      <c r="H309">
        <f>northwind_order_details[[#This Row],[unit_price]]*northwind_order_details[[#This Row],[quantity]]</f>
        <v>40</v>
      </c>
      <c r="I309" s="1">
        <f>northwind_order_details[[#This Row],[purchase amount]]*northwind_order_details[[#This Row],[discount]]</f>
        <v>4</v>
      </c>
      <c r="J309" s="1">
        <f>northwind_order_details[[#This Row],[purchase amount]]-northwind_order_details[[#This Row],[discount amount]]</f>
        <v>36</v>
      </c>
      <c r="K309" s="6" t="str">
        <f>IF(northwind_order_details[[#This Row],[discount amount]]&gt;0,"Yes","No")</f>
        <v>Yes</v>
      </c>
      <c r="L309" s="1" t="str">
        <f>IF(northwind_order_details[[#This Row],[Revenue]]&gt;1000,"High",IF(northwind_order_details[[#This Row],[Revenue]]&gt;300,"Medium","Low"))</f>
        <v>Low</v>
      </c>
      <c r="M3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0" spans="1:13" x14ac:dyDescent="0.25">
      <c r="A310">
        <v>10368</v>
      </c>
      <c r="B310">
        <v>28</v>
      </c>
      <c r="C310" s="6">
        <v>36.4</v>
      </c>
      <c r="D310">
        <v>13</v>
      </c>
      <c r="E310" s="6">
        <v>0.1</v>
      </c>
      <c r="F310" t="str">
        <f>_xlfn.XLOOKUP(northwind_order_details[[#This Row],[order_id]],northwind_orders[order_id],northwind_orders[ship_country])</f>
        <v>Austria</v>
      </c>
      <c r="G310">
        <f>INDEX(northwind_orders[],MATCH(northwind_order_details[[#This Row],[order_id]], northwind_orders[order_id], 0), MATCH("employee_id", northwind_orders[#Headers], 0))</f>
        <v>2</v>
      </c>
      <c r="H310">
        <f>northwind_order_details[[#This Row],[unit_price]]*northwind_order_details[[#This Row],[quantity]]</f>
        <v>473.2</v>
      </c>
      <c r="I310" s="1">
        <f>northwind_order_details[[#This Row],[purchase amount]]*northwind_order_details[[#This Row],[discount]]</f>
        <v>47.32</v>
      </c>
      <c r="J310" s="1">
        <f>northwind_order_details[[#This Row],[purchase amount]]-northwind_order_details[[#This Row],[discount amount]]</f>
        <v>425.88</v>
      </c>
      <c r="K310" s="6" t="str">
        <f>IF(northwind_order_details[[#This Row],[discount amount]]&gt;0,"Yes","No")</f>
        <v>Yes</v>
      </c>
      <c r="L310" s="1" t="str">
        <f>IF(northwind_order_details[[#This Row],[Revenue]]&gt;1000,"High",IF(northwind_order_details[[#This Row],[Revenue]]&gt;300,"Medium","Low"))</f>
        <v>Medium</v>
      </c>
      <c r="M3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1" spans="1:13" x14ac:dyDescent="0.25">
      <c r="A311">
        <v>10368</v>
      </c>
      <c r="B311">
        <v>57</v>
      </c>
      <c r="C311" s="6">
        <v>15.6</v>
      </c>
      <c r="D311">
        <v>25</v>
      </c>
      <c r="E311" s="6" t="s">
        <v>6</v>
      </c>
      <c r="F311" t="str">
        <f>_xlfn.XLOOKUP(northwind_order_details[[#This Row],[order_id]],northwind_orders[order_id],northwind_orders[ship_country])</f>
        <v>Austria</v>
      </c>
      <c r="G311">
        <f>INDEX(northwind_orders[],MATCH(northwind_order_details[[#This Row],[order_id]], northwind_orders[order_id], 0), MATCH("employee_id", northwind_orders[#Headers], 0))</f>
        <v>2</v>
      </c>
      <c r="H311">
        <f>northwind_order_details[[#This Row],[unit_price]]*northwind_order_details[[#This Row],[quantity]]</f>
        <v>390</v>
      </c>
      <c r="I311" s="1">
        <f>northwind_order_details[[#This Row],[purchase amount]]*northwind_order_details[[#This Row],[discount]]</f>
        <v>0</v>
      </c>
      <c r="J311" s="1">
        <f>northwind_order_details[[#This Row],[purchase amount]]-northwind_order_details[[#This Row],[discount amount]]</f>
        <v>390</v>
      </c>
      <c r="K311" s="6" t="str">
        <f>IF(northwind_order_details[[#This Row],[discount amount]]&gt;0,"Yes","No")</f>
        <v>No</v>
      </c>
      <c r="L311" s="1" t="str">
        <f>IF(northwind_order_details[[#This Row],[Revenue]]&gt;1000,"High",IF(northwind_order_details[[#This Row],[Revenue]]&gt;300,"Medium","Low"))</f>
        <v>Medium</v>
      </c>
      <c r="M3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2" spans="1:13" x14ac:dyDescent="0.25">
      <c r="A312">
        <v>10368</v>
      </c>
      <c r="B312">
        <v>64</v>
      </c>
      <c r="C312" s="6">
        <v>26.6</v>
      </c>
      <c r="D312">
        <v>35</v>
      </c>
      <c r="E312" s="6">
        <v>0.1</v>
      </c>
      <c r="F312" t="str">
        <f>_xlfn.XLOOKUP(northwind_order_details[[#This Row],[order_id]],northwind_orders[order_id],northwind_orders[ship_country])</f>
        <v>Austria</v>
      </c>
      <c r="G312">
        <f>INDEX(northwind_orders[],MATCH(northwind_order_details[[#This Row],[order_id]], northwind_orders[order_id], 0), MATCH("employee_id", northwind_orders[#Headers], 0))</f>
        <v>2</v>
      </c>
      <c r="H312">
        <f>northwind_order_details[[#This Row],[unit_price]]*northwind_order_details[[#This Row],[quantity]]</f>
        <v>931</v>
      </c>
      <c r="I312" s="1">
        <f>northwind_order_details[[#This Row],[purchase amount]]*northwind_order_details[[#This Row],[discount]]</f>
        <v>93.100000000000009</v>
      </c>
      <c r="J312" s="1">
        <f>northwind_order_details[[#This Row],[purchase amount]]-northwind_order_details[[#This Row],[discount amount]]</f>
        <v>837.9</v>
      </c>
      <c r="K312" s="6" t="str">
        <f>IF(northwind_order_details[[#This Row],[discount amount]]&gt;0,"Yes","No")</f>
        <v>Yes</v>
      </c>
      <c r="L312" s="1" t="str">
        <f>IF(northwind_order_details[[#This Row],[Revenue]]&gt;1000,"High",IF(northwind_order_details[[#This Row],[Revenue]]&gt;300,"Medium","Low"))</f>
        <v>Medium</v>
      </c>
      <c r="M3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3" spans="1:13" x14ac:dyDescent="0.25">
      <c r="A313">
        <v>10369</v>
      </c>
      <c r="B313">
        <v>29</v>
      </c>
      <c r="C313" s="6" t="s">
        <v>15</v>
      </c>
      <c r="D313">
        <v>20</v>
      </c>
      <c r="E313" s="6" t="s">
        <v>6</v>
      </c>
      <c r="F313" t="str">
        <f>_xlfn.XLOOKUP(northwind_order_details[[#This Row],[order_id]],northwind_orders[order_id],northwind_orders[ship_country])</f>
        <v>USA</v>
      </c>
      <c r="G313">
        <f>INDEX(northwind_orders[],MATCH(northwind_order_details[[#This Row],[order_id]], northwind_orders[order_id], 0), MATCH("employee_id", northwind_orders[#Headers], 0))</f>
        <v>8</v>
      </c>
      <c r="H313">
        <f>northwind_order_details[[#This Row],[unit_price]]*northwind_order_details[[#This Row],[quantity]]</f>
        <v>1980</v>
      </c>
      <c r="I313" s="1">
        <f>northwind_order_details[[#This Row],[purchase amount]]*northwind_order_details[[#This Row],[discount]]</f>
        <v>0</v>
      </c>
      <c r="J313" s="1">
        <f>northwind_order_details[[#This Row],[purchase amount]]-northwind_order_details[[#This Row],[discount amount]]</f>
        <v>1980</v>
      </c>
      <c r="K313" s="6" t="str">
        <f>IF(northwind_order_details[[#This Row],[discount amount]]&gt;0,"Yes","No")</f>
        <v>No</v>
      </c>
      <c r="L313" s="1" t="str">
        <f>IF(northwind_order_details[[#This Row],[Revenue]]&gt;1000,"High",IF(northwind_order_details[[#This Row],[Revenue]]&gt;300,"Medium","Low"))</f>
        <v>High</v>
      </c>
      <c r="M3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4" spans="1:13" x14ac:dyDescent="0.25">
      <c r="A314">
        <v>10369</v>
      </c>
      <c r="B314">
        <v>56</v>
      </c>
      <c r="C314" s="6">
        <v>30.4</v>
      </c>
      <c r="D314">
        <v>18</v>
      </c>
      <c r="E314" s="6">
        <v>0.25</v>
      </c>
      <c r="F314" t="str">
        <f>_xlfn.XLOOKUP(northwind_order_details[[#This Row],[order_id]],northwind_orders[order_id],northwind_orders[ship_country])</f>
        <v>USA</v>
      </c>
      <c r="G314">
        <f>INDEX(northwind_orders[],MATCH(northwind_order_details[[#This Row],[order_id]], northwind_orders[order_id], 0), MATCH("employee_id", northwind_orders[#Headers], 0))</f>
        <v>8</v>
      </c>
      <c r="H314">
        <f>northwind_order_details[[#This Row],[unit_price]]*northwind_order_details[[#This Row],[quantity]]</f>
        <v>547.19999999999993</v>
      </c>
      <c r="I314" s="1">
        <f>northwind_order_details[[#This Row],[purchase amount]]*northwind_order_details[[#This Row],[discount]]</f>
        <v>136.79999999999998</v>
      </c>
      <c r="J314" s="1">
        <f>northwind_order_details[[#This Row],[purchase amount]]-northwind_order_details[[#This Row],[discount amount]]</f>
        <v>410.4</v>
      </c>
      <c r="K314" s="6" t="str">
        <f>IF(northwind_order_details[[#This Row],[discount amount]]&gt;0,"Yes","No")</f>
        <v>Yes</v>
      </c>
      <c r="L314" s="1" t="str">
        <f>IF(northwind_order_details[[#This Row],[Revenue]]&gt;1000,"High",IF(northwind_order_details[[#This Row],[Revenue]]&gt;300,"Medium","Low"))</f>
        <v>Medium</v>
      </c>
      <c r="M3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5" spans="1:13" x14ac:dyDescent="0.25">
      <c r="A315">
        <v>10370</v>
      </c>
      <c r="B315">
        <v>1</v>
      </c>
      <c r="C315" s="6">
        <v>14.4</v>
      </c>
      <c r="D315">
        <v>15</v>
      </c>
      <c r="E315" s="6">
        <v>0.15</v>
      </c>
      <c r="F315" t="str">
        <f>_xlfn.XLOOKUP(northwind_order_details[[#This Row],[order_id]],northwind_orders[order_id],northwind_orders[ship_country])</f>
        <v>Switzerland</v>
      </c>
      <c r="G315">
        <f>INDEX(northwind_orders[],MATCH(northwind_order_details[[#This Row],[order_id]], northwind_orders[order_id], 0), MATCH("employee_id", northwind_orders[#Headers], 0))</f>
        <v>6</v>
      </c>
      <c r="H315">
        <f>northwind_order_details[[#This Row],[unit_price]]*northwind_order_details[[#This Row],[quantity]]</f>
        <v>216</v>
      </c>
      <c r="I315" s="1">
        <f>northwind_order_details[[#This Row],[purchase amount]]*northwind_order_details[[#This Row],[discount]]</f>
        <v>32.4</v>
      </c>
      <c r="J315" s="1">
        <f>northwind_order_details[[#This Row],[purchase amount]]-northwind_order_details[[#This Row],[discount amount]]</f>
        <v>183.6</v>
      </c>
      <c r="K315" s="6" t="str">
        <f>IF(northwind_order_details[[#This Row],[discount amount]]&gt;0,"Yes","No")</f>
        <v>Yes</v>
      </c>
      <c r="L315" s="1" t="str">
        <f>IF(northwind_order_details[[#This Row],[Revenue]]&gt;1000,"High",IF(northwind_order_details[[#This Row],[Revenue]]&gt;300,"Medium","Low"))</f>
        <v>Low</v>
      </c>
      <c r="M3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6" spans="1:13" x14ac:dyDescent="0.25">
      <c r="A316">
        <v>10370</v>
      </c>
      <c r="B316">
        <v>64</v>
      </c>
      <c r="C316" s="6">
        <v>26.6</v>
      </c>
      <c r="D316">
        <v>30</v>
      </c>
      <c r="E316" s="6" t="s">
        <v>6</v>
      </c>
      <c r="F316" t="str">
        <f>_xlfn.XLOOKUP(northwind_order_details[[#This Row],[order_id]],northwind_orders[order_id],northwind_orders[ship_country])</f>
        <v>Switzerland</v>
      </c>
      <c r="G316">
        <f>INDEX(northwind_orders[],MATCH(northwind_order_details[[#This Row],[order_id]], northwind_orders[order_id], 0), MATCH("employee_id", northwind_orders[#Headers], 0))</f>
        <v>6</v>
      </c>
      <c r="H316">
        <f>northwind_order_details[[#This Row],[unit_price]]*northwind_order_details[[#This Row],[quantity]]</f>
        <v>798</v>
      </c>
      <c r="I316" s="1">
        <f>northwind_order_details[[#This Row],[purchase amount]]*northwind_order_details[[#This Row],[discount]]</f>
        <v>0</v>
      </c>
      <c r="J316" s="1">
        <f>northwind_order_details[[#This Row],[purchase amount]]-northwind_order_details[[#This Row],[discount amount]]</f>
        <v>798</v>
      </c>
      <c r="K316" s="6" t="str">
        <f>IF(northwind_order_details[[#This Row],[discount amount]]&gt;0,"Yes","No")</f>
        <v>No</v>
      </c>
      <c r="L316" s="1" t="str">
        <f>IF(northwind_order_details[[#This Row],[Revenue]]&gt;1000,"High",IF(northwind_order_details[[#This Row],[Revenue]]&gt;300,"Medium","Low"))</f>
        <v>Medium</v>
      </c>
      <c r="M3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7" spans="1:13" x14ac:dyDescent="0.25">
      <c r="A317">
        <v>10370</v>
      </c>
      <c r="B317">
        <v>74</v>
      </c>
      <c r="C317" s="6" t="s">
        <v>10</v>
      </c>
      <c r="D317">
        <v>20</v>
      </c>
      <c r="E317" s="6">
        <v>0.15</v>
      </c>
      <c r="F317" t="str">
        <f>_xlfn.XLOOKUP(northwind_order_details[[#This Row],[order_id]],northwind_orders[order_id],northwind_orders[ship_country])</f>
        <v>Switzerland</v>
      </c>
      <c r="G317">
        <f>INDEX(northwind_orders[],MATCH(northwind_order_details[[#This Row],[order_id]], northwind_orders[order_id], 0), MATCH("employee_id", northwind_orders[#Headers], 0))</f>
        <v>6</v>
      </c>
      <c r="H317">
        <f>northwind_order_details[[#This Row],[unit_price]]*northwind_order_details[[#This Row],[quantity]]</f>
        <v>160</v>
      </c>
      <c r="I317" s="1">
        <f>northwind_order_details[[#This Row],[purchase amount]]*northwind_order_details[[#This Row],[discount]]</f>
        <v>24</v>
      </c>
      <c r="J317" s="1">
        <f>northwind_order_details[[#This Row],[purchase amount]]-northwind_order_details[[#This Row],[discount amount]]</f>
        <v>136</v>
      </c>
      <c r="K317" s="6" t="str">
        <f>IF(northwind_order_details[[#This Row],[discount amount]]&gt;0,"Yes","No")</f>
        <v>Yes</v>
      </c>
      <c r="L317" s="1" t="str">
        <f>IF(northwind_order_details[[#This Row],[Revenue]]&gt;1000,"High",IF(northwind_order_details[[#This Row],[Revenue]]&gt;300,"Medium","Low"))</f>
        <v>Low</v>
      </c>
      <c r="M3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8" spans="1:13" x14ac:dyDescent="0.25">
      <c r="A318">
        <v>10371</v>
      </c>
      <c r="B318">
        <v>36</v>
      </c>
      <c r="C318" s="6">
        <v>15.2</v>
      </c>
      <c r="D318">
        <v>6</v>
      </c>
      <c r="E318" s="6">
        <v>0.2</v>
      </c>
      <c r="F318" t="str">
        <f>_xlfn.XLOOKUP(northwind_order_details[[#This Row],[order_id]],northwind_orders[order_id],northwind_orders[ship_country])</f>
        <v>France</v>
      </c>
      <c r="G318">
        <f>INDEX(northwind_orders[],MATCH(northwind_order_details[[#This Row],[order_id]], northwind_orders[order_id], 0), MATCH("employee_id", northwind_orders[#Headers], 0))</f>
        <v>1</v>
      </c>
      <c r="H318">
        <f>northwind_order_details[[#This Row],[unit_price]]*northwind_order_details[[#This Row],[quantity]]</f>
        <v>91.199999999999989</v>
      </c>
      <c r="I318" s="1">
        <f>northwind_order_details[[#This Row],[purchase amount]]*northwind_order_details[[#This Row],[discount]]</f>
        <v>18.239999999999998</v>
      </c>
      <c r="J318" s="1">
        <f>northwind_order_details[[#This Row],[purchase amount]]-northwind_order_details[[#This Row],[discount amount]]</f>
        <v>72.959999999999994</v>
      </c>
      <c r="K318" s="6" t="str">
        <f>IF(northwind_order_details[[#This Row],[discount amount]]&gt;0,"Yes","No")</f>
        <v>Yes</v>
      </c>
      <c r="L318" s="1" t="str">
        <f>IF(northwind_order_details[[#This Row],[Revenue]]&gt;1000,"High",IF(northwind_order_details[[#This Row],[Revenue]]&gt;300,"Medium","Low"))</f>
        <v>Low</v>
      </c>
      <c r="M3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19" spans="1:13" x14ac:dyDescent="0.25">
      <c r="A319">
        <v>10372</v>
      </c>
      <c r="B319">
        <v>20</v>
      </c>
      <c r="C319" s="6">
        <v>64.8</v>
      </c>
      <c r="D319">
        <v>12</v>
      </c>
      <c r="E319" s="6">
        <v>0.25</v>
      </c>
      <c r="F319" t="str">
        <f>_xlfn.XLOOKUP(northwind_order_details[[#This Row],[order_id]],northwind_orders[order_id],northwind_orders[ship_country])</f>
        <v>Brazil</v>
      </c>
      <c r="G319">
        <f>INDEX(northwind_orders[],MATCH(northwind_order_details[[#This Row],[order_id]], northwind_orders[order_id], 0), MATCH("employee_id", northwind_orders[#Headers], 0))</f>
        <v>5</v>
      </c>
      <c r="H319">
        <f>northwind_order_details[[#This Row],[unit_price]]*northwind_order_details[[#This Row],[quantity]]</f>
        <v>777.59999999999991</v>
      </c>
      <c r="I319" s="1">
        <f>northwind_order_details[[#This Row],[purchase amount]]*northwind_order_details[[#This Row],[discount]]</f>
        <v>194.39999999999998</v>
      </c>
      <c r="J319" s="1">
        <f>northwind_order_details[[#This Row],[purchase amount]]-northwind_order_details[[#This Row],[discount amount]]</f>
        <v>583.19999999999993</v>
      </c>
      <c r="K319" s="6" t="str">
        <f>IF(northwind_order_details[[#This Row],[discount amount]]&gt;0,"Yes","No")</f>
        <v>Yes</v>
      </c>
      <c r="L319" s="1" t="str">
        <f>IF(northwind_order_details[[#This Row],[Revenue]]&gt;1000,"High",IF(northwind_order_details[[#This Row],[Revenue]]&gt;300,"Medium","Low"))</f>
        <v>Medium</v>
      </c>
      <c r="M3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0" spans="1:13" x14ac:dyDescent="0.25">
      <c r="A320">
        <v>10372</v>
      </c>
      <c r="B320">
        <v>38</v>
      </c>
      <c r="C320" s="6">
        <v>210.8</v>
      </c>
      <c r="D320">
        <v>40</v>
      </c>
      <c r="E320" s="6">
        <v>0.25</v>
      </c>
      <c r="F320" t="str">
        <f>_xlfn.XLOOKUP(northwind_order_details[[#This Row],[order_id]],northwind_orders[order_id],northwind_orders[ship_country])</f>
        <v>Brazil</v>
      </c>
      <c r="G320">
        <f>INDEX(northwind_orders[],MATCH(northwind_order_details[[#This Row],[order_id]], northwind_orders[order_id], 0), MATCH("employee_id", northwind_orders[#Headers], 0))</f>
        <v>5</v>
      </c>
      <c r="H320">
        <f>northwind_order_details[[#This Row],[unit_price]]*northwind_order_details[[#This Row],[quantity]]</f>
        <v>8432</v>
      </c>
      <c r="I320" s="1">
        <f>northwind_order_details[[#This Row],[purchase amount]]*northwind_order_details[[#This Row],[discount]]</f>
        <v>2108</v>
      </c>
      <c r="J320" s="1">
        <f>northwind_order_details[[#This Row],[purchase amount]]-northwind_order_details[[#This Row],[discount amount]]</f>
        <v>6324</v>
      </c>
      <c r="K320" s="6" t="str">
        <f>IF(northwind_order_details[[#This Row],[discount amount]]&gt;0,"Yes","No")</f>
        <v>Yes</v>
      </c>
      <c r="L320" s="1" t="str">
        <f>IF(northwind_order_details[[#This Row],[Revenue]]&gt;1000,"High",IF(northwind_order_details[[#This Row],[Revenue]]&gt;300,"Medium","Low"))</f>
        <v>High</v>
      </c>
      <c r="M3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1" spans="1:13" x14ac:dyDescent="0.25">
      <c r="A321">
        <v>10372</v>
      </c>
      <c r="B321">
        <v>60</v>
      </c>
      <c r="C321" s="6">
        <v>27.2</v>
      </c>
      <c r="D321">
        <v>70</v>
      </c>
      <c r="E321" s="6">
        <v>0.25</v>
      </c>
      <c r="F321" t="str">
        <f>_xlfn.XLOOKUP(northwind_order_details[[#This Row],[order_id]],northwind_orders[order_id],northwind_orders[ship_country])</f>
        <v>Brazil</v>
      </c>
      <c r="G321">
        <f>INDEX(northwind_orders[],MATCH(northwind_order_details[[#This Row],[order_id]], northwind_orders[order_id], 0), MATCH("employee_id", northwind_orders[#Headers], 0))</f>
        <v>5</v>
      </c>
      <c r="H321">
        <f>northwind_order_details[[#This Row],[unit_price]]*northwind_order_details[[#This Row],[quantity]]</f>
        <v>1904</v>
      </c>
      <c r="I321" s="1">
        <f>northwind_order_details[[#This Row],[purchase amount]]*northwind_order_details[[#This Row],[discount]]</f>
        <v>476</v>
      </c>
      <c r="J321" s="1">
        <f>northwind_order_details[[#This Row],[purchase amount]]-northwind_order_details[[#This Row],[discount amount]]</f>
        <v>1428</v>
      </c>
      <c r="K321" s="6" t="str">
        <f>IF(northwind_order_details[[#This Row],[discount amount]]&gt;0,"Yes","No")</f>
        <v>Yes</v>
      </c>
      <c r="L321" s="1" t="str">
        <f>IF(northwind_order_details[[#This Row],[Revenue]]&gt;1000,"High",IF(northwind_order_details[[#This Row],[Revenue]]&gt;300,"Medium","Low"))</f>
        <v>High</v>
      </c>
      <c r="M3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2" spans="1:13" x14ac:dyDescent="0.25">
      <c r="A322">
        <v>10372</v>
      </c>
      <c r="B322">
        <v>72</v>
      </c>
      <c r="C322" s="6">
        <v>27.8</v>
      </c>
      <c r="D322">
        <v>42</v>
      </c>
      <c r="E322" s="6">
        <v>0.25</v>
      </c>
      <c r="F322" t="str">
        <f>_xlfn.XLOOKUP(northwind_order_details[[#This Row],[order_id]],northwind_orders[order_id],northwind_orders[ship_country])</f>
        <v>Brazil</v>
      </c>
      <c r="G322">
        <f>INDEX(northwind_orders[],MATCH(northwind_order_details[[#This Row],[order_id]], northwind_orders[order_id], 0), MATCH("employee_id", northwind_orders[#Headers], 0))</f>
        <v>5</v>
      </c>
      <c r="H322">
        <f>northwind_order_details[[#This Row],[unit_price]]*northwind_order_details[[#This Row],[quantity]]</f>
        <v>1167.6000000000001</v>
      </c>
      <c r="I322" s="1">
        <f>northwind_order_details[[#This Row],[purchase amount]]*northwind_order_details[[#This Row],[discount]]</f>
        <v>291.90000000000003</v>
      </c>
      <c r="J322" s="1">
        <f>northwind_order_details[[#This Row],[purchase amount]]-northwind_order_details[[#This Row],[discount amount]]</f>
        <v>875.7</v>
      </c>
      <c r="K322" s="6" t="str">
        <f>IF(northwind_order_details[[#This Row],[discount amount]]&gt;0,"Yes","No")</f>
        <v>Yes</v>
      </c>
      <c r="L322" s="1" t="str">
        <f>IF(northwind_order_details[[#This Row],[Revenue]]&gt;1000,"High",IF(northwind_order_details[[#This Row],[Revenue]]&gt;300,"Medium","Low"))</f>
        <v>Medium</v>
      </c>
      <c r="M3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3" spans="1:13" x14ac:dyDescent="0.25">
      <c r="A323">
        <v>10374</v>
      </c>
      <c r="B323">
        <v>31</v>
      </c>
      <c r="C323" s="6" t="s">
        <v>8</v>
      </c>
      <c r="D323">
        <v>30</v>
      </c>
      <c r="E323" s="6" t="s">
        <v>6</v>
      </c>
      <c r="F323" t="str">
        <f>_xlfn.XLOOKUP(northwind_order_details[[#This Row],[order_id]],northwind_orders[order_id],northwind_orders[ship_country])</f>
        <v>Poland</v>
      </c>
      <c r="G323">
        <f>INDEX(northwind_orders[],MATCH(northwind_order_details[[#This Row],[order_id]], northwind_orders[order_id], 0), MATCH("employee_id", northwind_orders[#Headers], 0))</f>
        <v>1</v>
      </c>
      <c r="H323">
        <f>northwind_order_details[[#This Row],[unit_price]]*northwind_order_details[[#This Row],[quantity]]</f>
        <v>300</v>
      </c>
      <c r="I323" s="1">
        <f>northwind_order_details[[#This Row],[purchase amount]]*northwind_order_details[[#This Row],[discount]]</f>
        <v>0</v>
      </c>
      <c r="J323" s="1">
        <f>northwind_order_details[[#This Row],[purchase amount]]-northwind_order_details[[#This Row],[discount amount]]</f>
        <v>300</v>
      </c>
      <c r="K323" s="6" t="str">
        <f>IF(northwind_order_details[[#This Row],[discount amount]]&gt;0,"Yes","No")</f>
        <v>No</v>
      </c>
      <c r="L323" s="1" t="str">
        <f>IF(northwind_order_details[[#This Row],[Revenue]]&gt;1000,"High",IF(northwind_order_details[[#This Row],[Revenue]]&gt;300,"Medium","Low"))</f>
        <v>Low</v>
      </c>
      <c r="M3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4" spans="1:13" x14ac:dyDescent="0.25">
      <c r="A324">
        <v>10374</v>
      </c>
      <c r="B324">
        <v>58</v>
      </c>
      <c r="C324" s="6">
        <v>10.6</v>
      </c>
      <c r="D324">
        <v>15</v>
      </c>
      <c r="E324" s="6" t="s">
        <v>6</v>
      </c>
      <c r="F324" t="str">
        <f>_xlfn.XLOOKUP(northwind_order_details[[#This Row],[order_id]],northwind_orders[order_id],northwind_orders[ship_country])</f>
        <v>Poland</v>
      </c>
      <c r="G324">
        <f>INDEX(northwind_orders[],MATCH(northwind_order_details[[#This Row],[order_id]], northwind_orders[order_id], 0), MATCH("employee_id", northwind_orders[#Headers], 0))</f>
        <v>1</v>
      </c>
      <c r="H324">
        <f>northwind_order_details[[#This Row],[unit_price]]*northwind_order_details[[#This Row],[quantity]]</f>
        <v>159</v>
      </c>
      <c r="I324" s="1">
        <f>northwind_order_details[[#This Row],[purchase amount]]*northwind_order_details[[#This Row],[discount]]</f>
        <v>0</v>
      </c>
      <c r="J324" s="1">
        <f>northwind_order_details[[#This Row],[purchase amount]]-northwind_order_details[[#This Row],[discount amount]]</f>
        <v>159</v>
      </c>
      <c r="K324" s="6" t="str">
        <f>IF(northwind_order_details[[#This Row],[discount amount]]&gt;0,"Yes","No")</f>
        <v>No</v>
      </c>
      <c r="L324" s="1" t="str">
        <f>IF(northwind_order_details[[#This Row],[Revenue]]&gt;1000,"High",IF(northwind_order_details[[#This Row],[Revenue]]&gt;300,"Medium","Low"))</f>
        <v>Low</v>
      </c>
      <c r="M3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5" spans="1:13" x14ac:dyDescent="0.25">
      <c r="A325">
        <v>10375</v>
      </c>
      <c r="B325">
        <v>14</v>
      </c>
      <c r="C325" s="6">
        <v>18.600000000000001</v>
      </c>
      <c r="D325">
        <v>15</v>
      </c>
      <c r="E325" s="6" t="s">
        <v>6</v>
      </c>
      <c r="F325" t="str">
        <f>_xlfn.XLOOKUP(northwind_order_details[[#This Row],[order_id]],northwind_orders[order_id],northwind_orders[ship_country])</f>
        <v>USA</v>
      </c>
      <c r="G325">
        <f>INDEX(northwind_orders[],MATCH(northwind_order_details[[#This Row],[order_id]], northwind_orders[order_id], 0), MATCH("employee_id", northwind_orders[#Headers], 0))</f>
        <v>3</v>
      </c>
      <c r="H325">
        <f>northwind_order_details[[#This Row],[unit_price]]*northwind_order_details[[#This Row],[quantity]]</f>
        <v>279</v>
      </c>
      <c r="I325" s="1">
        <f>northwind_order_details[[#This Row],[purchase amount]]*northwind_order_details[[#This Row],[discount]]</f>
        <v>0</v>
      </c>
      <c r="J325" s="1">
        <f>northwind_order_details[[#This Row],[purchase amount]]-northwind_order_details[[#This Row],[discount amount]]</f>
        <v>279</v>
      </c>
      <c r="K325" s="6" t="str">
        <f>IF(northwind_order_details[[#This Row],[discount amount]]&gt;0,"Yes","No")</f>
        <v>No</v>
      </c>
      <c r="L325" s="1" t="str">
        <f>IF(northwind_order_details[[#This Row],[Revenue]]&gt;1000,"High",IF(northwind_order_details[[#This Row],[Revenue]]&gt;300,"Medium","Low"))</f>
        <v>Low</v>
      </c>
      <c r="M3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6" spans="1:13" x14ac:dyDescent="0.25">
      <c r="A326">
        <v>10375</v>
      </c>
      <c r="B326">
        <v>54</v>
      </c>
      <c r="C326" s="6">
        <v>5.9</v>
      </c>
      <c r="D326">
        <v>10</v>
      </c>
      <c r="E326" s="6" t="s">
        <v>6</v>
      </c>
      <c r="F326" t="str">
        <f>_xlfn.XLOOKUP(northwind_order_details[[#This Row],[order_id]],northwind_orders[order_id],northwind_orders[ship_country])</f>
        <v>USA</v>
      </c>
      <c r="G326">
        <f>INDEX(northwind_orders[],MATCH(northwind_order_details[[#This Row],[order_id]], northwind_orders[order_id], 0), MATCH("employee_id", northwind_orders[#Headers], 0))</f>
        <v>3</v>
      </c>
      <c r="H326">
        <f>northwind_order_details[[#This Row],[unit_price]]*northwind_order_details[[#This Row],[quantity]]</f>
        <v>59</v>
      </c>
      <c r="I326" s="1">
        <f>northwind_order_details[[#This Row],[purchase amount]]*northwind_order_details[[#This Row],[discount]]</f>
        <v>0</v>
      </c>
      <c r="J326" s="1">
        <f>northwind_order_details[[#This Row],[purchase amount]]-northwind_order_details[[#This Row],[discount amount]]</f>
        <v>59</v>
      </c>
      <c r="K326" s="6" t="str">
        <f>IF(northwind_order_details[[#This Row],[discount amount]]&gt;0,"Yes","No")</f>
        <v>No</v>
      </c>
      <c r="L326" s="1" t="str">
        <f>IF(northwind_order_details[[#This Row],[Revenue]]&gt;1000,"High",IF(northwind_order_details[[#This Row],[Revenue]]&gt;300,"Medium","Low"))</f>
        <v>Low</v>
      </c>
      <c r="M3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7" spans="1:13" x14ac:dyDescent="0.25">
      <c r="A327">
        <v>10376</v>
      </c>
      <c r="B327">
        <v>31</v>
      </c>
      <c r="C327" s="6" t="s">
        <v>8</v>
      </c>
      <c r="D327">
        <v>42</v>
      </c>
      <c r="E327" s="6">
        <v>0.05</v>
      </c>
      <c r="F327" t="str">
        <f>_xlfn.XLOOKUP(northwind_order_details[[#This Row],[order_id]],northwind_orders[order_id],northwind_orders[ship_country])</f>
        <v>Canada</v>
      </c>
      <c r="G327">
        <f>INDEX(northwind_orders[],MATCH(northwind_order_details[[#This Row],[order_id]], northwind_orders[order_id], 0), MATCH("employee_id", northwind_orders[#Headers], 0))</f>
        <v>1</v>
      </c>
      <c r="H327">
        <f>northwind_order_details[[#This Row],[unit_price]]*northwind_order_details[[#This Row],[quantity]]</f>
        <v>420</v>
      </c>
      <c r="I327" s="1">
        <f>northwind_order_details[[#This Row],[purchase amount]]*northwind_order_details[[#This Row],[discount]]</f>
        <v>21</v>
      </c>
      <c r="J327" s="1">
        <f>northwind_order_details[[#This Row],[purchase amount]]-northwind_order_details[[#This Row],[discount amount]]</f>
        <v>399</v>
      </c>
      <c r="K327" s="6" t="str">
        <f>IF(northwind_order_details[[#This Row],[discount amount]]&gt;0,"Yes","No")</f>
        <v>Yes</v>
      </c>
      <c r="L327" s="1" t="str">
        <f>IF(northwind_order_details[[#This Row],[Revenue]]&gt;1000,"High",IF(northwind_order_details[[#This Row],[Revenue]]&gt;300,"Medium","Low"))</f>
        <v>Medium</v>
      </c>
      <c r="M3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8" spans="1:13" x14ac:dyDescent="0.25">
      <c r="A328">
        <v>10377</v>
      </c>
      <c r="B328">
        <v>28</v>
      </c>
      <c r="C328" s="6">
        <v>36.4</v>
      </c>
      <c r="D328">
        <v>20</v>
      </c>
      <c r="E328" s="6">
        <v>0.15</v>
      </c>
      <c r="F328" t="str">
        <f>_xlfn.XLOOKUP(northwind_order_details[[#This Row],[order_id]],northwind_orders[order_id],northwind_orders[ship_country])</f>
        <v>UK</v>
      </c>
      <c r="G328">
        <f>INDEX(northwind_orders[],MATCH(northwind_order_details[[#This Row],[order_id]], northwind_orders[order_id], 0), MATCH("employee_id", northwind_orders[#Headers], 0))</f>
        <v>1</v>
      </c>
      <c r="H328">
        <f>northwind_order_details[[#This Row],[unit_price]]*northwind_order_details[[#This Row],[quantity]]</f>
        <v>728</v>
      </c>
      <c r="I328" s="1">
        <f>northwind_order_details[[#This Row],[purchase amount]]*northwind_order_details[[#This Row],[discount]]</f>
        <v>109.2</v>
      </c>
      <c r="J328" s="1">
        <f>northwind_order_details[[#This Row],[purchase amount]]-northwind_order_details[[#This Row],[discount amount]]</f>
        <v>618.79999999999995</v>
      </c>
      <c r="K328" s="6" t="str">
        <f>IF(northwind_order_details[[#This Row],[discount amount]]&gt;0,"Yes","No")</f>
        <v>Yes</v>
      </c>
      <c r="L328" s="1" t="str">
        <f>IF(northwind_order_details[[#This Row],[Revenue]]&gt;1000,"High",IF(northwind_order_details[[#This Row],[Revenue]]&gt;300,"Medium","Low"))</f>
        <v>Medium</v>
      </c>
      <c r="M3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29" spans="1:13" x14ac:dyDescent="0.25">
      <c r="A329">
        <v>10377</v>
      </c>
      <c r="B329">
        <v>39</v>
      </c>
      <c r="C329" s="6">
        <v>14.4</v>
      </c>
      <c r="D329">
        <v>20</v>
      </c>
      <c r="E329" s="6">
        <v>0.15</v>
      </c>
      <c r="F329" t="str">
        <f>_xlfn.XLOOKUP(northwind_order_details[[#This Row],[order_id]],northwind_orders[order_id],northwind_orders[ship_country])</f>
        <v>UK</v>
      </c>
      <c r="G329">
        <f>INDEX(northwind_orders[],MATCH(northwind_order_details[[#This Row],[order_id]], northwind_orders[order_id], 0), MATCH("employee_id", northwind_orders[#Headers], 0))</f>
        <v>1</v>
      </c>
      <c r="H329">
        <f>northwind_order_details[[#This Row],[unit_price]]*northwind_order_details[[#This Row],[quantity]]</f>
        <v>288</v>
      </c>
      <c r="I329" s="1">
        <f>northwind_order_details[[#This Row],[purchase amount]]*northwind_order_details[[#This Row],[discount]]</f>
        <v>43.199999999999996</v>
      </c>
      <c r="J329" s="1">
        <f>northwind_order_details[[#This Row],[purchase amount]]-northwind_order_details[[#This Row],[discount amount]]</f>
        <v>244.8</v>
      </c>
      <c r="K329" s="6" t="str">
        <f>IF(northwind_order_details[[#This Row],[discount amount]]&gt;0,"Yes","No")</f>
        <v>Yes</v>
      </c>
      <c r="L329" s="1" t="str">
        <f>IF(northwind_order_details[[#This Row],[Revenue]]&gt;1000,"High",IF(northwind_order_details[[#This Row],[Revenue]]&gt;300,"Medium","Low"))</f>
        <v>Low</v>
      </c>
      <c r="M3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0" spans="1:13" x14ac:dyDescent="0.25">
      <c r="A330">
        <v>10378</v>
      </c>
      <c r="B330">
        <v>71</v>
      </c>
      <c r="C330" s="6">
        <v>17.2</v>
      </c>
      <c r="D330">
        <v>6</v>
      </c>
      <c r="E330" s="6" t="s">
        <v>6</v>
      </c>
      <c r="F330" t="str">
        <f>_xlfn.XLOOKUP(northwind_order_details[[#This Row],[order_id]],northwind_orders[order_id],northwind_orders[ship_country])</f>
        <v>Sweden</v>
      </c>
      <c r="G330">
        <f>INDEX(northwind_orders[],MATCH(northwind_order_details[[#This Row],[order_id]], northwind_orders[order_id], 0), MATCH("employee_id", northwind_orders[#Headers], 0))</f>
        <v>5</v>
      </c>
      <c r="H330">
        <f>northwind_order_details[[#This Row],[unit_price]]*northwind_order_details[[#This Row],[quantity]]</f>
        <v>103.19999999999999</v>
      </c>
      <c r="I330" s="1">
        <f>northwind_order_details[[#This Row],[purchase amount]]*northwind_order_details[[#This Row],[discount]]</f>
        <v>0</v>
      </c>
      <c r="J330" s="1">
        <f>northwind_order_details[[#This Row],[purchase amount]]-northwind_order_details[[#This Row],[discount amount]]</f>
        <v>103.19999999999999</v>
      </c>
      <c r="K330" s="6" t="str">
        <f>IF(northwind_order_details[[#This Row],[discount amount]]&gt;0,"Yes","No")</f>
        <v>No</v>
      </c>
      <c r="L330" s="1" t="str">
        <f>IF(northwind_order_details[[#This Row],[Revenue]]&gt;1000,"High",IF(northwind_order_details[[#This Row],[Revenue]]&gt;300,"Medium","Low"))</f>
        <v>Low</v>
      </c>
      <c r="M3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1" spans="1:13" x14ac:dyDescent="0.25">
      <c r="A331">
        <v>10379</v>
      </c>
      <c r="B331">
        <v>41</v>
      </c>
      <c r="C331" s="6">
        <v>7.7</v>
      </c>
      <c r="D331">
        <v>8</v>
      </c>
      <c r="E331" s="6">
        <v>0.1</v>
      </c>
      <c r="F331" t="str">
        <f>_xlfn.XLOOKUP(northwind_order_details[[#This Row],[order_id]],northwind_orders[order_id],northwind_orders[ship_country])</f>
        <v>Brazil</v>
      </c>
      <c r="G331">
        <f>INDEX(northwind_orders[],MATCH(northwind_order_details[[#This Row],[order_id]], northwind_orders[order_id], 0), MATCH("employee_id", northwind_orders[#Headers], 0))</f>
        <v>2</v>
      </c>
      <c r="H331">
        <f>northwind_order_details[[#This Row],[unit_price]]*northwind_order_details[[#This Row],[quantity]]</f>
        <v>61.6</v>
      </c>
      <c r="I331" s="1">
        <f>northwind_order_details[[#This Row],[purchase amount]]*northwind_order_details[[#This Row],[discount]]</f>
        <v>6.16</v>
      </c>
      <c r="J331" s="1">
        <f>northwind_order_details[[#This Row],[purchase amount]]-northwind_order_details[[#This Row],[discount amount]]</f>
        <v>55.44</v>
      </c>
      <c r="K331" s="6" t="str">
        <f>IF(northwind_order_details[[#This Row],[discount amount]]&gt;0,"Yes","No")</f>
        <v>Yes</v>
      </c>
      <c r="L331" s="1" t="str">
        <f>IF(northwind_order_details[[#This Row],[Revenue]]&gt;1000,"High",IF(northwind_order_details[[#This Row],[Revenue]]&gt;300,"Medium","Low"))</f>
        <v>Low</v>
      </c>
      <c r="M3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2" spans="1:13" x14ac:dyDescent="0.25">
      <c r="A332">
        <v>10379</v>
      </c>
      <c r="B332">
        <v>63</v>
      </c>
      <c r="C332" s="6">
        <v>35.1</v>
      </c>
      <c r="D332">
        <v>16</v>
      </c>
      <c r="E332" s="6">
        <v>0.1</v>
      </c>
      <c r="F332" t="str">
        <f>_xlfn.XLOOKUP(northwind_order_details[[#This Row],[order_id]],northwind_orders[order_id],northwind_orders[ship_country])</f>
        <v>Brazil</v>
      </c>
      <c r="G332">
        <f>INDEX(northwind_orders[],MATCH(northwind_order_details[[#This Row],[order_id]], northwind_orders[order_id], 0), MATCH("employee_id", northwind_orders[#Headers], 0))</f>
        <v>2</v>
      </c>
      <c r="H332">
        <f>northwind_order_details[[#This Row],[unit_price]]*northwind_order_details[[#This Row],[quantity]]</f>
        <v>561.6</v>
      </c>
      <c r="I332" s="1">
        <f>northwind_order_details[[#This Row],[purchase amount]]*northwind_order_details[[#This Row],[discount]]</f>
        <v>56.160000000000004</v>
      </c>
      <c r="J332" s="1">
        <f>northwind_order_details[[#This Row],[purchase amount]]-northwind_order_details[[#This Row],[discount amount]]</f>
        <v>505.44</v>
      </c>
      <c r="K332" s="6" t="str">
        <f>IF(northwind_order_details[[#This Row],[discount amount]]&gt;0,"Yes","No")</f>
        <v>Yes</v>
      </c>
      <c r="L332" s="1" t="str">
        <f>IF(northwind_order_details[[#This Row],[Revenue]]&gt;1000,"High",IF(northwind_order_details[[#This Row],[Revenue]]&gt;300,"Medium","Low"))</f>
        <v>Medium</v>
      </c>
      <c r="M3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3" spans="1:13" x14ac:dyDescent="0.25">
      <c r="A333">
        <v>10379</v>
      </c>
      <c r="B333">
        <v>65</v>
      </c>
      <c r="C333" s="6">
        <v>16.8</v>
      </c>
      <c r="D333">
        <v>20</v>
      </c>
      <c r="E333" s="6">
        <v>0.1</v>
      </c>
      <c r="F333" t="str">
        <f>_xlfn.XLOOKUP(northwind_order_details[[#This Row],[order_id]],northwind_orders[order_id],northwind_orders[ship_country])</f>
        <v>Brazil</v>
      </c>
      <c r="G333">
        <f>INDEX(northwind_orders[],MATCH(northwind_order_details[[#This Row],[order_id]], northwind_orders[order_id], 0), MATCH("employee_id", northwind_orders[#Headers], 0))</f>
        <v>2</v>
      </c>
      <c r="H333">
        <f>northwind_order_details[[#This Row],[unit_price]]*northwind_order_details[[#This Row],[quantity]]</f>
        <v>336</v>
      </c>
      <c r="I333" s="1">
        <f>northwind_order_details[[#This Row],[purchase amount]]*northwind_order_details[[#This Row],[discount]]</f>
        <v>33.6</v>
      </c>
      <c r="J333" s="1">
        <f>northwind_order_details[[#This Row],[purchase amount]]-northwind_order_details[[#This Row],[discount amount]]</f>
        <v>302.39999999999998</v>
      </c>
      <c r="K333" s="6" t="str">
        <f>IF(northwind_order_details[[#This Row],[discount amount]]&gt;0,"Yes","No")</f>
        <v>Yes</v>
      </c>
      <c r="L333" s="1" t="str">
        <f>IF(northwind_order_details[[#This Row],[Revenue]]&gt;1000,"High",IF(northwind_order_details[[#This Row],[Revenue]]&gt;300,"Medium","Low"))</f>
        <v>Medium</v>
      </c>
      <c r="M3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4" spans="1:13" x14ac:dyDescent="0.25">
      <c r="A334">
        <v>10381</v>
      </c>
      <c r="B334">
        <v>74</v>
      </c>
      <c r="C334" s="6" t="s">
        <v>10</v>
      </c>
      <c r="D334">
        <v>14</v>
      </c>
      <c r="E334" s="6" t="s">
        <v>6</v>
      </c>
      <c r="F334" t="str">
        <f>_xlfn.XLOOKUP(northwind_order_details[[#This Row],[order_id]],northwind_orders[order_id],northwind_orders[ship_country])</f>
        <v>Venezuela</v>
      </c>
      <c r="G334">
        <f>INDEX(northwind_orders[],MATCH(northwind_order_details[[#This Row],[order_id]], northwind_orders[order_id], 0), MATCH("employee_id", northwind_orders[#Headers], 0))</f>
        <v>3</v>
      </c>
      <c r="H334">
        <f>northwind_order_details[[#This Row],[unit_price]]*northwind_order_details[[#This Row],[quantity]]</f>
        <v>112</v>
      </c>
      <c r="I334" s="1">
        <f>northwind_order_details[[#This Row],[purchase amount]]*northwind_order_details[[#This Row],[discount]]</f>
        <v>0</v>
      </c>
      <c r="J334" s="1">
        <f>northwind_order_details[[#This Row],[purchase amount]]-northwind_order_details[[#This Row],[discount amount]]</f>
        <v>112</v>
      </c>
      <c r="K334" s="6" t="str">
        <f>IF(northwind_order_details[[#This Row],[discount amount]]&gt;0,"Yes","No")</f>
        <v>No</v>
      </c>
      <c r="L334" s="1" t="str">
        <f>IF(northwind_order_details[[#This Row],[Revenue]]&gt;1000,"High",IF(northwind_order_details[[#This Row],[Revenue]]&gt;300,"Medium","Low"))</f>
        <v>Low</v>
      </c>
      <c r="M3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5" spans="1:13" x14ac:dyDescent="0.25">
      <c r="A335">
        <v>10382</v>
      </c>
      <c r="B335">
        <v>5</v>
      </c>
      <c r="C335" s="6" t="s">
        <v>12</v>
      </c>
      <c r="D335">
        <v>32</v>
      </c>
      <c r="E335" s="6" t="s">
        <v>6</v>
      </c>
      <c r="F335" t="str">
        <f>_xlfn.XLOOKUP(northwind_order_details[[#This Row],[order_id]],northwind_orders[order_id],northwind_orders[ship_country])</f>
        <v>Austria</v>
      </c>
      <c r="G335">
        <f>INDEX(northwind_orders[],MATCH(northwind_order_details[[#This Row],[order_id]], northwind_orders[order_id], 0), MATCH("employee_id", northwind_orders[#Headers], 0))</f>
        <v>4</v>
      </c>
      <c r="H335">
        <f>northwind_order_details[[#This Row],[unit_price]]*northwind_order_details[[#This Row],[quantity]]</f>
        <v>544</v>
      </c>
      <c r="I335" s="1">
        <f>northwind_order_details[[#This Row],[purchase amount]]*northwind_order_details[[#This Row],[discount]]</f>
        <v>0</v>
      </c>
      <c r="J335" s="1">
        <f>northwind_order_details[[#This Row],[purchase amount]]-northwind_order_details[[#This Row],[discount amount]]</f>
        <v>544</v>
      </c>
      <c r="K335" s="6" t="str">
        <f>IF(northwind_order_details[[#This Row],[discount amount]]&gt;0,"Yes","No")</f>
        <v>No</v>
      </c>
      <c r="L335" s="1" t="str">
        <f>IF(northwind_order_details[[#This Row],[Revenue]]&gt;1000,"High",IF(northwind_order_details[[#This Row],[Revenue]]&gt;300,"Medium","Low"))</f>
        <v>Medium</v>
      </c>
      <c r="M3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6" spans="1:13" x14ac:dyDescent="0.25">
      <c r="A336">
        <v>10382</v>
      </c>
      <c r="B336">
        <v>18</v>
      </c>
      <c r="C336" s="6" t="s">
        <v>16</v>
      </c>
      <c r="D336">
        <v>9</v>
      </c>
      <c r="E336" s="6" t="s">
        <v>6</v>
      </c>
      <c r="F336" t="str">
        <f>_xlfn.XLOOKUP(northwind_order_details[[#This Row],[order_id]],northwind_orders[order_id],northwind_orders[ship_country])</f>
        <v>Austria</v>
      </c>
      <c r="G336">
        <f>INDEX(northwind_orders[],MATCH(northwind_order_details[[#This Row],[order_id]], northwind_orders[order_id], 0), MATCH("employee_id", northwind_orders[#Headers], 0))</f>
        <v>4</v>
      </c>
      <c r="H336">
        <f>northwind_order_details[[#This Row],[unit_price]]*northwind_order_details[[#This Row],[quantity]]</f>
        <v>450</v>
      </c>
      <c r="I336" s="1">
        <f>northwind_order_details[[#This Row],[purchase amount]]*northwind_order_details[[#This Row],[discount]]</f>
        <v>0</v>
      </c>
      <c r="J336" s="1">
        <f>northwind_order_details[[#This Row],[purchase amount]]-northwind_order_details[[#This Row],[discount amount]]</f>
        <v>450</v>
      </c>
      <c r="K336" s="6" t="str">
        <f>IF(northwind_order_details[[#This Row],[discount amount]]&gt;0,"Yes","No")</f>
        <v>No</v>
      </c>
      <c r="L336" s="1" t="str">
        <f>IF(northwind_order_details[[#This Row],[Revenue]]&gt;1000,"High",IF(northwind_order_details[[#This Row],[Revenue]]&gt;300,"Medium","Low"))</f>
        <v>Medium</v>
      </c>
      <c r="M3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7" spans="1:13" x14ac:dyDescent="0.25">
      <c r="A337">
        <v>10382</v>
      </c>
      <c r="B337">
        <v>29</v>
      </c>
      <c r="C337" s="6" t="s">
        <v>15</v>
      </c>
      <c r="D337">
        <v>14</v>
      </c>
      <c r="E337" s="6" t="s">
        <v>6</v>
      </c>
      <c r="F337" t="str">
        <f>_xlfn.XLOOKUP(northwind_order_details[[#This Row],[order_id]],northwind_orders[order_id],northwind_orders[ship_country])</f>
        <v>Austria</v>
      </c>
      <c r="G337">
        <f>INDEX(northwind_orders[],MATCH(northwind_order_details[[#This Row],[order_id]], northwind_orders[order_id], 0), MATCH("employee_id", northwind_orders[#Headers], 0))</f>
        <v>4</v>
      </c>
      <c r="H337">
        <f>northwind_order_details[[#This Row],[unit_price]]*northwind_order_details[[#This Row],[quantity]]</f>
        <v>1386</v>
      </c>
      <c r="I337" s="1">
        <f>northwind_order_details[[#This Row],[purchase amount]]*northwind_order_details[[#This Row],[discount]]</f>
        <v>0</v>
      </c>
      <c r="J337" s="1">
        <f>northwind_order_details[[#This Row],[purchase amount]]-northwind_order_details[[#This Row],[discount amount]]</f>
        <v>1386</v>
      </c>
      <c r="K337" s="6" t="str">
        <f>IF(northwind_order_details[[#This Row],[discount amount]]&gt;0,"Yes","No")</f>
        <v>No</v>
      </c>
      <c r="L337" s="1" t="str">
        <f>IF(northwind_order_details[[#This Row],[Revenue]]&gt;1000,"High",IF(northwind_order_details[[#This Row],[Revenue]]&gt;300,"Medium","Low"))</f>
        <v>High</v>
      </c>
      <c r="M3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8" spans="1:13" x14ac:dyDescent="0.25">
      <c r="A338">
        <v>10382</v>
      </c>
      <c r="B338">
        <v>33</v>
      </c>
      <c r="C338" s="6" t="s">
        <v>7</v>
      </c>
      <c r="D338">
        <v>60</v>
      </c>
      <c r="E338" s="6" t="s">
        <v>6</v>
      </c>
      <c r="F338" t="str">
        <f>_xlfn.XLOOKUP(northwind_order_details[[#This Row],[order_id]],northwind_orders[order_id],northwind_orders[ship_country])</f>
        <v>Austria</v>
      </c>
      <c r="G338">
        <f>INDEX(northwind_orders[],MATCH(northwind_order_details[[#This Row],[order_id]], northwind_orders[order_id], 0), MATCH("employee_id", northwind_orders[#Headers], 0))</f>
        <v>4</v>
      </c>
      <c r="H338">
        <f>northwind_order_details[[#This Row],[unit_price]]*northwind_order_details[[#This Row],[quantity]]</f>
        <v>120</v>
      </c>
      <c r="I338" s="1">
        <f>northwind_order_details[[#This Row],[purchase amount]]*northwind_order_details[[#This Row],[discount]]</f>
        <v>0</v>
      </c>
      <c r="J338" s="1">
        <f>northwind_order_details[[#This Row],[purchase amount]]-northwind_order_details[[#This Row],[discount amount]]</f>
        <v>120</v>
      </c>
      <c r="K338" s="6" t="str">
        <f>IF(northwind_order_details[[#This Row],[discount amount]]&gt;0,"Yes","No")</f>
        <v>No</v>
      </c>
      <c r="L338" s="1" t="str">
        <f>IF(northwind_order_details[[#This Row],[Revenue]]&gt;1000,"High",IF(northwind_order_details[[#This Row],[Revenue]]&gt;300,"Medium","Low"))</f>
        <v>Low</v>
      </c>
      <c r="M3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39" spans="1:13" x14ac:dyDescent="0.25">
      <c r="A339">
        <v>10382</v>
      </c>
      <c r="B339">
        <v>74</v>
      </c>
      <c r="C339" s="6" t="s">
        <v>10</v>
      </c>
      <c r="D339">
        <v>50</v>
      </c>
      <c r="E339" s="6" t="s">
        <v>6</v>
      </c>
      <c r="F339" t="str">
        <f>_xlfn.XLOOKUP(northwind_order_details[[#This Row],[order_id]],northwind_orders[order_id],northwind_orders[ship_country])</f>
        <v>Austria</v>
      </c>
      <c r="G339">
        <f>INDEX(northwind_orders[],MATCH(northwind_order_details[[#This Row],[order_id]], northwind_orders[order_id], 0), MATCH("employee_id", northwind_orders[#Headers], 0))</f>
        <v>4</v>
      </c>
      <c r="H339">
        <f>northwind_order_details[[#This Row],[unit_price]]*northwind_order_details[[#This Row],[quantity]]</f>
        <v>400</v>
      </c>
      <c r="I339" s="1">
        <f>northwind_order_details[[#This Row],[purchase amount]]*northwind_order_details[[#This Row],[discount]]</f>
        <v>0</v>
      </c>
      <c r="J339" s="1">
        <f>northwind_order_details[[#This Row],[purchase amount]]-northwind_order_details[[#This Row],[discount amount]]</f>
        <v>400</v>
      </c>
      <c r="K339" s="6" t="str">
        <f>IF(northwind_order_details[[#This Row],[discount amount]]&gt;0,"Yes","No")</f>
        <v>No</v>
      </c>
      <c r="L339" s="1" t="str">
        <f>IF(northwind_order_details[[#This Row],[Revenue]]&gt;1000,"High",IF(northwind_order_details[[#This Row],[Revenue]]&gt;300,"Medium","Low"))</f>
        <v>Medium</v>
      </c>
      <c r="M3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0" spans="1:13" x14ac:dyDescent="0.25">
      <c r="A340">
        <v>10383</v>
      </c>
      <c r="B340">
        <v>13</v>
      </c>
      <c r="C340" s="6">
        <v>4.8</v>
      </c>
      <c r="D340">
        <v>20</v>
      </c>
      <c r="E340" s="6" t="s">
        <v>6</v>
      </c>
      <c r="F340" t="str">
        <f>_xlfn.XLOOKUP(northwind_order_details[[#This Row],[order_id]],northwind_orders[order_id],northwind_orders[ship_country])</f>
        <v>UK</v>
      </c>
      <c r="G340">
        <f>INDEX(northwind_orders[],MATCH(northwind_order_details[[#This Row],[order_id]], northwind_orders[order_id], 0), MATCH("employee_id", northwind_orders[#Headers], 0))</f>
        <v>8</v>
      </c>
      <c r="H340">
        <f>northwind_order_details[[#This Row],[unit_price]]*northwind_order_details[[#This Row],[quantity]]</f>
        <v>96</v>
      </c>
      <c r="I340" s="1">
        <f>northwind_order_details[[#This Row],[purchase amount]]*northwind_order_details[[#This Row],[discount]]</f>
        <v>0</v>
      </c>
      <c r="J340" s="1">
        <f>northwind_order_details[[#This Row],[purchase amount]]-northwind_order_details[[#This Row],[discount amount]]</f>
        <v>96</v>
      </c>
      <c r="K340" s="6" t="str">
        <f>IF(northwind_order_details[[#This Row],[discount amount]]&gt;0,"Yes","No")</f>
        <v>No</v>
      </c>
      <c r="L340" s="1" t="str">
        <f>IF(northwind_order_details[[#This Row],[Revenue]]&gt;1000,"High",IF(northwind_order_details[[#This Row],[Revenue]]&gt;300,"Medium","Low"))</f>
        <v>Low</v>
      </c>
      <c r="M3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1" spans="1:13" x14ac:dyDescent="0.25">
      <c r="A341">
        <v>10383</v>
      </c>
      <c r="B341">
        <v>50</v>
      </c>
      <c r="C341" s="6" t="s">
        <v>19</v>
      </c>
      <c r="D341">
        <v>15</v>
      </c>
      <c r="E341" s="6" t="s">
        <v>6</v>
      </c>
      <c r="F341" t="str">
        <f>_xlfn.XLOOKUP(northwind_order_details[[#This Row],[order_id]],northwind_orders[order_id],northwind_orders[ship_country])</f>
        <v>UK</v>
      </c>
      <c r="G341">
        <f>INDEX(northwind_orders[],MATCH(northwind_order_details[[#This Row],[order_id]], northwind_orders[order_id], 0), MATCH("employee_id", northwind_orders[#Headers], 0))</f>
        <v>8</v>
      </c>
      <c r="H341">
        <f>northwind_order_details[[#This Row],[unit_price]]*northwind_order_details[[#This Row],[quantity]]</f>
        <v>195</v>
      </c>
      <c r="I341" s="1">
        <f>northwind_order_details[[#This Row],[purchase amount]]*northwind_order_details[[#This Row],[discount]]</f>
        <v>0</v>
      </c>
      <c r="J341" s="1">
        <f>northwind_order_details[[#This Row],[purchase amount]]-northwind_order_details[[#This Row],[discount amount]]</f>
        <v>195</v>
      </c>
      <c r="K341" s="6" t="str">
        <f>IF(northwind_order_details[[#This Row],[discount amount]]&gt;0,"Yes","No")</f>
        <v>No</v>
      </c>
      <c r="L341" s="1" t="str">
        <f>IF(northwind_order_details[[#This Row],[Revenue]]&gt;1000,"High",IF(northwind_order_details[[#This Row],[Revenue]]&gt;300,"Medium","Low"))</f>
        <v>Low</v>
      </c>
      <c r="M3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2" spans="1:13" x14ac:dyDescent="0.25">
      <c r="A342">
        <v>10383</v>
      </c>
      <c r="B342">
        <v>56</v>
      </c>
      <c r="C342" s="6">
        <v>30.4</v>
      </c>
      <c r="D342">
        <v>20</v>
      </c>
      <c r="E342" s="6" t="s">
        <v>6</v>
      </c>
      <c r="F342" t="str">
        <f>_xlfn.XLOOKUP(northwind_order_details[[#This Row],[order_id]],northwind_orders[order_id],northwind_orders[ship_country])</f>
        <v>UK</v>
      </c>
      <c r="G342">
        <f>INDEX(northwind_orders[],MATCH(northwind_order_details[[#This Row],[order_id]], northwind_orders[order_id], 0), MATCH("employee_id", northwind_orders[#Headers], 0))</f>
        <v>8</v>
      </c>
      <c r="H342">
        <f>northwind_order_details[[#This Row],[unit_price]]*northwind_order_details[[#This Row],[quantity]]</f>
        <v>608</v>
      </c>
      <c r="I342" s="1">
        <f>northwind_order_details[[#This Row],[purchase amount]]*northwind_order_details[[#This Row],[discount]]</f>
        <v>0</v>
      </c>
      <c r="J342" s="1">
        <f>northwind_order_details[[#This Row],[purchase amount]]-northwind_order_details[[#This Row],[discount amount]]</f>
        <v>608</v>
      </c>
      <c r="K342" s="6" t="str">
        <f>IF(northwind_order_details[[#This Row],[discount amount]]&gt;0,"Yes","No")</f>
        <v>No</v>
      </c>
      <c r="L342" s="1" t="str">
        <f>IF(northwind_order_details[[#This Row],[Revenue]]&gt;1000,"High",IF(northwind_order_details[[#This Row],[Revenue]]&gt;300,"Medium","Low"))</f>
        <v>Medium</v>
      </c>
      <c r="M3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3" spans="1:13" x14ac:dyDescent="0.25">
      <c r="A343">
        <v>10384</v>
      </c>
      <c r="B343">
        <v>20</v>
      </c>
      <c r="C343" s="6">
        <v>64.8</v>
      </c>
      <c r="D343">
        <v>28</v>
      </c>
      <c r="E343" s="6" t="s">
        <v>6</v>
      </c>
      <c r="F343" t="str">
        <f>_xlfn.XLOOKUP(northwind_order_details[[#This Row],[order_id]],northwind_orders[order_id],northwind_orders[ship_country])</f>
        <v>Sweden</v>
      </c>
      <c r="G343">
        <f>INDEX(northwind_orders[],MATCH(northwind_order_details[[#This Row],[order_id]], northwind_orders[order_id], 0), MATCH("employee_id", northwind_orders[#Headers], 0))</f>
        <v>3</v>
      </c>
      <c r="H343">
        <f>northwind_order_details[[#This Row],[unit_price]]*northwind_order_details[[#This Row],[quantity]]</f>
        <v>1814.3999999999999</v>
      </c>
      <c r="I343" s="1">
        <f>northwind_order_details[[#This Row],[purchase amount]]*northwind_order_details[[#This Row],[discount]]</f>
        <v>0</v>
      </c>
      <c r="J343" s="1">
        <f>northwind_order_details[[#This Row],[purchase amount]]-northwind_order_details[[#This Row],[discount amount]]</f>
        <v>1814.3999999999999</v>
      </c>
      <c r="K343" s="6" t="str">
        <f>IF(northwind_order_details[[#This Row],[discount amount]]&gt;0,"Yes","No")</f>
        <v>No</v>
      </c>
      <c r="L343" s="1" t="str">
        <f>IF(northwind_order_details[[#This Row],[Revenue]]&gt;1000,"High",IF(northwind_order_details[[#This Row],[Revenue]]&gt;300,"Medium","Low"))</f>
        <v>High</v>
      </c>
      <c r="M3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4" spans="1:13" x14ac:dyDescent="0.25">
      <c r="A344">
        <v>10384</v>
      </c>
      <c r="B344">
        <v>60</v>
      </c>
      <c r="C344" s="6">
        <v>27.2</v>
      </c>
      <c r="D344">
        <v>15</v>
      </c>
      <c r="E344" s="6" t="s">
        <v>6</v>
      </c>
      <c r="F344" t="str">
        <f>_xlfn.XLOOKUP(northwind_order_details[[#This Row],[order_id]],northwind_orders[order_id],northwind_orders[ship_country])</f>
        <v>Sweden</v>
      </c>
      <c r="G344">
        <f>INDEX(northwind_orders[],MATCH(northwind_order_details[[#This Row],[order_id]], northwind_orders[order_id], 0), MATCH("employee_id", northwind_orders[#Headers], 0))</f>
        <v>3</v>
      </c>
      <c r="H344">
        <f>northwind_order_details[[#This Row],[unit_price]]*northwind_order_details[[#This Row],[quantity]]</f>
        <v>408</v>
      </c>
      <c r="I344" s="1">
        <f>northwind_order_details[[#This Row],[purchase amount]]*northwind_order_details[[#This Row],[discount]]</f>
        <v>0</v>
      </c>
      <c r="J344" s="1">
        <f>northwind_order_details[[#This Row],[purchase amount]]-northwind_order_details[[#This Row],[discount amount]]</f>
        <v>408</v>
      </c>
      <c r="K344" s="6" t="str">
        <f>IF(northwind_order_details[[#This Row],[discount amount]]&gt;0,"Yes","No")</f>
        <v>No</v>
      </c>
      <c r="L344" s="1" t="str">
        <f>IF(northwind_order_details[[#This Row],[Revenue]]&gt;1000,"High",IF(northwind_order_details[[#This Row],[Revenue]]&gt;300,"Medium","Low"))</f>
        <v>Medium</v>
      </c>
      <c r="M3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5" spans="1:13" x14ac:dyDescent="0.25">
      <c r="A345">
        <v>10385</v>
      </c>
      <c r="B345">
        <v>7</v>
      </c>
      <c r="C345" s="6" t="s">
        <v>14</v>
      </c>
      <c r="D345">
        <v>10</v>
      </c>
      <c r="E345" s="6">
        <v>0.2</v>
      </c>
      <c r="F345" t="str">
        <f>_xlfn.XLOOKUP(northwind_order_details[[#This Row],[order_id]],northwind_orders[order_id],northwind_orders[ship_country])</f>
        <v>USA</v>
      </c>
      <c r="G345">
        <f>INDEX(northwind_orders[],MATCH(northwind_order_details[[#This Row],[order_id]], northwind_orders[order_id], 0), MATCH("employee_id", northwind_orders[#Headers], 0))</f>
        <v>1</v>
      </c>
      <c r="H345">
        <f>northwind_order_details[[#This Row],[unit_price]]*northwind_order_details[[#This Row],[quantity]]</f>
        <v>240</v>
      </c>
      <c r="I345" s="1">
        <f>northwind_order_details[[#This Row],[purchase amount]]*northwind_order_details[[#This Row],[discount]]</f>
        <v>48</v>
      </c>
      <c r="J345" s="1">
        <f>northwind_order_details[[#This Row],[purchase amount]]-northwind_order_details[[#This Row],[discount amount]]</f>
        <v>192</v>
      </c>
      <c r="K345" s="6" t="str">
        <f>IF(northwind_order_details[[#This Row],[discount amount]]&gt;0,"Yes","No")</f>
        <v>Yes</v>
      </c>
      <c r="L345" s="1" t="str">
        <f>IF(northwind_order_details[[#This Row],[Revenue]]&gt;1000,"High",IF(northwind_order_details[[#This Row],[Revenue]]&gt;300,"Medium","Low"))</f>
        <v>Low</v>
      </c>
      <c r="M3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6" spans="1:13" x14ac:dyDescent="0.25">
      <c r="A346">
        <v>10385</v>
      </c>
      <c r="B346">
        <v>60</v>
      </c>
      <c r="C346" s="6">
        <v>27.2</v>
      </c>
      <c r="D346">
        <v>20</v>
      </c>
      <c r="E346" s="6">
        <v>0.2</v>
      </c>
      <c r="F346" t="str">
        <f>_xlfn.XLOOKUP(northwind_order_details[[#This Row],[order_id]],northwind_orders[order_id],northwind_orders[ship_country])</f>
        <v>USA</v>
      </c>
      <c r="G346">
        <f>INDEX(northwind_orders[],MATCH(northwind_order_details[[#This Row],[order_id]], northwind_orders[order_id], 0), MATCH("employee_id", northwind_orders[#Headers], 0))</f>
        <v>1</v>
      </c>
      <c r="H346">
        <f>northwind_order_details[[#This Row],[unit_price]]*northwind_order_details[[#This Row],[quantity]]</f>
        <v>544</v>
      </c>
      <c r="I346" s="1">
        <f>northwind_order_details[[#This Row],[purchase amount]]*northwind_order_details[[#This Row],[discount]]</f>
        <v>108.80000000000001</v>
      </c>
      <c r="J346" s="1">
        <f>northwind_order_details[[#This Row],[purchase amount]]-northwind_order_details[[#This Row],[discount amount]]</f>
        <v>435.2</v>
      </c>
      <c r="K346" s="6" t="str">
        <f>IF(northwind_order_details[[#This Row],[discount amount]]&gt;0,"Yes","No")</f>
        <v>Yes</v>
      </c>
      <c r="L346" s="1" t="str">
        <f>IF(northwind_order_details[[#This Row],[Revenue]]&gt;1000,"High",IF(northwind_order_details[[#This Row],[Revenue]]&gt;300,"Medium","Low"))</f>
        <v>Medium</v>
      </c>
      <c r="M3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7" spans="1:13" x14ac:dyDescent="0.25">
      <c r="A347">
        <v>10385</v>
      </c>
      <c r="B347">
        <v>68</v>
      </c>
      <c r="C347" s="6" t="s">
        <v>8</v>
      </c>
      <c r="D347">
        <v>8</v>
      </c>
      <c r="E347" s="6">
        <v>0.2</v>
      </c>
      <c r="F347" t="str">
        <f>_xlfn.XLOOKUP(northwind_order_details[[#This Row],[order_id]],northwind_orders[order_id],northwind_orders[ship_country])</f>
        <v>USA</v>
      </c>
      <c r="G347">
        <f>INDEX(northwind_orders[],MATCH(northwind_order_details[[#This Row],[order_id]], northwind_orders[order_id], 0), MATCH("employee_id", northwind_orders[#Headers], 0))</f>
        <v>1</v>
      </c>
      <c r="H347">
        <f>northwind_order_details[[#This Row],[unit_price]]*northwind_order_details[[#This Row],[quantity]]</f>
        <v>80</v>
      </c>
      <c r="I347" s="1">
        <f>northwind_order_details[[#This Row],[purchase amount]]*northwind_order_details[[#This Row],[discount]]</f>
        <v>16</v>
      </c>
      <c r="J347" s="1">
        <f>northwind_order_details[[#This Row],[purchase amount]]-northwind_order_details[[#This Row],[discount amount]]</f>
        <v>64</v>
      </c>
      <c r="K347" s="6" t="str">
        <f>IF(northwind_order_details[[#This Row],[discount amount]]&gt;0,"Yes","No")</f>
        <v>Yes</v>
      </c>
      <c r="L347" s="1" t="str">
        <f>IF(northwind_order_details[[#This Row],[Revenue]]&gt;1000,"High",IF(northwind_order_details[[#This Row],[Revenue]]&gt;300,"Medium","Low"))</f>
        <v>Low</v>
      </c>
      <c r="M3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8" spans="1:13" x14ac:dyDescent="0.25">
      <c r="A348">
        <v>10386</v>
      </c>
      <c r="B348">
        <v>24</v>
      </c>
      <c r="C348" s="6">
        <v>3.6</v>
      </c>
      <c r="D348">
        <v>15</v>
      </c>
      <c r="E348" s="6" t="s">
        <v>6</v>
      </c>
      <c r="F348" t="str">
        <f>_xlfn.XLOOKUP(northwind_order_details[[#This Row],[order_id]],northwind_orders[order_id],northwind_orders[ship_country])</f>
        <v>Brazil</v>
      </c>
      <c r="G348">
        <f>INDEX(northwind_orders[],MATCH(northwind_order_details[[#This Row],[order_id]], northwind_orders[order_id], 0), MATCH("employee_id", northwind_orders[#Headers], 0))</f>
        <v>9</v>
      </c>
      <c r="H348">
        <f>northwind_order_details[[#This Row],[unit_price]]*northwind_order_details[[#This Row],[quantity]]</f>
        <v>54</v>
      </c>
      <c r="I348" s="1">
        <f>northwind_order_details[[#This Row],[purchase amount]]*northwind_order_details[[#This Row],[discount]]</f>
        <v>0</v>
      </c>
      <c r="J348" s="1">
        <f>northwind_order_details[[#This Row],[purchase amount]]-northwind_order_details[[#This Row],[discount amount]]</f>
        <v>54</v>
      </c>
      <c r="K348" s="6" t="str">
        <f>IF(northwind_order_details[[#This Row],[discount amount]]&gt;0,"Yes","No")</f>
        <v>No</v>
      </c>
      <c r="L348" s="1" t="str">
        <f>IF(northwind_order_details[[#This Row],[Revenue]]&gt;1000,"High",IF(northwind_order_details[[#This Row],[Revenue]]&gt;300,"Medium","Low"))</f>
        <v>Low</v>
      </c>
      <c r="M3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49" spans="1:13" x14ac:dyDescent="0.25">
      <c r="A349">
        <v>10386</v>
      </c>
      <c r="B349">
        <v>34</v>
      </c>
      <c r="C349" s="6">
        <v>11.2</v>
      </c>
      <c r="D349">
        <v>10</v>
      </c>
      <c r="E349" s="6" t="s">
        <v>6</v>
      </c>
      <c r="F349" t="str">
        <f>_xlfn.XLOOKUP(northwind_order_details[[#This Row],[order_id]],northwind_orders[order_id],northwind_orders[ship_country])</f>
        <v>Brazil</v>
      </c>
      <c r="G349">
        <f>INDEX(northwind_orders[],MATCH(northwind_order_details[[#This Row],[order_id]], northwind_orders[order_id], 0), MATCH("employee_id", northwind_orders[#Headers], 0))</f>
        <v>9</v>
      </c>
      <c r="H349">
        <f>northwind_order_details[[#This Row],[unit_price]]*northwind_order_details[[#This Row],[quantity]]</f>
        <v>112</v>
      </c>
      <c r="I349" s="1">
        <f>northwind_order_details[[#This Row],[purchase amount]]*northwind_order_details[[#This Row],[discount]]</f>
        <v>0</v>
      </c>
      <c r="J349" s="1">
        <f>northwind_order_details[[#This Row],[purchase amount]]-northwind_order_details[[#This Row],[discount amount]]</f>
        <v>112</v>
      </c>
      <c r="K349" s="6" t="str">
        <f>IF(northwind_order_details[[#This Row],[discount amount]]&gt;0,"Yes","No")</f>
        <v>No</v>
      </c>
      <c r="L349" s="1" t="str">
        <f>IF(northwind_order_details[[#This Row],[Revenue]]&gt;1000,"High",IF(northwind_order_details[[#This Row],[Revenue]]&gt;300,"Medium","Low"))</f>
        <v>Low</v>
      </c>
      <c r="M3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0" spans="1:13" x14ac:dyDescent="0.25">
      <c r="A350">
        <v>10387</v>
      </c>
      <c r="B350">
        <v>24</v>
      </c>
      <c r="C350" s="6">
        <v>3.6</v>
      </c>
      <c r="D350">
        <v>15</v>
      </c>
      <c r="E350" s="6" t="s">
        <v>6</v>
      </c>
      <c r="F350" t="str">
        <f>_xlfn.XLOOKUP(northwind_order_details[[#This Row],[order_id]],northwind_orders[order_id],northwind_orders[ship_country])</f>
        <v>Norway</v>
      </c>
      <c r="G350">
        <f>INDEX(northwind_orders[],MATCH(northwind_order_details[[#This Row],[order_id]], northwind_orders[order_id], 0), MATCH("employee_id", northwind_orders[#Headers], 0))</f>
        <v>1</v>
      </c>
      <c r="H350">
        <f>northwind_order_details[[#This Row],[unit_price]]*northwind_order_details[[#This Row],[quantity]]</f>
        <v>54</v>
      </c>
      <c r="I350" s="1">
        <f>northwind_order_details[[#This Row],[purchase amount]]*northwind_order_details[[#This Row],[discount]]</f>
        <v>0</v>
      </c>
      <c r="J350" s="1">
        <f>northwind_order_details[[#This Row],[purchase amount]]-northwind_order_details[[#This Row],[discount amount]]</f>
        <v>54</v>
      </c>
      <c r="K350" s="6" t="str">
        <f>IF(northwind_order_details[[#This Row],[discount amount]]&gt;0,"Yes","No")</f>
        <v>No</v>
      </c>
      <c r="L350" s="1" t="str">
        <f>IF(northwind_order_details[[#This Row],[Revenue]]&gt;1000,"High",IF(northwind_order_details[[#This Row],[Revenue]]&gt;300,"Medium","Low"))</f>
        <v>Low</v>
      </c>
      <c r="M3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1" spans="1:13" x14ac:dyDescent="0.25">
      <c r="A351">
        <v>10387</v>
      </c>
      <c r="B351">
        <v>28</v>
      </c>
      <c r="C351" s="6">
        <v>36.4</v>
      </c>
      <c r="D351">
        <v>6</v>
      </c>
      <c r="E351" s="6" t="s">
        <v>6</v>
      </c>
      <c r="F351" t="str">
        <f>_xlfn.XLOOKUP(northwind_order_details[[#This Row],[order_id]],northwind_orders[order_id],northwind_orders[ship_country])</f>
        <v>Norway</v>
      </c>
      <c r="G351">
        <f>INDEX(northwind_orders[],MATCH(northwind_order_details[[#This Row],[order_id]], northwind_orders[order_id], 0), MATCH("employee_id", northwind_orders[#Headers], 0))</f>
        <v>1</v>
      </c>
      <c r="H351">
        <f>northwind_order_details[[#This Row],[unit_price]]*northwind_order_details[[#This Row],[quantity]]</f>
        <v>218.39999999999998</v>
      </c>
      <c r="I351" s="1">
        <f>northwind_order_details[[#This Row],[purchase amount]]*northwind_order_details[[#This Row],[discount]]</f>
        <v>0</v>
      </c>
      <c r="J351" s="1">
        <f>northwind_order_details[[#This Row],[purchase amount]]-northwind_order_details[[#This Row],[discount amount]]</f>
        <v>218.39999999999998</v>
      </c>
      <c r="K351" s="6" t="str">
        <f>IF(northwind_order_details[[#This Row],[discount amount]]&gt;0,"Yes","No")</f>
        <v>No</v>
      </c>
      <c r="L351" s="1" t="str">
        <f>IF(northwind_order_details[[#This Row],[Revenue]]&gt;1000,"High",IF(northwind_order_details[[#This Row],[Revenue]]&gt;300,"Medium","Low"))</f>
        <v>Low</v>
      </c>
      <c r="M3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2" spans="1:13" x14ac:dyDescent="0.25">
      <c r="A352">
        <v>10387</v>
      </c>
      <c r="B352">
        <v>59</v>
      </c>
      <c r="C352" s="6" t="s">
        <v>11</v>
      </c>
      <c r="D352">
        <v>12</v>
      </c>
      <c r="E352" s="6" t="s">
        <v>6</v>
      </c>
      <c r="F352" t="str">
        <f>_xlfn.XLOOKUP(northwind_order_details[[#This Row],[order_id]],northwind_orders[order_id],northwind_orders[ship_country])</f>
        <v>Norway</v>
      </c>
      <c r="G352">
        <f>INDEX(northwind_orders[],MATCH(northwind_order_details[[#This Row],[order_id]], northwind_orders[order_id], 0), MATCH("employee_id", northwind_orders[#Headers], 0))</f>
        <v>1</v>
      </c>
      <c r="H352">
        <f>northwind_order_details[[#This Row],[unit_price]]*northwind_order_details[[#This Row],[quantity]]</f>
        <v>528</v>
      </c>
      <c r="I352" s="1">
        <f>northwind_order_details[[#This Row],[purchase amount]]*northwind_order_details[[#This Row],[discount]]</f>
        <v>0</v>
      </c>
      <c r="J352" s="1">
        <f>northwind_order_details[[#This Row],[purchase amount]]-northwind_order_details[[#This Row],[discount amount]]</f>
        <v>528</v>
      </c>
      <c r="K352" s="6" t="str">
        <f>IF(northwind_order_details[[#This Row],[discount amount]]&gt;0,"Yes","No")</f>
        <v>No</v>
      </c>
      <c r="L352" s="1" t="str">
        <f>IF(northwind_order_details[[#This Row],[Revenue]]&gt;1000,"High",IF(northwind_order_details[[#This Row],[Revenue]]&gt;300,"Medium","Low"))</f>
        <v>Medium</v>
      </c>
      <c r="M3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3" spans="1:13" x14ac:dyDescent="0.25">
      <c r="A353">
        <v>10387</v>
      </c>
      <c r="B353">
        <v>71</v>
      </c>
      <c r="C353" s="6">
        <v>17.2</v>
      </c>
      <c r="D353">
        <v>15</v>
      </c>
      <c r="E353" s="6" t="s">
        <v>6</v>
      </c>
      <c r="F353" t="str">
        <f>_xlfn.XLOOKUP(northwind_order_details[[#This Row],[order_id]],northwind_orders[order_id],northwind_orders[ship_country])</f>
        <v>Norway</v>
      </c>
      <c r="G353">
        <f>INDEX(northwind_orders[],MATCH(northwind_order_details[[#This Row],[order_id]], northwind_orders[order_id], 0), MATCH("employee_id", northwind_orders[#Headers], 0))</f>
        <v>1</v>
      </c>
      <c r="H353">
        <f>northwind_order_details[[#This Row],[unit_price]]*northwind_order_details[[#This Row],[quantity]]</f>
        <v>258</v>
      </c>
      <c r="I353" s="1">
        <f>northwind_order_details[[#This Row],[purchase amount]]*northwind_order_details[[#This Row],[discount]]</f>
        <v>0</v>
      </c>
      <c r="J353" s="1">
        <f>northwind_order_details[[#This Row],[purchase amount]]-northwind_order_details[[#This Row],[discount amount]]</f>
        <v>258</v>
      </c>
      <c r="K353" s="6" t="str">
        <f>IF(northwind_order_details[[#This Row],[discount amount]]&gt;0,"Yes","No")</f>
        <v>No</v>
      </c>
      <c r="L353" s="1" t="str">
        <f>IF(northwind_order_details[[#This Row],[Revenue]]&gt;1000,"High",IF(northwind_order_details[[#This Row],[Revenue]]&gt;300,"Medium","Low"))</f>
        <v>Low</v>
      </c>
      <c r="M3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4" spans="1:13" x14ac:dyDescent="0.25">
      <c r="A354">
        <v>10388</v>
      </c>
      <c r="B354">
        <v>45</v>
      </c>
      <c r="C354" s="6">
        <v>7.6</v>
      </c>
      <c r="D354">
        <v>15</v>
      </c>
      <c r="E354" s="6">
        <v>0.2</v>
      </c>
      <c r="F354" t="str">
        <f>_xlfn.XLOOKUP(northwind_order_details[[#This Row],[order_id]],northwind_orders[order_id],northwind_orders[ship_country])</f>
        <v>UK</v>
      </c>
      <c r="G354">
        <f>INDEX(northwind_orders[],MATCH(northwind_order_details[[#This Row],[order_id]], northwind_orders[order_id], 0), MATCH("employee_id", northwind_orders[#Headers], 0))</f>
        <v>2</v>
      </c>
      <c r="H354">
        <f>northwind_order_details[[#This Row],[unit_price]]*northwind_order_details[[#This Row],[quantity]]</f>
        <v>114</v>
      </c>
      <c r="I354" s="1">
        <f>northwind_order_details[[#This Row],[purchase amount]]*northwind_order_details[[#This Row],[discount]]</f>
        <v>22.8</v>
      </c>
      <c r="J354" s="1">
        <f>northwind_order_details[[#This Row],[purchase amount]]-northwind_order_details[[#This Row],[discount amount]]</f>
        <v>91.2</v>
      </c>
      <c r="K354" s="6" t="str">
        <f>IF(northwind_order_details[[#This Row],[discount amount]]&gt;0,"Yes","No")</f>
        <v>Yes</v>
      </c>
      <c r="L354" s="1" t="str">
        <f>IF(northwind_order_details[[#This Row],[Revenue]]&gt;1000,"High",IF(northwind_order_details[[#This Row],[Revenue]]&gt;300,"Medium","Low"))</f>
        <v>Low</v>
      </c>
      <c r="M3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5" spans="1:13" x14ac:dyDescent="0.25">
      <c r="A355">
        <v>10388</v>
      </c>
      <c r="B355">
        <v>52</v>
      </c>
      <c r="C355" s="6">
        <v>5.6</v>
      </c>
      <c r="D355">
        <v>20</v>
      </c>
      <c r="E355" s="6">
        <v>0.2</v>
      </c>
      <c r="F355" t="str">
        <f>_xlfn.XLOOKUP(northwind_order_details[[#This Row],[order_id]],northwind_orders[order_id],northwind_orders[ship_country])</f>
        <v>UK</v>
      </c>
      <c r="G355">
        <f>INDEX(northwind_orders[],MATCH(northwind_order_details[[#This Row],[order_id]], northwind_orders[order_id], 0), MATCH("employee_id", northwind_orders[#Headers], 0))</f>
        <v>2</v>
      </c>
      <c r="H355">
        <f>northwind_order_details[[#This Row],[unit_price]]*northwind_order_details[[#This Row],[quantity]]</f>
        <v>112</v>
      </c>
      <c r="I355" s="1">
        <f>northwind_order_details[[#This Row],[purchase amount]]*northwind_order_details[[#This Row],[discount]]</f>
        <v>22.400000000000002</v>
      </c>
      <c r="J355" s="1">
        <f>northwind_order_details[[#This Row],[purchase amount]]-northwind_order_details[[#This Row],[discount amount]]</f>
        <v>89.6</v>
      </c>
      <c r="K355" s="6" t="str">
        <f>IF(northwind_order_details[[#This Row],[discount amount]]&gt;0,"Yes","No")</f>
        <v>Yes</v>
      </c>
      <c r="L355" s="1" t="str">
        <f>IF(northwind_order_details[[#This Row],[Revenue]]&gt;1000,"High",IF(northwind_order_details[[#This Row],[Revenue]]&gt;300,"Medium","Low"))</f>
        <v>Low</v>
      </c>
      <c r="M3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6" spans="1:13" x14ac:dyDescent="0.25">
      <c r="A356">
        <v>10388</v>
      </c>
      <c r="B356">
        <v>53</v>
      </c>
      <c r="C356" s="6">
        <v>26.2</v>
      </c>
      <c r="D356">
        <v>40</v>
      </c>
      <c r="E356" s="6" t="s">
        <v>6</v>
      </c>
      <c r="F356" t="str">
        <f>_xlfn.XLOOKUP(northwind_order_details[[#This Row],[order_id]],northwind_orders[order_id],northwind_orders[ship_country])</f>
        <v>UK</v>
      </c>
      <c r="G356">
        <f>INDEX(northwind_orders[],MATCH(northwind_order_details[[#This Row],[order_id]], northwind_orders[order_id], 0), MATCH("employee_id", northwind_orders[#Headers], 0))</f>
        <v>2</v>
      </c>
      <c r="H356">
        <f>northwind_order_details[[#This Row],[unit_price]]*northwind_order_details[[#This Row],[quantity]]</f>
        <v>1048</v>
      </c>
      <c r="I356" s="1">
        <f>northwind_order_details[[#This Row],[purchase amount]]*northwind_order_details[[#This Row],[discount]]</f>
        <v>0</v>
      </c>
      <c r="J356" s="1">
        <f>northwind_order_details[[#This Row],[purchase amount]]-northwind_order_details[[#This Row],[discount amount]]</f>
        <v>1048</v>
      </c>
      <c r="K356" s="6" t="str">
        <f>IF(northwind_order_details[[#This Row],[discount amount]]&gt;0,"Yes","No")</f>
        <v>No</v>
      </c>
      <c r="L356" s="1" t="str">
        <f>IF(northwind_order_details[[#This Row],[Revenue]]&gt;1000,"High",IF(northwind_order_details[[#This Row],[Revenue]]&gt;300,"Medium","Low"))</f>
        <v>High</v>
      </c>
      <c r="M3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7" spans="1:13" x14ac:dyDescent="0.25">
      <c r="A357">
        <v>10389</v>
      </c>
      <c r="B357">
        <v>10</v>
      </c>
      <c r="C357" s="6">
        <v>24.8</v>
      </c>
      <c r="D357">
        <v>16</v>
      </c>
      <c r="E357" s="6" t="s">
        <v>6</v>
      </c>
      <c r="F357" t="str">
        <f>_xlfn.XLOOKUP(northwind_order_details[[#This Row],[order_id]],northwind_orders[order_id],northwind_orders[ship_country])</f>
        <v>Canada</v>
      </c>
      <c r="G357">
        <f>INDEX(northwind_orders[],MATCH(northwind_order_details[[#This Row],[order_id]], northwind_orders[order_id], 0), MATCH("employee_id", northwind_orders[#Headers], 0))</f>
        <v>4</v>
      </c>
      <c r="H357">
        <f>northwind_order_details[[#This Row],[unit_price]]*northwind_order_details[[#This Row],[quantity]]</f>
        <v>396.8</v>
      </c>
      <c r="I357" s="1">
        <f>northwind_order_details[[#This Row],[purchase amount]]*northwind_order_details[[#This Row],[discount]]</f>
        <v>0</v>
      </c>
      <c r="J357" s="1">
        <f>northwind_order_details[[#This Row],[purchase amount]]-northwind_order_details[[#This Row],[discount amount]]</f>
        <v>396.8</v>
      </c>
      <c r="K357" s="6" t="str">
        <f>IF(northwind_order_details[[#This Row],[discount amount]]&gt;0,"Yes","No")</f>
        <v>No</v>
      </c>
      <c r="L357" s="1" t="str">
        <f>IF(northwind_order_details[[#This Row],[Revenue]]&gt;1000,"High",IF(northwind_order_details[[#This Row],[Revenue]]&gt;300,"Medium","Low"))</f>
        <v>Medium</v>
      </c>
      <c r="M3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8" spans="1:13" x14ac:dyDescent="0.25">
      <c r="A358">
        <v>10389</v>
      </c>
      <c r="B358">
        <v>55</v>
      </c>
      <c r="C358" s="6">
        <v>19.2</v>
      </c>
      <c r="D358">
        <v>15</v>
      </c>
      <c r="E358" s="6" t="s">
        <v>6</v>
      </c>
      <c r="F358" t="str">
        <f>_xlfn.XLOOKUP(northwind_order_details[[#This Row],[order_id]],northwind_orders[order_id],northwind_orders[ship_country])</f>
        <v>Canada</v>
      </c>
      <c r="G358">
        <f>INDEX(northwind_orders[],MATCH(northwind_order_details[[#This Row],[order_id]], northwind_orders[order_id], 0), MATCH("employee_id", northwind_orders[#Headers], 0))</f>
        <v>4</v>
      </c>
      <c r="H358">
        <f>northwind_order_details[[#This Row],[unit_price]]*northwind_order_details[[#This Row],[quantity]]</f>
        <v>288</v>
      </c>
      <c r="I358" s="1">
        <f>northwind_order_details[[#This Row],[purchase amount]]*northwind_order_details[[#This Row],[discount]]</f>
        <v>0</v>
      </c>
      <c r="J358" s="1">
        <f>northwind_order_details[[#This Row],[purchase amount]]-northwind_order_details[[#This Row],[discount amount]]</f>
        <v>288</v>
      </c>
      <c r="K358" s="6" t="str">
        <f>IF(northwind_order_details[[#This Row],[discount amount]]&gt;0,"Yes","No")</f>
        <v>No</v>
      </c>
      <c r="L358" s="1" t="str">
        <f>IF(northwind_order_details[[#This Row],[Revenue]]&gt;1000,"High",IF(northwind_order_details[[#This Row],[Revenue]]&gt;300,"Medium","Low"))</f>
        <v>Low</v>
      </c>
      <c r="M3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59" spans="1:13" x14ac:dyDescent="0.25">
      <c r="A359">
        <v>10389</v>
      </c>
      <c r="B359">
        <v>62</v>
      </c>
      <c r="C359" s="6">
        <v>39.4</v>
      </c>
      <c r="D359">
        <v>20</v>
      </c>
      <c r="E359" s="6" t="s">
        <v>6</v>
      </c>
      <c r="F359" t="str">
        <f>_xlfn.XLOOKUP(northwind_order_details[[#This Row],[order_id]],northwind_orders[order_id],northwind_orders[ship_country])</f>
        <v>Canada</v>
      </c>
      <c r="G359">
        <f>INDEX(northwind_orders[],MATCH(northwind_order_details[[#This Row],[order_id]], northwind_orders[order_id], 0), MATCH("employee_id", northwind_orders[#Headers], 0))</f>
        <v>4</v>
      </c>
      <c r="H359">
        <f>northwind_order_details[[#This Row],[unit_price]]*northwind_order_details[[#This Row],[quantity]]</f>
        <v>788</v>
      </c>
      <c r="I359" s="1">
        <f>northwind_order_details[[#This Row],[purchase amount]]*northwind_order_details[[#This Row],[discount]]</f>
        <v>0</v>
      </c>
      <c r="J359" s="1">
        <f>northwind_order_details[[#This Row],[purchase amount]]-northwind_order_details[[#This Row],[discount amount]]</f>
        <v>788</v>
      </c>
      <c r="K359" s="6" t="str">
        <f>IF(northwind_order_details[[#This Row],[discount amount]]&gt;0,"Yes","No")</f>
        <v>No</v>
      </c>
      <c r="L359" s="1" t="str">
        <f>IF(northwind_order_details[[#This Row],[Revenue]]&gt;1000,"High",IF(northwind_order_details[[#This Row],[Revenue]]&gt;300,"Medium","Low"))</f>
        <v>Medium</v>
      </c>
      <c r="M3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0" spans="1:13" x14ac:dyDescent="0.25">
      <c r="A360">
        <v>10389</v>
      </c>
      <c r="B360">
        <v>70</v>
      </c>
      <c r="C360" s="6" t="s">
        <v>13</v>
      </c>
      <c r="D360">
        <v>30</v>
      </c>
      <c r="E360" s="6" t="s">
        <v>6</v>
      </c>
      <c r="F360" t="str">
        <f>_xlfn.XLOOKUP(northwind_order_details[[#This Row],[order_id]],northwind_orders[order_id],northwind_orders[ship_country])</f>
        <v>Canada</v>
      </c>
      <c r="G360">
        <f>INDEX(northwind_orders[],MATCH(northwind_order_details[[#This Row],[order_id]], northwind_orders[order_id], 0), MATCH("employee_id", northwind_orders[#Headers], 0))</f>
        <v>4</v>
      </c>
      <c r="H360">
        <f>northwind_order_details[[#This Row],[unit_price]]*northwind_order_details[[#This Row],[quantity]]</f>
        <v>360</v>
      </c>
      <c r="I360" s="1">
        <f>northwind_order_details[[#This Row],[purchase amount]]*northwind_order_details[[#This Row],[discount]]</f>
        <v>0</v>
      </c>
      <c r="J360" s="1">
        <f>northwind_order_details[[#This Row],[purchase amount]]-northwind_order_details[[#This Row],[discount amount]]</f>
        <v>360</v>
      </c>
      <c r="K360" s="6" t="str">
        <f>IF(northwind_order_details[[#This Row],[discount amount]]&gt;0,"Yes","No")</f>
        <v>No</v>
      </c>
      <c r="L360" s="1" t="str">
        <f>IF(northwind_order_details[[#This Row],[Revenue]]&gt;1000,"High",IF(northwind_order_details[[#This Row],[Revenue]]&gt;300,"Medium","Low"))</f>
        <v>Medium</v>
      </c>
      <c r="M3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1" spans="1:13" x14ac:dyDescent="0.25">
      <c r="A361">
        <v>10390</v>
      </c>
      <c r="B361">
        <v>31</v>
      </c>
      <c r="C361" s="6" t="s">
        <v>8</v>
      </c>
      <c r="D361">
        <v>60</v>
      </c>
      <c r="E361" s="6">
        <v>0.1</v>
      </c>
      <c r="F361" t="str">
        <f>_xlfn.XLOOKUP(northwind_order_details[[#This Row],[order_id]],northwind_orders[order_id],northwind_orders[ship_country])</f>
        <v>Austria</v>
      </c>
      <c r="G361">
        <f>INDEX(northwind_orders[],MATCH(northwind_order_details[[#This Row],[order_id]], northwind_orders[order_id], 0), MATCH("employee_id", northwind_orders[#Headers], 0))</f>
        <v>6</v>
      </c>
      <c r="H361">
        <f>northwind_order_details[[#This Row],[unit_price]]*northwind_order_details[[#This Row],[quantity]]</f>
        <v>600</v>
      </c>
      <c r="I361" s="1">
        <f>northwind_order_details[[#This Row],[purchase amount]]*northwind_order_details[[#This Row],[discount]]</f>
        <v>60</v>
      </c>
      <c r="J361" s="1">
        <f>northwind_order_details[[#This Row],[purchase amount]]-northwind_order_details[[#This Row],[discount amount]]</f>
        <v>540</v>
      </c>
      <c r="K361" s="6" t="str">
        <f>IF(northwind_order_details[[#This Row],[discount amount]]&gt;0,"Yes","No")</f>
        <v>Yes</v>
      </c>
      <c r="L361" s="1" t="str">
        <f>IF(northwind_order_details[[#This Row],[Revenue]]&gt;1000,"High",IF(northwind_order_details[[#This Row],[Revenue]]&gt;300,"Medium","Low"))</f>
        <v>Medium</v>
      </c>
      <c r="M3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2" spans="1:13" x14ac:dyDescent="0.25">
      <c r="A362">
        <v>10390</v>
      </c>
      <c r="B362">
        <v>35</v>
      </c>
      <c r="C362" s="6">
        <v>14.4</v>
      </c>
      <c r="D362">
        <v>40</v>
      </c>
      <c r="E362" s="6">
        <v>0.1</v>
      </c>
      <c r="F362" t="str">
        <f>_xlfn.XLOOKUP(northwind_order_details[[#This Row],[order_id]],northwind_orders[order_id],northwind_orders[ship_country])</f>
        <v>Austria</v>
      </c>
      <c r="G362">
        <f>INDEX(northwind_orders[],MATCH(northwind_order_details[[#This Row],[order_id]], northwind_orders[order_id], 0), MATCH("employee_id", northwind_orders[#Headers], 0))</f>
        <v>6</v>
      </c>
      <c r="H362">
        <f>northwind_order_details[[#This Row],[unit_price]]*northwind_order_details[[#This Row],[quantity]]</f>
        <v>576</v>
      </c>
      <c r="I362" s="1">
        <f>northwind_order_details[[#This Row],[purchase amount]]*northwind_order_details[[#This Row],[discount]]</f>
        <v>57.6</v>
      </c>
      <c r="J362" s="1">
        <f>northwind_order_details[[#This Row],[purchase amount]]-northwind_order_details[[#This Row],[discount amount]]</f>
        <v>518.4</v>
      </c>
      <c r="K362" s="6" t="str">
        <f>IF(northwind_order_details[[#This Row],[discount amount]]&gt;0,"Yes","No")</f>
        <v>Yes</v>
      </c>
      <c r="L362" s="1" t="str">
        <f>IF(northwind_order_details[[#This Row],[Revenue]]&gt;1000,"High",IF(northwind_order_details[[#This Row],[Revenue]]&gt;300,"Medium","Low"))</f>
        <v>Medium</v>
      </c>
      <c r="M3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3" spans="1:13" x14ac:dyDescent="0.25">
      <c r="A363">
        <v>10390</v>
      </c>
      <c r="B363">
        <v>46</v>
      </c>
      <c r="C363" s="6">
        <v>9.6</v>
      </c>
      <c r="D363">
        <v>45</v>
      </c>
      <c r="E363" s="6" t="s">
        <v>6</v>
      </c>
      <c r="F363" t="str">
        <f>_xlfn.XLOOKUP(northwind_order_details[[#This Row],[order_id]],northwind_orders[order_id],northwind_orders[ship_country])</f>
        <v>Austria</v>
      </c>
      <c r="G363">
        <f>INDEX(northwind_orders[],MATCH(northwind_order_details[[#This Row],[order_id]], northwind_orders[order_id], 0), MATCH("employee_id", northwind_orders[#Headers], 0))</f>
        <v>6</v>
      </c>
      <c r="H363">
        <f>northwind_order_details[[#This Row],[unit_price]]*northwind_order_details[[#This Row],[quantity]]</f>
        <v>432</v>
      </c>
      <c r="I363" s="1">
        <f>northwind_order_details[[#This Row],[purchase amount]]*northwind_order_details[[#This Row],[discount]]</f>
        <v>0</v>
      </c>
      <c r="J363" s="1">
        <f>northwind_order_details[[#This Row],[purchase amount]]-northwind_order_details[[#This Row],[discount amount]]</f>
        <v>432</v>
      </c>
      <c r="K363" s="6" t="str">
        <f>IF(northwind_order_details[[#This Row],[discount amount]]&gt;0,"Yes","No")</f>
        <v>No</v>
      </c>
      <c r="L363" s="1" t="str">
        <f>IF(northwind_order_details[[#This Row],[Revenue]]&gt;1000,"High",IF(northwind_order_details[[#This Row],[Revenue]]&gt;300,"Medium","Low"))</f>
        <v>Medium</v>
      </c>
      <c r="M3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4" spans="1:13" x14ac:dyDescent="0.25">
      <c r="A364">
        <v>10390</v>
      </c>
      <c r="B364">
        <v>72</v>
      </c>
      <c r="C364" s="6">
        <v>27.8</v>
      </c>
      <c r="D364">
        <v>24</v>
      </c>
      <c r="E364" s="6">
        <v>0.1</v>
      </c>
      <c r="F364" t="str">
        <f>_xlfn.XLOOKUP(northwind_order_details[[#This Row],[order_id]],northwind_orders[order_id],northwind_orders[ship_country])</f>
        <v>Austria</v>
      </c>
      <c r="G364">
        <f>INDEX(northwind_orders[],MATCH(northwind_order_details[[#This Row],[order_id]], northwind_orders[order_id], 0), MATCH("employee_id", northwind_orders[#Headers], 0))</f>
        <v>6</v>
      </c>
      <c r="H364">
        <f>northwind_order_details[[#This Row],[unit_price]]*northwind_order_details[[#This Row],[quantity]]</f>
        <v>667.2</v>
      </c>
      <c r="I364" s="1">
        <f>northwind_order_details[[#This Row],[purchase amount]]*northwind_order_details[[#This Row],[discount]]</f>
        <v>66.720000000000013</v>
      </c>
      <c r="J364" s="1">
        <f>northwind_order_details[[#This Row],[purchase amount]]-northwind_order_details[[#This Row],[discount amount]]</f>
        <v>600.48</v>
      </c>
      <c r="K364" s="6" t="str">
        <f>IF(northwind_order_details[[#This Row],[discount amount]]&gt;0,"Yes","No")</f>
        <v>Yes</v>
      </c>
      <c r="L364" s="1" t="str">
        <f>IF(northwind_order_details[[#This Row],[Revenue]]&gt;1000,"High",IF(northwind_order_details[[#This Row],[Revenue]]&gt;300,"Medium","Low"))</f>
        <v>Medium</v>
      </c>
      <c r="M3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5" spans="1:13" x14ac:dyDescent="0.25">
      <c r="A365">
        <v>10391</v>
      </c>
      <c r="B365">
        <v>13</v>
      </c>
      <c r="C365" s="6">
        <v>4.8</v>
      </c>
      <c r="D365">
        <v>18</v>
      </c>
      <c r="E365" s="6" t="s">
        <v>6</v>
      </c>
      <c r="F365" t="str">
        <f>_xlfn.XLOOKUP(northwind_order_details[[#This Row],[order_id]],northwind_orders[order_id],northwind_orders[ship_country])</f>
        <v>Germany</v>
      </c>
      <c r="G365">
        <f>INDEX(northwind_orders[],MATCH(northwind_order_details[[#This Row],[order_id]], northwind_orders[order_id], 0), MATCH("employee_id", northwind_orders[#Headers], 0))</f>
        <v>3</v>
      </c>
      <c r="H365">
        <f>northwind_order_details[[#This Row],[unit_price]]*northwind_order_details[[#This Row],[quantity]]</f>
        <v>86.399999999999991</v>
      </c>
      <c r="I365" s="1">
        <f>northwind_order_details[[#This Row],[purchase amount]]*northwind_order_details[[#This Row],[discount]]</f>
        <v>0</v>
      </c>
      <c r="J365" s="1">
        <f>northwind_order_details[[#This Row],[purchase amount]]-northwind_order_details[[#This Row],[discount amount]]</f>
        <v>86.399999999999991</v>
      </c>
      <c r="K365" s="6" t="str">
        <f>IF(northwind_order_details[[#This Row],[discount amount]]&gt;0,"Yes","No")</f>
        <v>No</v>
      </c>
      <c r="L365" s="1" t="str">
        <f>IF(northwind_order_details[[#This Row],[Revenue]]&gt;1000,"High",IF(northwind_order_details[[#This Row],[Revenue]]&gt;300,"Medium","Low"))</f>
        <v>Low</v>
      </c>
      <c r="M3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6" spans="1:13" x14ac:dyDescent="0.25">
      <c r="A366">
        <v>10392</v>
      </c>
      <c r="B366">
        <v>69</v>
      </c>
      <c r="C366" s="6">
        <v>28.8</v>
      </c>
      <c r="D366">
        <v>50</v>
      </c>
      <c r="E366" s="6" t="s">
        <v>6</v>
      </c>
      <c r="F366" t="str">
        <f>_xlfn.XLOOKUP(northwind_order_details[[#This Row],[order_id]],northwind_orders[order_id],northwind_orders[ship_country])</f>
        <v>Austria</v>
      </c>
      <c r="G366">
        <f>INDEX(northwind_orders[],MATCH(northwind_order_details[[#This Row],[order_id]], northwind_orders[order_id], 0), MATCH("employee_id", northwind_orders[#Headers], 0))</f>
        <v>2</v>
      </c>
      <c r="H366">
        <f>northwind_order_details[[#This Row],[unit_price]]*northwind_order_details[[#This Row],[quantity]]</f>
        <v>1440</v>
      </c>
      <c r="I366" s="1">
        <f>northwind_order_details[[#This Row],[purchase amount]]*northwind_order_details[[#This Row],[discount]]</f>
        <v>0</v>
      </c>
      <c r="J366" s="1">
        <f>northwind_order_details[[#This Row],[purchase amount]]-northwind_order_details[[#This Row],[discount amount]]</f>
        <v>1440</v>
      </c>
      <c r="K366" s="6" t="str">
        <f>IF(northwind_order_details[[#This Row],[discount amount]]&gt;0,"Yes","No")</f>
        <v>No</v>
      </c>
      <c r="L366" s="1" t="str">
        <f>IF(northwind_order_details[[#This Row],[Revenue]]&gt;1000,"High",IF(northwind_order_details[[#This Row],[Revenue]]&gt;300,"Medium","Low"))</f>
        <v>High</v>
      </c>
      <c r="M3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7" spans="1:13" x14ac:dyDescent="0.25">
      <c r="A367">
        <v>10393</v>
      </c>
      <c r="B367">
        <v>2</v>
      </c>
      <c r="C367" s="6">
        <v>15.2</v>
      </c>
      <c r="D367">
        <v>25</v>
      </c>
      <c r="E367" s="6">
        <v>0.25</v>
      </c>
      <c r="F367" t="str">
        <f>_xlfn.XLOOKUP(northwind_order_details[[#This Row],[order_id]],northwind_orders[order_id],northwind_orders[ship_country])</f>
        <v>USA</v>
      </c>
      <c r="G367">
        <f>INDEX(northwind_orders[],MATCH(northwind_order_details[[#This Row],[order_id]], northwind_orders[order_id], 0), MATCH("employee_id", northwind_orders[#Headers], 0))</f>
        <v>1</v>
      </c>
      <c r="H367">
        <f>northwind_order_details[[#This Row],[unit_price]]*northwind_order_details[[#This Row],[quantity]]</f>
        <v>380</v>
      </c>
      <c r="I367" s="1">
        <f>northwind_order_details[[#This Row],[purchase amount]]*northwind_order_details[[#This Row],[discount]]</f>
        <v>95</v>
      </c>
      <c r="J367" s="1">
        <f>northwind_order_details[[#This Row],[purchase amount]]-northwind_order_details[[#This Row],[discount amount]]</f>
        <v>285</v>
      </c>
      <c r="K367" s="6" t="str">
        <f>IF(northwind_order_details[[#This Row],[discount amount]]&gt;0,"Yes","No")</f>
        <v>Yes</v>
      </c>
      <c r="L367" s="1" t="str">
        <f>IF(northwind_order_details[[#This Row],[Revenue]]&gt;1000,"High",IF(northwind_order_details[[#This Row],[Revenue]]&gt;300,"Medium","Low"))</f>
        <v>Low</v>
      </c>
      <c r="M3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8" spans="1:13" x14ac:dyDescent="0.25">
      <c r="A368">
        <v>10393</v>
      </c>
      <c r="B368">
        <v>14</v>
      </c>
      <c r="C368" s="6">
        <v>18.600000000000001</v>
      </c>
      <c r="D368">
        <v>42</v>
      </c>
      <c r="E368" s="6">
        <v>0.25</v>
      </c>
      <c r="F368" t="str">
        <f>_xlfn.XLOOKUP(northwind_order_details[[#This Row],[order_id]],northwind_orders[order_id],northwind_orders[ship_country])</f>
        <v>USA</v>
      </c>
      <c r="G368">
        <f>INDEX(northwind_orders[],MATCH(northwind_order_details[[#This Row],[order_id]], northwind_orders[order_id], 0), MATCH("employee_id", northwind_orders[#Headers], 0))</f>
        <v>1</v>
      </c>
      <c r="H368">
        <f>northwind_order_details[[#This Row],[unit_price]]*northwind_order_details[[#This Row],[quantity]]</f>
        <v>781.2</v>
      </c>
      <c r="I368" s="1">
        <f>northwind_order_details[[#This Row],[purchase amount]]*northwind_order_details[[#This Row],[discount]]</f>
        <v>195.3</v>
      </c>
      <c r="J368" s="1">
        <f>northwind_order_details[[#This Row],[purchase amount]]-northwind_order_details[[#This Row],[discount amount]]</f>
        <v>585.90000000000009</v>
      </c>
      <c r="K368" s="6" t="str">
        <f>IF(northwind_order_details[[#This Row],[discount amount]]&gt;0,"Yes","No")</f>
        <v>Yes</v>
      </c>
      <c r="L368" s="1" t="str">
        <f>IF(northwind_order_details[[#This Row],[Revenue]]&gt;1000,"High",IF(northwind_order_details[[#This Row],[Revenue]]&gt;300,"Medium","Low"))</f>
        <v>Medium</v>
      </c>
      <c r="M3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69" spans="1:13" x14ac:dyDescent="0.25">
      <c r="A369">
        <v>10393</v>
      </c>
      <c r="B369">
        <v>25</v>
      </c>
      <c r="C369" s="6">
        <v>11.2</v>
      </c>
      <c r="D369">
        <v>7</v>
      </c>
      <c r="E369" s="6">
        <v>0.25</v>
      </c>
      <c r="F369" t="str">
        <f>_xlfn.XLOOKUP(northwind_order_details[[#This Row],[order_id]],northwind_orders[order_id],northwind_orders[ship_country])</f>
        <v>USA</v>
      </c>
      <c r="G369">
        <f>INDEX(northwind_orders[],MATCH(northwind_order_details[[#This Row],[order_id]], northwind_orders[order_id], 0), MATCH("employee_id", northwind_orders[#Headers], 0))</f>
        <v>1</v>
      </c>
      <c r="H369">
        <f>northwind_order_details[[#This Row],[unit_price]]*northwind_order_details[[#This Row],[quantity]]</f>
        <v>78.399999999999991</v>
      </c>
      <c r="I369" s="1">
        <f>northwind_order_details[[#This Row],[purchase amount]]*northwind_order_details[[#This Row],[discount]]</f>
        <v>19.599999999999998</v>
      </c>
      <c r="J369" s="1">
        <f>northwind_order_details[[#This Row],[purchase amount]]-northwind_order_details[[#This Row],[discount amount]]</f>
        <v>58.8</v>
      </c>
      <c r="K369" s="6" t="str">
        <f>IF(northwind_order_details[[#This Row],[discount amount]]&gt;0,"Yes","No")</f>
        <v>Yes</v>
      </c>
      <c r="L369" s="1" t="str">
        <f>IF(northwind_order_details[[#This Row],[Revenue]]&gt;1000,"High",IF(northwind_order_details[[#This Row],[Revenue]]&gt;300,"Medium","Low"))</f>
        <v>Low</v>
      </c>
      <c r="M3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0" spans="1:13" x14ac:dyDescent="0.25">
      <c r="A370">
        <v>10393</v>
      </c>
      <c r="B370">
        <v>26</v>
      </c>
      <c r="C370" s="6">
        <v>24.9</v>
      </c>
      <c r="D370">
        <v>70</v>
      </c>
      <c r="E370" s="6">
        <v>0.25</v>
      </c>
      <c r="F370" t="str">
        <f>_xlfn.XLOOKUP(northwind_order_details[[#This Row],[order_id]],northwind_orders[order_id],northwind_orders[ship_country])</f>
        <v>USA</v>
      </c>
      <c r="G370">
        <f>INDEX(northwind_orders[],MATCH(northwind_order_details[[#This Row],[order_id]], northwind_orders[order_id], 0), MATCH("employee_id", northwind_orders[#Headers], 0))</f>
        <v>1</v>
      </c>
      <c r="H370">
        <f>northwind_order_details[[#This Row],[unit_price]]*northwind_order_details[[#This Row],[quantity]]</f>
        <v>1743</v>
      </c>
      <c r="I370" s="1">
        <f>northwind_order_details[[#This Row],[purchase amount]]*northwind_order_details[[#This Row],[discount]]</f>
        <v>435.75</v>
      </c>
      <c r="J370" s="1">
        <f>northwind_order_details[[#This Row],[purchase amount]]-northwind_order_details[[#This Row],[discount amount]]</f>
        <v>1307.25</v>
      </c>
      <c r="K370" s="6" t="str">
        <f>IF(northwind_order_details[[#This Row],[discount amount]]&gt;0,"Yes","No")</f>
        <v>Yes</v>
      </c>
      <c r="L370" s="1" t="str">
        <f>IF(northwind_order_details[[#This Row],[Revenue]]&gt;1000,"High",IF(northwind_order_details[[#This Row],[Revenue]]&gt;300,"Medium","Low"))</f>
        <v>High</v>
      </c>
      <c r="M3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1" spans="1:13" x14ac:dyDescent="0.25">
      <c r="A371">
        <v>10393</v>
      </c>
      <c r="B371">
        <v>31</v>
      </c>
      <c r="C371" s="6" t="s">
        <v>8</v>
      </c>
      <c r="D371">
        <v>32</v>
      </c>
      <c r="E371" s="6" t="s">
        <v>6</v>
      </c>
      <c r="F371" t="str">
        <f>_xlfn.XLOOKUP(northwind_order_details[[#This Row],[order_id]],northwind_orders[order_id],northwind_orders[ship_country])</f>
        <v>USA</v>
      </c>
      <c r="G371">
        <f>INDEX(northwind_orders[],MATCH(northwind_order_details[[#This Row],[order_id]], northwind_orders[order_id], 0), MATCH("employee_id", northwind_orders[#Headers], 0))</f>
        <v>1</v>
      </c>
      <c r="H371">
        <f>northwind_order_details[[#This Row],[unit_price]]*northwind_order_details[[#This Row],[quantity]]</f>
        <v>320</v>
      </c>
      <c r="I371" s="1">
        <f>northwind_order_details[[#This Row],[purchase amount]]*northwind_order_details[[#This Row],[discount]]</f>
        <v>0</v>
      </c>
      <c r="J371" s="1">
        <f>northwind_order_details[[#This Row],[purchase amount]]-northwind_order_details[[#This Row],[discount amount]]</f>
        <v>320</v>
      </c>
      <c r="K371" s="6" t="str">
        <f>IF(northwind_order_details[[#This Row],[discount amount]]&gt;0,"Yes","No")</f>
        <v>No</v>
      </c>
      <c r="L371" s="1" t="str">
        <f>IF(northwind_order_details[[#This Row],[Revenue]]&gt;1000,"High",IF(northwind_order_details[[#This Row],[Revenue]]&gt;300,"Medium","Low"))</f>
        <v>Medium</v>
      </c>
      <c r="M3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2" spans="1:13" x14ac:dyDescent="0.25">
      <c r="A372">
        <v>10394</v>
      </c>
      <c r="B372">
        <v>13</v>
      </c>
      <c r="C372" s="6">
        <v>4.8</v>
      </c>
      <c r="D372">
        <v>10</v>
      </c>
      <c r="E372" s="6" t="s">
        <v>6</v>
      </c>
      <c r="F372" t="str">
        <f>_xlfn.XLOOKUP(northwind_order_details[[#This Row],[order_id]],northwind_orders[order_id],northwind_orders[ship_country])</f>
        <v>USA</v>
      </c>
      <c r="G372">
        <f>INDEX(northwind_orders[],MATCH(northwind_order_details[[#This Row],[order_id]], northwind_orders[order_id], 0), MATCH("employee_id", northwind_orders[#Headers], 0))</f>
        <v>1</v>
      </c>
      <c r="H372">
        <f>northwind_order_details[[#This Row],[unit_price]]*northwind_order_details[[#This Row],[quantity]]</f>
        <v>48</v>
      </c>
      <c r="I372" s="1">
        <f>northwind_order_details[[#This Row],[purchase amount]]*northwind_order_details[[#This Row],[discount]]</f>
        <v>0</v>
      </c>
      <c r="J372" s="1">
        <f>northwind_order_details[[#This Row],[purchase amount]]-northwind_order_details[[#This Row],[discount amount]]</f>
        <v>48</v>
      </c>
      <c r="K372" s="6" t="str">
        <f>IF(northwind_order_details[[#This Row],[discount amount]]&gt;0,"Yes","No")</f>
        <v>No</v>
      </c>
      <c r="L372" s="1" t="str">
        <f>IF(northwind_order_details[[#This Row],[Revenue]]&gt;1000,"High",IF(northwind_order_details[[#This Row],[Revenue]]&gt;300,"Medium","Low"))</f>
        <v>Low</v>
      </c>
      <c r="M3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3" spans="1:13" x14ac:dyDescent="0.25">
      <c r="A373">
        <v>10394</v>
      </c>
      <c r="B373">
        <v>62</v>
      </c>
      <c r="C373" s="6">
        <v>39.4</v>
      </c>
      <c r="D373">
        <v>10</v>
      </c>
      <c r="E373" s="6" t="s">
        <v>6</v>
      </c>
      <c r="F373" t="str">
        <f>_xlfn.XLOOKUP(northwind_order_details[[#This Row],[order_id]],northwind_orders[order_id],northwind_orders[ship_country])</f>
        <v>USA</v>
      </c>
      <c r="G373">
        <f>INDEX(northwind_orders[],MATCH(northwind_order_details[[#This Row],[order_id]], northwind_orders[order_id], 0), MATCH("employee_id", northwind_orders[#Headers], 0))</f>
        <v>1</v>
      </c>
      <c r="H373">
        <f>northwind_order_details[[#This Row],[unit_price]]*northwind_order_details[[#This Row],[quantity]]</f>
        <v>394</v>
      </c>
      <c r="I373" s="1">
        <f>northwind_order_details[[#This Row],[purchase amount]]*northwind_order_details[[#This Row],[discount]]</f>
        <v>0</v>
      </c>
      <c r="J373" s="1">
        <f>northwind_order_details[[#This Row],[purchase amount]]-northwind_order_details[[#This Row],[discount amount]]</f>
        <v>394</v>
      </c>
      <c r="K373" s="6" t="str">
        <f>IF(northwind_order_details[[#This Row],[discount amount]]&gt;0,"Yes","No")</f>
        <v>No</v>
      </c>
      <c r="L373" s="1" t="str">
        <f>IF(northwind_order_details[[#This Row],[Revenue]]&gt;1000,"High",IF(northwind_order_details[[#This Row],[Revenue]]&gt;300,"Medium","Low"))</f>
        <v>Medium</v>
      </c>
      <c r="M3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4" spans="1:13" x14ac:dyDescent="0.25">
      <c r="A374">
        <v>10395</v>
      </c>
      <c r="B374">
        <v>46</v>
      </c>
      <c r="C374" s="6">
        <v>9.6</v>
      </c>
      <c r="D374">
        <v>28</v>
      </c>
      <c r="E374" s="6">
        <v>0.1</v>
      </c>
      <c r="F374" t="str">
        <f>_xlfn.XLOOKUP(northwind_order_details[[#This Row],[order_id]],northwind_orders[order_id],northwind_orders[ship_country])</f>
        <v>Venezuela</v>
      </c>
      <c r="G374">
        <f>INDEX(northwind_orders[],MATCH(northwind_order_details[[#This Row],[order_id]], northwind_orders[order_id], 0), MATCH("employee_id", northwind_orders[#Headers], 0))</f>
        <v>6</v>
      </c>
      <c r="H374">
        <f>northwind_order_details[[#This Row],[unit_price]]*northwind_order_details[[#This Row],[quantity]]</f>
        <v>268.8</v>
      </c>
      <c r="I374" s="1">
        <f>northwind_order_details[[#This Row],[purchase amount]]*northwind_order_details[[#This Row],[discount]]</f>
        <v>26.880000000000003</v>
      </c>
      <c r="J374" s="1">
        <f>northwind_order_details[[#This Row],[purchase amount]]-northwind_order_details[[#This Row],[discount amount]]</f>
        <v>241.92000000000002</v>
      </c>
      <c r="K374" s="6" t="str">
        <f>IF(northwind_order_details[[#This Row],[discount amount]]&gt;0,"Yes","No")</f>
        <v>Yes</v>
      </c>
      <c r="L374" s="1" t="str">
        <f>IF(northwind_order_details[[#This Row],[Revenue]]&gt;1000,"High",IF(northwind_order_details[[#This Row],[Revenue]]&gt;300,"Medium","Low"))</f>
        <v>Low</v>
      </c>
      <c r="M3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5" spans="1:13" x14ac:dyDescent="0.25">
      <c r="A375">
        <v>10395</v>
      </c>
      <c r="B375">
        <v>53</v>
      </c>
      <c r="C375" s="6">
        <v>26.2</v>
      </c>
      <c r="D375">
        <v>70</v>
      </c>
      <c r="E375" s="6">
        <v>0.1</v>
      </c>
      <c r="F375" t="str">
        <f>_xlfn.XLOOKUP(northwind_order_details[[#This Row],[order_id]],northwind_orders[order_id],northwind_orders[ship_country])</f>
        <v>Venezuela</v>
      </c>
      <c r="G375">
        <f>INDEX(northwind_orders[],MATCH(northwind_order_details[[#This Row],[order_id]], northwind_orders[order_id], 0), MATCH("employee_id", northwind_orders[#Headers], 0))</f>
        <v>6</v>
      </c>
      <c r="H375">
        <f>northwind_order_details[[#This Row],[unit_price]]*northwind_order_details[[#This Row],[quantity]]</f>
        <v>1834</v>
      </c>
      <c r="I375" s="1">
        <f>northwind_order_details[[#This Row],[purchase amount]]*northwind_order_details[[#This Row],[discount]]</f>
        <v>183.4</v>
      </c>
      <c r="J375" s="1">
        <f>northwind_order_details[[#This Row],[purchase amount]]-northwind_order_details[[#This Row],[discount amount]]</f>
        <v>1650.6</v>
      </c>
      <c r="K375" s="6" t="str">
        <f>IF(northwind_order_details[[#This Row],[discount amount]]&gt;0,"Yes","No")</f>
        <v>Yes</v>
      </c>
      <c r="L375" s="1" t="str">
        <f>IF(northwind_order_details[[#This Row],[Revenue]]&gt;1000,"High",IF(northwind_order_details[[#This Row],[Revenue]]&gt;300,"Medium","Low"))</f>
        <v>High</v>
      </c>
      <c r="M3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6" spans="1:13" x14ac:dyDescent="0.25">
      <c r="A376">
        <v>10395</v>
      </c>
      <c r="B376">
        <v>69</v>
      </c>
      <c r="C376" s="6">
        <v>28.8</v>
      </c>
      <c r="D376">
        <v>8</v>
      </c>
      <c r="E376" s="6" t="s">
        <v>6</v>
      </c>
      <c r="F376" t="str">
        <f>_xlfn.XLOOKUP(northwind_order_details[[#This Row],[order_id]],northwind_orders[order_id],northwind_orders[ship_country])</f>
        <v>Venezuela</v>
      </c>
      <c r="G376">
        <f>INDEX(northwind_orders[],MATCH(northwind_order_details[[#This Row],[order_id]], northwind_orders[order_id], 0), MATCH("employee_id", northwind_orders[#Headers], 0))</f>
        <v>6</v>
      </c>
      <c r="H376">
        <f>northwind_order_details[[#This Row],[unit_price]]*northwind_order_details[[#This Row],[quantity]]</f>
        <v>230.4</v>
      </c>
      <c r="I376" s="1">
        <f>northwind_order_details[[#This Row],[purchase amount]]*northwind_order_details[[#This Row],[discount]]</f>
        <v>0</v>
      </c>
      <c r="J376" s="1">
        <f>northwind_order_details[[#This Row],[purchase amount]]-northwind_order_details[[#This Row],[discount amount]]</f>
        <v>230.4</v>
      </c>
      <c r="K376" s="6" t="str">
        <f>IF(northwind_order_details[[#This Row],[discount amount]]&gt;0,"Yes","No")</f>
        <v>No</v>
      </c>
      <c r="L376" s="1" t="str">
        <f>IF(northwind_order_details[[#This Row],[Revenue]]&gt;1000,"High",IF(northwind_order_details[[#This Row],[Revenue]]&gt;300,"Medium","Low"))</f>
        <v>Low</v>
      </c>
      <c r="M3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7" spans="1:13" x14ac:dyDescent="0.25">
      <c r="A377">
        <v>10396</v>
      </c>
      <c r="B377">
        <v>23</v>
      </c>
      <c r="C377" s="6">
        <v>7.2</v>
      </c>
      <c r="D377">
        <v>40</v>
      </c>
      <c r="E377" s="6" t="s">
        <v>6</v>
      </c>
      <c r="F377" t="str">
        <f>_xlfn.XLOOKUP(northwind_order_details[[#This Row],[order_id]],northwind_orders[order_id],northwind_orders[ship_country])</f>
        <v>Germany</v>
      </c>
      <c r="G377">
        <f>INDEX(northwind_orders[],MATCH(northwind_order_details[[#This Row],[order_id]], northwind_orders[order_id], 0), MATCH("employee_id", northwind_orders[#Headers], 0))</f>
        <v>1</v>
      </c>
      <c r="H377">
        <f>northwind_order_details[[#This Row],[unit_price]]*northwind_order_details[[#This Row],[quantity]]</f>
        <v>288</v>
      </c>
      <c r="I377" s="1">
        <f>northwind_order_details[[#This Row],[purchase amount]]*northwind_order_details[[#This Row],[discount]]</f>
        <v>0</v>
      </c>
      <c r="J377" s="1">
        <f>northwind_order_details[[#This Row],[purchase amount]]-northwind_order_details[[#This Row],[discount amount]]</f>
        <v>288</v>
      </c>
      <c r="K377" s="6" t="str">
        <f>IF(northwind_order_details[[#This Row],[discount amount]]&gt;0,"Yes","No")</f>
        <v>No</v>
      </c>
      <c r="L377" s="1" t="str">
        <f>IF(northwind_order_details[[#This Row],[Revenue]]&gt;1000,"High",IF(northwind_order_details[[#This Row],[Revenue]]&gt;300,"Medium","Low"))</f>
        <v>Low</v>
      </c>
      <c r="M3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8" spans="1:13" x14ac:dyDescent="0.25">
      <c r="A378">
        <v>10396</v>
      </c>
      <c r="B378">
        <v>71</v>
      </c>
      <c r="C378" s="6">
        <v>17.2</v>
      </c>
      <c r="D378">
        <v>60</v>
      </c>
      <c r="E378" s="6" t="s">
        <v>6</v>
      </c>
      <c r="F378" t="str">
        <f>_xlfn.XLOOKUP(northwind_order_details[[#This Row],[order_id]],northwind_orders[order_id],northwind_orders[ship_country])</f>
        <v>Germany</v>
      </c>
      <c r="G378">
        <f>INDEX(northwind_orders[],MATCH(northwind_order_details[[#This Row],[order_id]], northwind_orders[order_id], 0), MATCH("employee_id", northwind_orders[#Headers], 0))</f>
        <v>1</v>
      </c>
      <c r="H378">
        <f>northwind_order_details[[#This Row],[unit_price]]*northwind_order_details[[#This Row],[quantity]]</f>
        <v>1032</v>
      </c>
      <c r="I378" s="1">
        <f>northwind_order_details[[#This Row],[purchase amount]]*northwind_order_details[[#This Row],[discount]]</f>
        <v>0</v>
      </c>
      <c r="J378" s="1">
        <f>northwind_order_details[[#This Row],[purchase amount]]-northwind_order_details[[#This Row],[discount amount]]</f>
        <v>1032</v>
      </c>
      <c r="K378" s="6" t="str">
        <f>IF(northwind_order_details[[#This Row],[discount amount]]&gt;0,"Yes","No")</f>
        <v>No</v>
      </c>
      <c r="L378" s="1" t="str">
        <f>IF(northwind_order_details[[#This Row],[Revenue]]&gt;1000,"High",IF(northwind_order_details[[#This Row],[Revenue]]&gt;300,"Medium","Low"))</f>
        <v>High</v>
      </c>
      <c r="M3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79" spans="1:13" x14ac:dyDescent="0.25">
      <c r="A379">
        <v>10396</v>
      </c>
      <c r="B379">
        <v>72</v>
      </c>
      <c r="C379" s="6">
        <v>27.8</v>
      </c>
      <c r="D379">
        <v>21</v>
      </c>
      <c r="E379" s="6" t="s">
        <v>6</v>
      </c>
      <c r="F379" t="str">
        <f>_xlfn.XLOOKUP(northwind_order_details[[#This Row],[order_id]],northwind_orders[order_id],northwind_orders[ship_country])</f>
        <v>Germany</v>
      </c>
      <c r="G379">
        <f>INDEX(northwind_orders[],MATCH(northwind_order_details[[#This Row],[order_id]], northwind_orders[order_id], 0), MATCH("employee_id", northwind_orders[#Headers], 0))</f>
        <v>1</v>
      </c>
      <c r="H379">
        <f>northwind_order_details[[#This Row],[unit_price]]*northwind_order_details[[#This Row],[quantity]]</f>
        <v>583.80000000000007</v>
      </c>
      <c r="I379" s="1">
        <f>northwind_order_details[[#This Row],[purchase amount]]*northwind_order_details[[#This Row],[discount]]</f>
        <v>0</v>
      </c>
      <c r="J379" s="1">
        <f>northwind_order_details[[#This Row],[purchase amount]]-northwind_order_details[[#This Row],[discount amount]]</f>
        <v>583.80000000000007</v>
      </c>
      <c r="K379" s="6" t="str">
        <f>IF(northwind_order_details[[#This Row],[discount amount]]&gt;0,"Yes","No")</f>
        <v>No</v>
      </c>
      <c r="L379" s="1" t="str">
        <f>IF(northwind_order_details[[#This Row],[Revenue]]&gt;1000,"High",IF(northwind_order_details[[#This Row],[Revenue]]&gt;300,"Medium","Low"))</f>
        <v>Medium</v>
      </c>
      <c r="M3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0" spans="1:13" x14ac:dyDescent="0.25">
      <c r="A380">
        <v>10397</v>
      </c>
      <c r="B380">
        <v>21</v>
      </c>
      <c r="C380" s="6" t="s">
        <v>10</v>
      </c>
      <c r="D380">
        <v>10</v>
      </c>
      <c r="E380" s="6">
        <v>0.15</v>
      </c>
      <c r="F380" t="str">
        <f>_xlfn.XLOOKUP(northwind_order_details[[#This Row],[order_id]],northwind_orders[order_id],northwind_orders[ship_country])</f>
        <v>Portugal</v>
      </c>
      <c r="G380">
        <f>INDEX(northwind_orders[],MATCH(northwind_order_details[[#This Row],[order_id]], northwind_orders[order_id], 0), MATCH("employee_id", northwind_orders[#Headers], 0))</f>
        <v>5</v>
      </c>
      <c r="H380">
        <f>northwind_order_details[[#This Row],[unit_price]]*northwind_order_details[[#This Row],[quantity]]</f>
        <v>80</v>
      </c>
      <c r="I380" s="1">
        <f>northwind_order_details[[#This Row],[purchase amount]]*northwind_order_details[[#This Row],[discount]]</f>
        <v>12</v>
      </c>
      <c r="J380" s="1">
        <f>northwind_order_details[[#This Row],[purchase amount]]-northwind_order_details[[#This Row],[discount amount]]</f>
        <v>68</v>
      </c>
      <c r="K380" s="6" t="str">
        <f>IF(northwind_order_details[[#This Row],[discount amount]]&gt;0,"Yes","No")</f>
        <v>Yes</v>
      </c>
      <c r="L380" s="1" t="str">
        <f>IF(northwind_order_details[[#This Row],[Revenue]]&gt;1000,"High",IF(northwind_order_details[[#This Row],[Revenue]]&gt;300,"Medium","Low"))</f>
        <v>Low</v>
      </c>
      <c r="M3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1" spans="1:13" x14ac:dyDescent="0.25">
      <c r="A381">
        <v>10397</v>
      </c>
      <c r="B381">
        <v>51</v>
      </c>
      <c r="C381" s="6">
        <v>42.4</v>
      </c>
      <c r="D381">
        <v>18</v>
      </c>
      <c r="E381" s="6">
        <v>0.15</v>
      </c>
      <c r="F381" t="str">
        <f>_xlfn.XLOOKUP(northwind_order_details[[#This Row],[order_id]],northwind_orders[order_id],northwind_orders[ship_country])</f>
        <v>Portugal</v>
      </c>
      <c r="G381">
        <f>INDEX(northwind_orders[],MATCH(northwind_order_details[[#This Row],[order_id]], northwind_orders[order_id], 0), MATCH("employee_id", northwind_orders[#Headers], 0))</f>
        <v>5</v>
      </c>
      <c r="H381">
        <f>northwind_order_details[[#This Row],[unit_price]]*northwind_order_details[[#This Row],[quantity]]</f>
        <v>763.19999999999993</v>
      </c>
      <c r="I381" s="1">
        <f>northwind_order_details[[#This Row],[purchase amount]]*northwind_order_details[[#This Row],[discount]]</f>
        <v>114.47999999999999</v>
      </c>
      <c r="J381" s="1">
        <f>northwind_order_details[[#This Row],[purchase amount]]-northwind_order_details[[#This Row],[discount amount]]</f>
        <v>648.71999999999991</v>
      </c>
      <c r="K381" s="6" t="str">
        <f>IF(northwind_order_details[[#This Row],[discount amount]]&gt;0,"Yes","No")</f>
        <v>Yes</v>
      </c>
      <c r="L381" s="1" t="str">
        <f>IF(northwind_order_details[[#This Row],[Revenue]]&gt;1000,"High",IF(northwind_order_details[[#This Row],[Revenue]]&gt;300,"Medium","Low"))</f>
        <v>Medium</v>
      </c>
      <c r="M3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2" spans="1:13" x14ac:dyDescent="0.25">
      <c r="A382">
        <v>10398</v>
      </c>
      <c r="B382">
        <v>35</v>
      </c>
      <c r="C382" s="6">
        <v>14.4</v>
      </c>
      <c r="D382">
        <v>30</v>
      </c>
      <c r="E382" s="6" t="s">
        <v>6</v>
      </c>
      <c r="F382" t="str">
        <f>_xlfn.XLOOKUP(northwind_order_details[[#This Row],[order_id]],northwind_orders[order_id],northwind_orders[ship_country])</f>
        <v>USA</v>
      </c>
      <c r="G382">
        <f>INDEX(northwind_orders[],MATCH(northwind_order_details[[#This Row],[order_id]], northwind_orders[order_id], 0), MATCH("employee_id", northwind_orders[#Headers], 0))</f>
        <v>2</v>
      </c>
      <c r="H382">
        <f>northwind_order_details[[#This Row],[unit_price]]*northwind_order_details[[#This Row],[quantity]]</f>
        <v>432</v>
      </c>
      <c r="I382" s="1">
        <f>northwind_order_details[[#This Row],[purchase amount]]*northwind_order_details[[#This Row],[discount]]</f>
        <v>0</v>
      </c>
      <c r="J382" s="1">
        <f>northwind_order_details[[#This Row],[purchase amount]]-northwind_order_details[[#This Row],[discount amount]]</f>
        <v>432</v>
      </c>
      <c r="K382" s="6" t="str">
        <f>IF(northwind_order_details[[#This Row],[discount amount]]&gt;0,"Yes","No")</f>
        <v>No</v>
      </c>
      <c r="L382" s="1" t="str">
        <f>IF(northwind_order_details[[#This Row],[Revenue]]&gt;1000,"High",IF(northwind_order_details[[#This Row],[Revenue]]&gt;300,"Medium","Low"))</f>
        <v>Medium</v>
      </c>
      <c r="M3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3" spans="1:13" x14ac:dyDescent="0.25">
      <c r="A383">
        <v>10398</v>
      </c>
      <c r="B383">
        <v>55</v>
      </c>
      <c r="C383" s="6">
        <v>19.2</v>
      </c>
      <c r="D383">
        <v>120</v>
      </c>
      <c r="E383" s="6">
        <v>0.1</v>
      </c>
      <c r="F383" t="str">
        <f>_xlfn.XLOOKUP(northwind_order_details[[#This Row],[order_id]],northwind_orders[order_id],northwind_orders[ship_country])</f>
        <v>USA</v>
      </c>
      <c r="G383">
        <f>INDEX(northwind_orders[],MATCH(northwind_order_details[[#This Row],[order_id]], northwind_orders[order_id], 0), MATCH("employee_id", northwind_orders[#Headers], 0))</f>
        <v>2</v>
      </c>
      <c r="H383">
        <f>northwind_order_details[[#This Row],[unit_price]]*northwind_order_details[[#This Row],[quantity]]</f>
        <v>2304</v>
      </c>
      <c r="I383" s="1">
        <f>northwind_order_details[[#This Row],[purchase amount]]*northwind_order_details[[#This Row],[discount]]</f>
        <v>230.4</v>
      </c>
      <c r="J383" s="1">
        <f>northwind_order_details[[#This Row],[purchase amount]]-northwind_order_details[[#This Row],[discount amount]]</f>
        <v>2073.6</v>
      </c>
      <c r="K383" s="6" t="str">
        <f>IF(northwind_order_details[[#This Row],[discount amount]]&gt;0,"Yes","No")</f>
        <v>Yes</v>
      </c>
      <c r="L383" s="1" t="str">
        <f>IF(northwind_order_details[[#This Row],[Revenue]]&gt;1000,"High",IF(northwind_order_details[[#This Row],[Revenue]]&gt;300,"Medium","Low"))</f>
        <v>High</v>
      </c>
      <c r="M3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4" spans="1:13" x14ac:dyDescent="0.25">
      <c r="A384">
        <v>10399</v>
      </c>
      <c r="B384">
        <v>68</v>
      </c>
      <c r="C384" s="6" t="s">
        <v>8</v>
      </c>
      <c r="D384">
        <v>60</v>
      </c>
      <c r="E384" s="6" t="s">
        <v>6</v>
      </c>
      <c r="F384" t="str">
        <f>_xlfn.XLOOKUP(northwind_order_details[[#This Row],[order_id]],northwind_orders[order_id],northwind_orders[ship_country])</f>
        <v>Denmark</v>
      </c>
      <c r="G384">
        <f>INDEX(northwind_orders[],MATCH(northwind_order_details[[#This Row],[order_id]], northwind_orders[order_id], 0), MATCH("employee_id", northwind_orders[#Headers], 0))</f>
        <v>8</v>
      </c>
      <c r="H384">
        <f>northwind_order_details[[#This Row],[unit_price]]*northwind_order_details[[#This Row],[quantity]]</f>
        <v>600</v>
      </c>
      <c r="I384" s="1">
        <f>northwind_order_details[[#This Row],[purchase amount]]*northwind_order_details[[#This Row],[discount]]</f>
        <v>0</v>
      </c>
      <c r="J384" s="1">
        <f>northwind_order_details[[#This Row],[purchase amount]]-northwind_order_details[[#This Row],[discount amount]]</f>
        <v>600</v>
      </c>
      <c r="K384" s="6" t="str">
        <f>IF(northwind_order_details[[#This Row],[discount amount]]&gt;0,"Yes","No")</f>
        <v>No</v>
      </c>
      <c r="L384" s="1" t="str">
        <f>IF(northwind_order_details[[#This Row],[Revenue]]&gt;1000,"High",IF(northwind_order_details[[#This Row],[Revenue]]&gt;300,"Medium","Low"))</f>
        <v>Medium</v>
      </c>
      <c r="M3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5" spans="1:13" x14ac:dyDescent="0.25">
      <c r="A385">
        <v>10399</v>
      </c>
      <c r="B385">
        <v>71</v>
      </c>
      <c r="C385" s="6">
        <v>17.2</v>
      </c>
      <c r="D385">
        <v>30</v>
      </c>
      <c r="E385" s="6" t="s">
        <v>6</v>
      </c>
      <c r="F385" t="str">
        <f>_xlfn.XLOOKUP(northwind_order_details[[#This Row],[order_id]],northwind_orders[order_id],northwind_orders[ship_country])</f>
        <v>Denmark</v>
      </c>
      <c r="G385">
        <f>INDEX(northwind_orders[],MATCH(northwind_order_details[[#This Row],[order_id]], northwind_orders[order_id], 0), MATCH("employee_id", northwind_orders[#Headers], 0))</f>
        <v>8</v>
      </c>
      <c r="H385">
        <f>northwind_order_details[[#This Row],[unit_price]]*northwind_order_details[[#This Row],[quantity]]</f>
        <v>516</v>
      </c>
      <c r="I385" s="1">
        <f>northwind_order_details[[#This Row],[purchase amount]]*northwind_order_details[[#This Row],[discount]]</f>
        <v>0</v>
      </c>
      <c r="J385" s="1">
        <f>northwind_order_details[[#This Row],[purchase amount]]-northwind_order_details[[#This Row],[discount amount]]</f>
        <v>516</v>
      </c>
      <c r="K385" s="6" t="str">
        <f>IF(northwind_order_details[[#This Row],[discount amount]]&gt;0,"Yes","No")</f>
        <v>No</v>
      </c>
      <c r="L385" s="1" t="str">
        <f>IF(northwind_order_details[[#This Row],[Revenue]]&gt;1000,"High",IF(northwind_order_details[[#This Row],[Revenue]]&gt;300,"Medium","Low"))</f>
        <v>Medium</v>
      </c>
      <c r="M3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6" spans="1:13" x14ac:dyDescent="0.25">
      <c r="A386">
        <v>10399</v>
      </c>
      <c r="B386">
        <v>76</v>
      </c>
      <c r="C386" s="6">
        <v>14.4</v>
      </c>
      <c r="D386">
        <v>35</v>
      </c>
      <c r="E386" s="6" t="s">
        <v>6</v>
      </c>
      <c r="F386" t="str">
        <f>_xlfn.XLOOKUP(northwind_order_details[[#This Row],[order_id]],northwind_orders[order_id],northwind_orders[ship_country])</f>
        <v>Denmark</v>
      </c>
      <c r="G386">
        <f>INDEX(northwind_orders[],MATCH(northwind_order_details[[#This Row],[order_id]], northwind_orders[order_id], 0), MATCH("employee_id", northwind_orders[#Headers], 0))</f>
        <v>8</v>
      </c>
      <c r="H386">
        <f>northwind_order_details[[#This Row],[unit_price]]*northwind_order_details[[#This Row],[quantity]]</f>
        <v>504</v>
      </c>
      <c r="I386" s="1">
        <f>northwind_order_details[[#This Row],[purchase amount]]*northwind_order_details[[#This Row],[discount]]</f>
        <v>0</v>
      </c>
      <c r="J386" s="1">
        <f>northwind_order_details[[#This Row],[purchase amount]]-northwind_order_details[[#This Row],[discount amount]]</f>
        <v>504</v>
      </c>
      <c r="K386" s="6" t="str">
        <f>IF(northwind_order_details[[#This Row],[discount amount]]&gt;0,"Yes","No")</f>
        <v>No</v>
      </c>
      <c r="L386" s="1" t="str">
        <f>IF(northwind_order_details[[#This Row],[Revenue]]&gt;1000,"High",IF(northwind_order_details[[#This Row],[Revenue]]&gt;300,"Medium","Low"))</f>
        <v>Medium</v>
      </c>
      <c r="M3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7" spans="1:13" x14ac:dyDescent="0.25">
      <c r="A387">
        <v>10399</v>
      </c>
      <c r="B387">
        <v>77</v>
      </c>
      <c r="C387" s="6">
        <v>10.4</v>
      </c>
      <c r="D387">
        <v>14</v>
      </c>
      <c r="E387" s="6" t="s">
        <v>6</v>
      </c>
      <c r="F387" t="str">
        <f>_xlfn.XLOOKUP(northwind_order_details[[#This Row],[order_id]],northwind_orders[order_id],northwind_orders[ship_country])</f>
        <v>Denmark</v>
      </c>
      <c r="G387">
        <f>INDEX(northwind_orders[],MATCH(northwind_order_details[[#This Row],[order_id]], northwind_orders[order_id], 0), MATCH("employee_id", northwind_orders[#Headers], 0))</f>
        <v>8</v>
      </c>
      <c r="H387">
        <f>northwind_order_details[[#This Row],[unit_price]]*northwind_order_details[[#This Row],[quantity]]</f>
        <v>145.6</v>
      </c>
      <c r="I387" s="1">
        <f>northwind_order_details[[#This Row],[purchase amount]]*northwind_order_details[[#This Row],[discount]]</f>
        <v>0</v>
      </c>
      <c r="J387" s="1">
        <f>northwind_order_details[[#This Row],[purchase amount]]-northwind_order_details[[#This Row],[discount amount]]</f>
        <v>145.6</v>
      </c>
      <c r="K387" s="6" t="str">
        <f>IF(northwind_order_details[[#This Row],[discount amount]]&gt;0,"Yes","No")</f>
        <v>No</v>
      </c>
      <c r="L387" s="1" t="str">
        <f>IF(northwind_order_details[[#This Row],[Revenue]]&gt;1000,"High",IF(northwind_order_details[[#This Row],[Revenue]]&gt;300,"Medium","Low"))</f>
        <v>Low</v>
      </c>
      <c r="M3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8" spans="1:13" x14ac:dyDescent="0.25">
      <c r="A388">
        <v>10400</v>
      </c>
      <c r="B388">
        <v>29</v>
      </c>
      <c r="C388" s="6" t="s">
        <v>15</v>
      </c>
      <c r="D388">
        <v>21</v>
      </c>
      <c r="E388" s="6" t="s">
        <v>6</v>
      </c>
      <c r="F388" t="str">
        <f>_xlfn.XLOOKUP(northwind_order_details[[#This Row],[order_id]],northwind_orders[order_id],northwind_orders[ship_country])</f>
        <v>UK</v>
      </c>
      <c r="G388">
        <f>INDEX(northwind_orders[],MATCH(northwind_order_details[[#This Row],[order_id]], northwind_orders[order_id], 0), MATCH("employee_id", northwind_orders[#Headers], 0))</f>
        <v>1</v>
      </c>
      <c r="H388">
        <f>northwind_order_details[[#This Row],[unit_price]]*northwind_order_details[[#This Row],[quantity]]</f>
        <v>2079</v>
      </c>
      <c r="I388" s="1">
        <f>northwind_order_details[[#This Row],[purchase amount]]*northwind_order_details[[#This Row],[discount]]</f>
        <v>0</v>
      </c>
      <c r="J388" s="1">
        <f>northwind_order_details[[#This Row],[purchase amount]]-northwind_order_details[[#This Row],[discount amount]]</f>
        <v>2079</v>
      </c>
      <c r="K388" s="6" t="str">
        <f>IF(northwind_order_details[[#This Row],[discount amount]]&gt;0,"Yes","No")</f>
        <v>No</v>
      </c>
      <c r="L388" s="1" t="str">
        <f>IF(northwind_order_details[[#This Row],[Revenue]]&gt;1000,"High",IF(northwind_order_details[[#This Row],[Revenue]]&gt;300,"Medium","Low"))</f>
        <v>High</v>
      </c>
      <c r="M3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89" spans="1:13" x14ac:dyDescent="0.25">
      <c r="A389">
        <v>10400</v>
      </c>
      <c r="B389">
        <v>35</v>
      </c>
      <c r="C389" s="6">
        <v>14.4</v>
      </c>
      <c r="D389">
        <v>35</v>
      </c>
      <c r="E389" s="6" t="s">
        <v>6</v>
      </c>
      <c r="F389" t="str">
        <f>_xlfn.XLOOKUP(northwind_order_details[[#This Row],[order_id]],northwind_orders[order_id],northwind_orders[ship_country])</f>
        <v>UK</v>
      </c>
      <c r="G389">
        <f>INDEX(northwind_orders[],MATCH(northwind_order_details[[#This Row],[order_id]], northwind_orders[order_id], 0), MATCH("employee_id", northwind_orders[#Headers], 0))</f>
        <v>1</v>
      </c>
      <c r="H389">
        <f>northwind_order_details[[#This Row],[unit_price]]*northwind_order_details[[#This Row],[quantity]]</f>
        <v>504</v>
      </c>
      <c r="I389" s="1">
        <f>northwind_order_details[[#This Row],[purchase amount]]*northwind_order_details[[#This Row],[discount]]</f>
        <v>0</v>
      </c>
      <c r="J389" s="1">
        <f>northwind_order_details[[#This Row],[purchase amount]]-northwind_order_details[[#This Row],[discount amount]]</f>
        <v>504</v>
      </c>
      <c r="K389" s="6" t="str">
        <f>IF(northwind_order_details[[#This Row],[discount amount]]&gt;0,"Yes","No")</f>
        <v>No</v>
      </c>
      <c r="L389" s="1" t="str">
        <f>IF(northwind_order_details[[#This Row],[Revenue]]&gt;1000,"High",IF(northwind_order_details[[#This Row],[Revenue]]&gt;300,"Medium","Low"))</f>
        <v>Medium</v>
      </c>
      <c r="M3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0" spans="1:13" x14ac:dyDescent="0.25">
      <c r="A390">
        <v>10400</v>
      </c>
      <c r="B390">
        <v>49</v>
      </c>
      <c r="C390" s="6" t="s">
        <v>9</v>
      </c>
      <c r="D390">
        <v>30</v>
      </c>
      <c r="E390" s="6" t="s">
        <v>6</v>
      </c>
      <c r="F390" t="str">
        <f>_xlfn.XLOOKUP(northwind_order_details[[#This Row],[order_id]],northwind_orders[order_id],northwind_orders[ship_country])</f>
        <v>UK</v>
      </c>
      <c r="G390">
        <f>INDEX(northwind_orders[],MATCH(northwind_order_details[[#This Row],[order_id]], northwind_orders[order_id], 0), MATCH("employee_id", northwind_orders[#Headers], 0))</f>
        <v>1</v>
      </c>
      <c r="H390">
        <f>northwind_order_details[[#This Row],[unit_price]]*northwind_order_details[[#This Row],[quantity]]</f>
        <v>480</v>
      </c>
      <c r="I390" s="1">
        <f>northwind_order_details[[#This Row],[purchase amount]]*northwind_order_details[[#This Row],[discount]]</f>
        <v>0</v>
      </c>
      <c r="J390" s="1">
        <f>northwind_order_details[[#This Row],[purchase amount]]-northwind_order_details[[#This Row],[discount amount]]</f>
        <v>480</v>
      </c>
      <c r="K390" s="6" t="str">
        <f>IF(northwind_order_details[[#This Row],[discount amount]]&gt;0,"Yes","No")</f>
        <v>No</v>
      </c>
      <c r="L390" s="1" t="str">
        <f>IF(northwind_order_details[[#This Row],[Revenue]]&gt;1000,"High",IF(northwind_order_details[[#This Row],[Revenue]]&gt;300,"Medium","Low"))</f>
        <v>Medium</v>
      </c>
      <c r="M3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1" spans="1:13" x14ac:dyDescent="0.25">
      <c r="A391">
        <v>10401</v>
      </c>
      <c r="B391">
        <v>30</v>
      </c>
      <c r="C391" s="6">
        <v>20.7</v>
      </c>
      <c r="D391">
        <v>18</v>
      </c>
      <c r="E391" s="6" t="s">
        <v>6</v>
      </c>
      <c r="F391" t="str">
        <f>_xlfn.XLOOKUP(northwind_order_details[[#This Row],[order_id]],northwind_orders[order_id],northwind_orders[ship_country])</f>
        <v>USA</v>
      </c>
      <c r="G391">
        <f>INDEX(northwind_orders[],MATCH(northwind_order_details[[#This Row],[order_id]], northwind_orders[order_id], 0), MATCH("employee_id", northwind_orders[#Headers], 0))</f>
        <v>1</v>
      </c>
      <c r="H391">
        <f>northwind_order_details[[#This Row],[unit_price]]*northwind_order_details[[#This Row],[quantity]]</f>
        <v>372.59999999999997</v>
      </c>
      <c r="I391" s="1">
        <f>northwind_order_details[[#This Row],[purchase amount]]*northwind_order_details[[#This Row],[discount]]</f>
        <v>0</v>
      </c>
      <c r="J391" s="1">
        <f>northwind_order_details[[#This Row],[purchase amount]]-northwind_order_details[[#This Row],[discount amount]]</f>
        <v>372.59999999999997</v>
      </c>
      <c r="K391" s="6" t="str">
        <f>IF(northwind_order_details[[#This Row],[discount amount]]&gt;0,"Yes","No")</f>
        <v>No</v>
      </c>
      <c r="L391" s="1" t="str">
        <f>IF(northwind_order_details[[#This Row],[Revenue]]&gt;1000,"High",IF(northwind_order_details[[#This Row],[Revenue]]&gt;300,"Medium","Low"))</f>
        <v>Medium</v>
      </c>
      <c r="M3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2" spans="1:13" x14ac:dyDescent="0.25">
      <c r="A392">
        <v>10401</v>
      </c>
      <c r="B392">
        <v>56</v>
      </c>
      <c r="C392" s="6">
        <v>30.4</v>
      </c>
      <c r="D392">
        <v>70</v>
      </c>
      <c r="E392" s="6" t="s">
        <v>6</v>
      </c>
      <c r="F392" t="str">
        <f>_xlfn.XLOOKUP(northwind_order_details[[#This Row],[order_id]],northwind_orders[order_id],northwind_orders[ship_country])</f>
        <v>USA</v>
      </c>
      <c r="G392">
        <f>INDEX(northwind_orders[],MATCH(northwind_order_details[[#This Row],[order_id]], northwind_orders[order_id], 0), MATCH("employee_id", northwind_orders[#Headers], 0))</f>
        <v>1</v>
      </c>
      <c r="H392">
        <f>northwind_order_details[[#This Row],[unit_price]]*northwind_order_details[[#This Row],[quantity]]</f>
        <v>2128</v>
      </c>
      <c r="I392" s="1">
        <f>northwind_order_details[[#This Row],[purchase amount]]*northwind_order_details[[#This Row],[discount]]</f>
        <v>0</v>
      </c>
      <c r="J392" s="1">
        <f>northwind_order_details[[#This Row],[purchase amount]]-northwind_order_details[[#This Row],[discount amount]]</f>
        <v>2128</v>
      </c>
      <c r="K392" s="6" t="str">
        <f>IF(northwind_order_details[[#This Row],[discount amount]]&gt;0,"Yes","No")</f>
        <v>No</v>
      </c>
      <c r="L392" s="1" t="str">
        <f>IF(northwind_order_details[[#This Row],[Revenue]]&gt;1000,"High",IF(northwind_order_details[[#This Row],[Revenue]]&gt;300,"Medium","Low"))</f>
        <v>High</v>
      </c>
      <c r="M3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3" spans="1:13" x14ac:dyDescent="0.25">
      <c r="A393">
        <v>10401</v>
      </c>
      <c r="B393">
        <v>65</v>
      </c>
      <c r="C393" s="6">
        <v>16.8</v>
      </c>
      <c r="D393">
        <v>20</v>
      </c>
      <c r="E393" s="6" t="s">
        <v>6</v>
      </c>
      <c r="F393" t="str">
        <f>_xlfn.XLOOKUP(northwind_order_details[[#This Row],[order_id]],northwind_orders[order_id],northwind_orders[ship_country])</f>
        <v>USA</v>
      </c>
      <c r="G393">
        <f>INDEX(northwind_orders[],MATCH(northwind_order_details[[#This Row],[order_id]], northwind_orders[order_id], 0), MATCH("employee_id", northwind_orders[#Headers], 0))</f>
        <v>1</v>
      </c>
      <c r="H393">
        <f>northwind_order_details[[#This Row],[unit_price]]*northwind_order_details[[#This Row],[quantity]]</f>
        <v>336</v>
      </c>
      <c r="I393" s="1">
        <f>northwind_order_details[[#This Row],[purchase amount]]*northwind_order_details[[#This Row],[discount]]</f>
        <v>0</v>
      </c>
      <c r="J393" s="1">
        <f>northwind_order_details[[#This Row],[purchase amount]]-northwind_order_details[[#This Row],[discount amount]]</f>
        <v>336</v>
      </c>
      <c r="K393" s="6" t="str">
        <f>IF(northwind_order_details[[#This Row],[discount amount]]&gt;0,"Yes","No")</f>
        <v>No</v>
      </c>
      <c r="L393" s="1" t="str">
        <f>IF(northwind_order_details[[#This Row],[Revenue]]&gt;1000,"High",IF(northwind_order_details[[#This Row],[Revenue]]&gt;300,"Medium","Low"))</f>
        <v>Medium</v>
      </c>
      <c r="M3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4" spans="1:13" x14ac:dyDescent="0.25">
      <c r="A394">
        <v>10401</v>
      </c>
      <c r="B394">
        <v>71</v>
      </c>
      <c r="C394" s="6">
        <v>17.2</v>
      </c>
      <c r="D394">
        <v>60</v>
      </c>
      <c r="E394" s="6" t="s">
        <v>6</v>
      </c>
      <c r="F394" t="str">
        <f>_xlfn.XLOOKUP(northwind_order_details[[#This Row],[order_id]],northwind_orders[order_id],northwind_orders[ship_country])</f>
        <v>USA</v>
      </c>
      <c r="G394">
        <f>INDEX(northwind_orders[],MATCH(northwind_order_details[[#This Row],[order_id]], northwind_orders[order_id], 0), MATCH("employee_id", northwind_orders[#Headers], 0))</f>
        <v>1</v>
      </c>
      <c r="H394">
        <f>northwind_order_details[[#This Row],[unit_price]]*northwind_order_details[[#This Row],[quantity]]</f>
        <v>1032</v>
      </c>
      <c r="I394" s="1">
        <f>northwind_order_details[[#This Row],[purchase amount]]*northwind_order_details[[#This Row],[discount]]</f>
        <v>0</v>
      </c>
      <c r="J394" s="1">
        <f>northwind_order_details[[#This Row],[purchase amount]]-northwind_order_details[[#This Row],[discount amount]]</f>
        <v>1032</v>
      </c>
      <c r="K394" s="6" t="str">
        <f>IF(northwind_order_details[[#This Row],[discount amount]]&gt;0,"Yes","No")</f>
        <v>No</v>
      </c>
      <c r="L394" s="1" t="str">
        <f>IF(northwind_order_details[[#This Row],[Revenue]]&gt;1000,"High",IF(northwind_order_details[[#This Row],[Revenue]]&gt;300,"Medium","Low"))</f>
        <v>High</v>
      </c>
      <c r="M3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5" spans="1:13" x14ac:dyDescent="0.25">
      <c r="A395">
        <v>10402</v>
      </c>
      <c r="B395">
        <v>23</v>
      </c>
      <c r="C395" s="6">
        <v>7.2</v>
      </c>
      <c r="D395">
        <v>60</v>
      </c>
      <c r="E395" s="6" t="s">
        <v>6</v>
      </c>
      <c r="F395" t="str">
        <f>_xlfn.XLOOKUP(northwind_order_details[[#This Row],[order_id]],northwind_orders[order_id],northwind_orders[ship_country])</f>
        <v>Austria</v>
      </c>
      <c r="G395">
        <f>INDEX(northwind_orders[],MATCH(northwind_order_details[[#This Row],[order_id]], northwind_orders[order_id], 0), MATCH("employee_id", northwind_orders[#Headers], 0))</f>
        <v>8</v>
      </c>
      <c r="H395">
        <f>northwind_order_details[[#This Row],[unit_price]]*northwind_order_details[[#This Row],[quantity]]</f>
        <v>432</v>
      </c>
      <c r="I395" s="1">
        <f>northwind_order_details[[#This Row],[purchase amount]]*northwind_order_details[[#This Row],[discount]]</f>
        <v>0</v>
      </c>
      <c r="J395" s="1">
        <f>northwind_order_details[[#This Row],[purchase amount]]-northwind_order_details[[#This Row],[discount amount]]</f>
        <v>432</v>
      </c>
      <c r="K395" s="6" t="str">
        <f>IF(northwind_order_details[[#This Row],[discount amount]]&gt;0,"Yes","No")</f>
        <v>No</v>
      </c>
      <c r="L395" s="1" t="str">
        <f>IF(northwind_order_details[[#This Row],[Revenue]]&gt;1000,"High",IF(northwind_order_details[[#This Row],[Revenue]]&gt;300,"Medium","Low"))</f>
        <v>Medium</v>
      </c>
      <c r="M3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6" spans="1:13" x14ac:dyDescent="0.25">
      <c r="A396">
        <v>10402</v>
      </c>
      <c r="B396">
        <v>63</v>
      </c>
      <c r="C396" s="6">
        <v>35.1</v>
      </c>
      <c r="D396">
        <v>65</v>
      </c>
      <c r="E396" s="6" t="s">
        <v>6</v>
      </c>
      <c r="F396" t="str">
        <f>_xlfn.XLOOKUP(northwind_order_details[[#This Row],[order_id]],northwind_orders[order_id],northwind_orders[ship_country])</f>
        <v>Austria</v>
      </c>
      <c r="G396">
        <f>INDEX(northwind_orders[],MATCH(northwind_order_details[[#This Row],[order_id]], northwind_orders[order_id], 0), MATCH("employee_id", northwind_orders[#Headers], 0))</f>
        <v>8</v>
      </c>
      <c r="H396">
        <f>northwind_order_details[[#This Row],[unit_price]]*northwind_order_details[[#This Row],[quantity]]</f>
        <v>2281.5</v>
      </c>
      <c r="I396" s="1">
        <f>northwind_order_details[[#This Row],[purchase amount]]*northwind_order_details[[#This Row],[discount]]</f>
        <v>0</v>
      </c>
      <c r="J396" s="1">
        <f>northwind_order_details[[#This Row],[purchase amount]]-northwind_order_details[[#This Row],[discount amount]]</f>
        <v>2281.5</v>
      </c>
      <c r="K396" s="6" t="str">
        <f>IF(northwind_order_details[[#This Row],[discount amount]]&gt;0,"Yes","No")</f>
        <v>No</v>
      </c>
      <c r="L396" s="1" t="str">
        <f>IF(northwind_order_details[[#This Row],[Revenue]]&gt;1000,"High",IF(northwind_order_details[[#This Row],[Revenue]]&gt;300,"Medium","Low"))</f>
        <v>High</v>
      </c>
      <c r="M3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7" spans="1:13" x14ac:dyDescent="0.25">
      <c r="A397">
        <v>10403</v>
      </c>
      <c r="B397">
        <v>16</v>
      </c>
      <c r="C397" s="6">
        <v>13.9</v>
      </c>
      <c r="D397">
        <v>21</v>
      </c>
      <c r="E397" s="6">
        <v>0.15</v>
      </c>
      <c r="F397" t="str">
        <f>_xlfn.XLOOKUP(northwind_order_details[[#This Row],[order_id]],northwind_orders[order_id],northwind_orders[ship_country])</f>
        <v>Austria</v>
      </c>
      <c r="G397">
        <f>INDEX(northwind_orders[],MATCH(northwind_order_details[[#This Row],[order_id]], northwind_orders[order_id], 0), MATCH("employee_id", northwind_orders[#Headers], 0))</f>
        <v>4</v>
      </c>
      <c r="H397">
        <f>northwind_order_details[[#This Row],[unit_price]]*northwind_order_details[[#This Row],[quantity]]</f>
        <v>291.90000000000003</v>
      </c>
      <c r="I397" s="1">
        <f>northwind_order_details[[#This Row],[purchase amount]]*northwind_order_details[[#This Row],[discount]]</f>
        <v>43.785000000000004</v>
      </c>
      <c r="J397" s="1">
        <f>northwind_order_details[[#This Row],[purchase amount]]-northwind_order_details[[#This Row],[discount amount]]</f>
        <v>248.11500000000004</v>
      </c>
      <c r="K397" s="6" t="str">
        <f>IF(northwind_order_details[[#This Row],[discount amount]]&gt;0,"Yes","No")</f>
        <v>Yes</v>
      </c>
      <c r="L397" s="1" t="str">
        <f>IF(northwind_order_details[[#This Row],[Revenue]]&gt;1000,"High",IF(northwind_order_details[[#This Row],[Revenue]]&gt;300,"Medium","Low"))</f>
        <v>Low</v>
      </c>
      <c r="M3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8" spans="1:13" x14ac:dyDescent="0.25">
      <c r="A398">
        <v>10403</v>
      </c>
      <c r="B398">
        <v>48</v>
      </c>
      <c r="C398" s="6">
        <v>10.199999999999999</v>
      </c>
      <c r="D398">
        <v>70</v>
      </c>
      <c r="E398" s="6">
        <v>0.15</v>
      </c>
      <c r="F398" t="str">
        <f>_xlfn.XLOOKUP(northwind_order_details[[#This Row],[order_id]],northwind_orders[order_id],northwind_orders[ship_country])</f>
        <v>Austria</v>
      </c>
      <c r="G398">
        <f>INDEX(northwind_orders[],MATCH(northwind_order_details[[#This Row],[order_id]], northwind_orders[order_id], 0), MATCH("employee_id", northwind_orders[#Headers], 0))</f>
        <v>4</v>
      </c>
      <c r="H398">
        <f>northwind_order_details[[#This Row],[unit_price]]*northwind_order_details[[#This Row],[quantity]]</f>
        <v>714</v>
      </c>
      <c r="I398" s="1">
        <f>northwind_order_details[[#This Row],[purchase amount]]*northwind_order_details[[#This Row],[discount]]</f>
        <v>107.1</v>
      </c>
      <c r="J398" s="1">
        <f>northwind_order_details[[#This Row],[purchase amount]]-northwind_order_details[[#This Row],[discount amount]]</f>
        <v>606.9</v>
      </c>
      <c r="K398" s="6" t="str">
        <f>IF(northwind_order_details[[#This Row],[discount amount]]&gt;0,"Yes","No")</f>
        <v>Yes</v>
      </c>
      <c r="L398" s="1" t="str">
        <f>IF(northwind_order_details[[#This Row],[Revenue]]&gt;1000,"High",IF(northwind_order_details[[#This Row],[Revenue]]&gt;300,"Medium","Low"))</f>
        <v>Medium</v>
      </c>
      <c r="M3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399" spans="1:13" x14ac:dyDescent="0.25">
      <c r="A399">
        <v>10404</v>
      </c>
      <c r="B399">
        <v>26</v>
      </c>
      <c r="C399" s="6">
        <v>24.9</v>
      </c>
      <c r="D399">
        <v>30</v>
      </c>
      <c r="E399" s="6">
        <v>0.05</v>
      </c>
      <c r="F399" t="str">
        <f>_xlfn.XLOOKUP(northwind_order_details[[#This Row],[order_id]],northwind_orders[order_id],northwind_orders[ship_country])</f>
        <v>Italy</v>
      </c>
      <c r="G399">
        <f>INDEX(northwind_orders[],MATCH(northwind_order_details[[#This Row],[order_id]], northwind_orders[order_id], 0), MATCH("employee_id", northwind_orders[#Headers], 0))</f>
        <v>2</v>
      </c>
      <c r="H399">
        <f>northwind_order_details[[#This Row],[unit_price]]*northwind_order_details[[#This Row],[quantity]]</f>
        <v>747</v>
      </c>
      <c r="I399" s="1">
        <f>northwind_order_details[[#This Row],[purchase amount]]*northwind_order_details[[#This Row],[discount]]</f>
        <v>37.35</v>
      </c>
      <c r="J399" s="1">
        <f>northwind_order_details[[#This Row],[purchase amount]]-northwind_order_details[[#This Row],[discount amount]]</f>
        <v>709.65</v>
      </c>
      <c r="K399" s="6" t="str">
        <f>IF(northwind_order_details[[#This Row],[discount amount]]&gt;0,"Yes","No")</f>
        <v>Yes</v>
      </c>
      <c r="L399" s="1" t="str">
        <f>IF(northwind_order_details[[#This Row],[Revenue]]&gt;1000,"High",IF(northwind_order_details[[#This Row],[Revenue]]&gt;300,"Medium","Low"))</f>
        <v>Medium</v>
      </c>
      <c r="M3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0" spans="1:13" x14ac:dyDescent="0.25">
      <c r="A400">
        <v>10404</v>
      </c>
      <c r="B400">
        <v>42</v>
      </c>
      <c r="C400" s="6">
        <v>11.2</v>
      </c>
      <c r="D400">
        <v>40</v>
      </c>
      <c r="E400" s="6">
        <v>0.05</v>
      </c>
      <c r="F400" t="str">
        <f>_xlfn.XLOOKUP(northwind_order_details[[#This Row],[order_id]],northwind_orders[order_id],northwind_orders[ship_country])</f>
        <v>Italy</v>
      </c>
      <c r="G400">
        <f>INDEX(northwind_orders[],MATCH(northwind_order_details[[#This Row],[order_id]], northwind_orders[order_id], 0), MATCH("employee_id", northwind_orders[#Headers], 0))</f>
        <v>2</v>
      </c>
      <c r="H400">
        <f>northwind_order_details[[#This Row],[unit_price]]*northwind_order_details[[#This Row],[quantity]]</f>
        <v>448</v>
      </c>
      <c r="I400" s="1">
        <f>northwind_order_details[[#This Row],[purchase amount]]*northwind_order_details[[#This Row],[discount]]</f>
        <v>22.400000000000002</v>
      </c>
      <c r="J400" s="1">
        <f>northwind_order_details[[#This Row],[purchase amount]]-northwind_order_details[[#This Row],[discount amount]]</f>
        <v>425.6</v>
      </c>
      <c r="K400" s="6" t="str">
        <f>IF(northwind_order_details[[#This Row],[discount amount]]&gt;0,"Yes","No")</f>
        <v>Yes</v>
      </c>
      <c r="L400" s="1" t="str">
        <f>IF(northwind_order_details[[#This Row],[Revenue]]&gt;1000,"High",IF(northwind_order_details[[#This Row],[Revenue]]&gt;300,"Medium","Low"))</f>
        <v>Medium</v>
      </c>
      <c r="M4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1" spans="1:13" x14ac:dyDescent="0.25">
      <c r="A401">
        <v>10404</v>
      </c>
      <c r="B401">
        <v>49</v>
      </c>
      <c r="C401" s="6" t="s">
        <v>9</v>
      </c>
      <c r="D401">
        <v>30</v>
      </c>
      <c r="E401" s="6">
        <v>0.05</v>
      </c>
      <c r="F401" t="str">
        <f>_xlfn.XLOOKUP(northwind_order_details[[#This Row],[order_id]],northwind_orders[order_id],northwind_orders[ship_country])</f>
        <v>Italy</v>
      </c>
      <c r="G401">
        <f>INDEX(northwind_orders[],MATCH(northwind_order_details[[#This Row],[order_id]], northwind_orders[order_id], 0), MATCH("employee_id", northwind_orders[#Headers], 0))</f>
        <v>2</v>
      </c>
      <c r="H401">
        <f>northwind_order_details[[#This Row],[unit_price]]*northwind_order_details[[#This Row],[quantity]]</f>
        <v>480</v>
      </c>
      <c r="I401" s="1">
        <f>northwind_order_details[[#This Row],[purchase amount]]*northwind_order_details[[#This Row],[discount]]</f>
        <v>24</v>
      </c>
      <c r="J401" s="1">
        <f>northwind_order_details[[#This Row],[purchase amount]]-northwind_order_details[[#This Row],[discount amount]]</f>
        <v>456</v>
      </c>
      <c r="K401" s="6" t="str">
        <f>IF(northwind_order_details[[#This Row],[discount amount]]&gt;0,"Yes","No")</f>
        <v>Yes</v>
      </c>
      <c r="L401" s="1" t="str">
        <f>IF(northwind_order_details[[#This Row],[Revenue]]&gt;1000,"High",IF(northwind_order_details[[#This Row],[Revenue]]&gt;300,"Medium","Low"))</f>
        <v>Medium</v>
      </c>
      <c r="M4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2" spans="1:13" x14ac:dyDescent="0.25">
      <c r="A402">
        <v>10405</v>
      </c>
      <c r="B402">
        <v>3</v>
      </c>
      <c r="C402" s="6" t="s">
        <v>10</v>
      </c>
      <c r="D402">
        <v>50</v>
      </c>
      <c r="E402" s="6" t="s">
        <v>6</v>
      </c>
      <c r="F402" t="str">
        <f>_xlfn.XLOOKUP(northwind_order_details[[#This Row],[order_id]],northwind_orders[order_id],northwind_orders[ship_country])</f>
        <v>Venezuela</v>
      </c>
      <c r="G402">
        <f>INDEX(northwind_orders[],MATCH(northwind_order_details[[#This Row],[order_id]], northwind_orders[order_id], 0), MATCH("employee_id", northwind_orders[#Headers], 0))</f>
        <v>1</v>
      </c>
      <c r="H402">
        <f>northwind_order_details[[#This Row],[unit_price]]*northwind_order_details[[#This Row],[quantity]]</f>
        <v>400</v>
      </c>
      <c r="I402" s="1">
        <f>northwind_order_details[[#This Row],[purchase amount]]*northwind_order_details[[#This Row],[discount]]</f>
        <v>0</v>
      </c>
      <c r="J402" s="1">
        <f>northwind_order_details[[#This Row],[purchase amount]]-northwind_order_details[[#This Row],[discount amount]]</f>
        <v>400</v>
      </c>
      <c r="K402" s="6" t="str">
        <f>IF(northwind_order_details[[#This Row],[discount amount]]&gt;0,"Yes","No")</f>
        <v>No</v>
      </c>
      <c r="L402" s="1" t="str">
        <f>IF(northwind_order_details[[#This Row],[Revenue]]&gt;1000,"High",IF(northwind_order_details[[#This Row],[Revenue]]&gt;300,"Medium","Low"))</f>
        <v>Medium</v>
      </c>
      <c r="M4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3" spans="1:13" x14ac:dyDescent="0.25">
      <c r="A403">
        <v>10406</v>
      </c>
      <c r="B403">
        <v>1</v>
      </c>
      <c r="C403" s="6">
        <v>14.4</v>
      </c>
      <c r="D403">
        <v>10</v>
      </c>
      <c r="E403" s="6" t="s">
        <v>6</v>
      </c>
      <c r="F403" t="str">
        <f>_xlfn.XLOOKUP(northwind_order_details[[#This Row],[order_id]],northwind_orders[order_id],northwind_orders[ship_country])</f>
        <v>Brazil</v>
      </c>
      <c r="G403">
        <f>INDEX(northwind_orders[],MATCH(northwind_order_details[[#This Row],[order_id]], northwind_orders[order_id], 0), MATCH("employee_id", northwind_orders[#Headers], 0))</f>
        <v>7</v>
      </c>
      <c r="H403">
        <f>northwind_order_details[[#This Row],[unit_price]]*northwind_order_details[[#This Row],[quantity]]</f>
        <v>144</v>
      </c>
      <c r="I403" s="1">
        <f>northwind_order_details[[#This Row],[purchase amount]]*northwind_order_details[[#This Row],[discount]]</f>
        <v>0</v>
      </c>
      <c r="J403" s="1">
        <f>northwind_order_details[[#This Row],[purchase amount]]-northwind_order_details[[#This Row],[discount amount]]</f>
        <v>144</v>
      </c>
      <c r="K403" s="6" t="str">
        <f>IF(northwind_order_details[[#This Row],[discount amount]]&gt;0,"Yes","No")</f>
        <v>No</v>
      </c>
      <c r="L403" s="1" t="str">
        <f>IF(northwind_order_details[[#This Row],[Revenue]]&gt;1000,"High",IF(northwind_order_details[[#This Row],[Revenue]]&gt;300,"Medium","Low"))</f>
        <v>Low</v>
      </c>
      <c r="M4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4" spans="1:13" x14ac:dyDescent="0.25">
      <c r="A404">
        <v>10406</v>
      </c>
      <c r="B404">
        <v>21</v>
      </c>
      <c r="C404" s="6" t="s">
        <v>10</v>
      </c>
      <c r="D404">
        <v>30</v>
      </c>
      <c r="E404" s="6">
        <v>0.1</v>
      </c>
      <c r="F404" t="str">
        <f>_xlfn.XLOOKUP(northwind_order_details[[#This Row],[order_id]],northwind_orders[order_id],northwind_orders[ship_country])</f>
        <v>Brazil</v>
      </c>
      <c r="G404">
        <f>INDEX(northwind_orders[],MATCH(northwind_order_details[[#This Row],[order_id]], northwind_orders[order_id], 0), MATCH("employee_id", northwind_orders[#Headers], 0))</f>
        <v>7</v>
      </c>
      <c r="H404">
        <f>northwind_order_details[[#This Row],[unit_price]]*northwind_order_details[[#This Row],[quantity]]</f>
        <v>240</v>
      </c>
      <c r="I404" s="1">
        <f>northwind_order_details[[#This Row],[purchase amount]]*northwind_order_details[[#This Row],[discount]]</f>
        <v>24</v>
      </c>
      <c r="J404" s="1">
        <f>northwind_order_details[[#This Row],[purchase amount]]-northwind_order_details[[#This Row],[discount amount]]</f>
        <v>216</v>
      </c>
      <c r="K404" s="6" t="str">
        <f>IF(northwind_order_details[[#This Row],[discount amount]]&gt;0,"Yes","No")</f>
        <v>Yes</v>
      </c>
      <c r="L404" s="1" t="str">
        <f>IF(northwind_order_details[[#This Row],[Revenue]]&gt;1000,"High",IF(northwind_order_details[[#This Row],[Revenue]]&gt;300,"Medium","Low"))</f>
        <v>Low</v>
      </c>
      <c r="M4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5" spans="1:13" x14ac:dyDescent="0.25">
      <c r="A405">
        <v>10406</v>
      </c>
      <c r="B405">
        <v>28</v>
      </c>
      <c r="C405" s="6">
        <v>36.4</v>
      </c>
      <c r="D405">
        <v>42</v>
      </c>
      <c r="E405" s="6">
        <v>0.1</v>
      </c>
      <c r="F405" t="str">
        <f>_xlfn.XLOOKUP(northwind_order_details[[#This Row],[order_id]],northwind_orders[order_id],northwind_orders[ship_country])</f>
        <v>Brazil</v>
      </c>
      <c r="G405">
        <f>INDEX(northwind_orders[],MATCH(northwind_order_details[[#This Row],[order_id]], northwind_orders[order_id], 0), MATCH("employee_id", northwind_orders[#Headers], 0))</f>
        <v>7</v>
      </c>
      <c r="H405">
        <f>northwind_order_details[[#This Row],[unit_price]]*northwind_order_details[[#This Row],[quantity]]</f>
        <v>1528.8</v>
      </c>
      <c r="I405" s="1">
        <f>northwind_order_details[[#This Row],[purchase amount]]*northwind_order_details[[#This Row],[discount]]</f>
        <v>152.88</v>
      </c>
      <c r="J405" s="1">
        <f>northwind_order_details[[#This Row],[purchase amount]]-northwind_order_details[[#This Row],[discount amount]]</f>
        <v>1375.92</v>
      </c>
      <c r="K405" s="6" t="str">
        <f>IF(northwind_order_details[[#This Row],[discount amount]]&gt;0,"Yes","No")</f>
        <v>Yes</v>
      </c>
      <c r="L405" s="1" t="str">
        <f>IF(northwind_order_details[[#This Row],[Revenue]]&gt;1000,"High",IF(northwind_order_details[[#This Row],[Revenue]]&gt;300,"Medium","Low"))</f>
        <v>High</v>
      </c>
      <c r="M4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6" spans="1:13" x14ac:dyDescent="0.25">
      <c r="A406">
        <v>10406</v>
      </c>
      <c r="B406">
        <v>36</v>
      </c>
      <c r="C406" s="6">
        <v>15.2</v>
      </c>
      <c r="D406">
        <v>5</v>
      </c>
      <c r="E406" s="6">
        <v>0.1</v>
      </c>
      <c r="F406" t="str">
        <f>_xlfn.XLOOKUP(northwind_order_details[[#This Row],[order_id]],northwind_orders[order_id],northwind_orders[ship_country])</f>
        <v>Brazil</v>
      </c>
      <c r="G406">
        <f>INDEX(northwind_orders[],MATCH(northwind_order_details[[#This Row],[order_id]], northwind_orders[order_id], 0), MATCH("employee_id", northwind_orders[#Headers], 0))</f>
        <v>7</v>
      </c>
      <c r="H406">
        <f>northwind_order_details[[#This Row],[unit_price]]*northwind_order_details[[#This Row],[quantity]]</f>
        <v>76</v>
      </c>
      <c r="I406" s="1">
        <f>northwind_order_details[[#This Row],[purchase amount]]*northwind_order_details[[#This Row],[discount]]</f>
        <v>7.6000000000000005</v>
      </c>
      <c r="J406" s="1">
        <f>northwind_order_details[[#This Row],[purchase amount]]-northwind_order_details[[#This Row],[discount amount]]</f>
        <v>68.400000000000006</v>
      </c>
      <c r="K406" s="6" t="str">
        <f>IF(northwind_order_details[[#This Row],[discount amount]]&gt;0,"Yes","No")</f>
        <v>Yes</v>
      </c>
      <c r="L406" s="1" t="str">
        <f>IF(northwind_order_details[[#This Row],[Revenue]]&gt;1000,"High",IF(northwind_order_details[[#This Row],[Revenue]]&gt;300,"Medium","Low"))</f>
        <v>Low</v>
      </c>
      <c r="M4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7" spans="1:13" x14ac:dyDescent="0.25">
      <c r="A407">
        <v>10406</v>
      </c>
      <c r="B407">
        <v>40</v>
      </c>
      <c r="C407" s="6">
        <v>14.7</v>
      </c>
      <c r="D407">
        <v>2</v>
      </c>
      <c r="E407" s="6">
        <v>0.1</v>
      </c>
      <c r="F407" t="str">
        <f>_xlfn.XLOOKUP(northwind_order_details[[#This Row],[order_id]],northwind_orders[order_id],northwind_orders[ship_country])</f>
        <v>Brazil</v>
      </c>
      <c r="G407">
        <f>INDEX(northwind_orders[],MATCH(northwind_order_details[[#This Row],[order_id]], northwind_orders[order_id], 0), MATCH("employee_id", northwind_orders[#Headers], 0))</f>
        <v>7</v>
      </c>
      <c r="H407">
        <f>northwind_order_details[[#This Row],[unit_price]]*northwind_order_details[[#This Row],[quantity]]</f>
        <v>29.4</v>
      </c>
      <c r="I407" s="1">
        <f>northwind_order_details[[#This Row],[purchase amount]]*northwind_order_details[[#This Row],[discount]]</f>
        <v>2.94</v>
      </c>
      <c r="J407" s="1">
        <f>northwind_order_details[[#This Row],[purchase amount]]-northwind_order_details[[#This Row],[discount amount]]</f>
        <v>26.459999999999997</v>
      </c>
      <c r="K407" s="6" t="str">
        <f>IF(northwind_order_details[[#This Row],[discount amount]]&gt;0,"Yes","No")</f>
        <v>Yes</v>
      </c>
      <c r="L407" s="1" t="str">
        <f>IF(northwind_order_details[[#This Row],[Revenue]]&gt;1000,"High",IF(northwind_order_details[[#This Row],[Revenue]]&gt;300,"Medium","Low"))</f>
        <v>Low</v>
      </c>
      <c r="M4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8" spans="1:13" x14ac:dyDescent="0.25">
      <c r="A408">
        <v>10407</v>
      </c>
      <c r="B408">
        <v>11</v>
      </c>
      <c r="C408" s="6">
        <v>16.8</v>
      </c>
      <c r="D408">
        <v>30</v>
      </c>
      <c r="E408" s="6" t="s">
        <v>6</v>
      </c>
      <c r="F408" t="str">
        <f>_xlfn.XLOOKUP(northwind_order_details[[#This Row],[order_id]],northwind_orders[order_id],northwind_orders[ship_country])</f>
        <v>Germany</v>
      </c>
      <c r="G408">
        <f>INDEX(northwind_orders[],MATCH(northwind_order_details[[#This Row],[order_id]], northwind_orders[order_id], 0), MATCH("employee_id", northwind_orders[#Headers], 0))</f>
        <v>2</v>
      </c>
      <c r="H408">
        <f>northwind_order_details[[#This Row],[unit_price]]*northwind_order_details[[#This Row],[quantity]]</f>
        <v>504</v>
      </c>
      <c r="I408" s="1">
        <f>northwind_order_details[[#This Row],[purchase amount]]*northwind_order_details[[#This Row],[discount]]</f>
        <v>0</v>
      </c>
      <c r="J408" s="1">
        <f>northwind_order_details[[#This Row],[purchase amount]]-northwind_order_details[[#This Row],[discount amount]]</f>
        <v>504</v>
      </c>
      <c r="K408" s="6" t="str">
        <f>IF(northwind_order_details[[#This Row],[discount amount]]&gt;0,"Yes","No")</f>
        <v>No</v>
      </c>
      <c r="L408" s="1" t="str">
        <f>IF(northwind_order_details[[#This Row],[Revenue]]&gt;1000,"High",IF(northwind_order_details[[#This Row],[Revenue]]&gt;300,"Medium","Low"))</f>
        <v>Medium</v>
      </c>
      <c r="M4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09" spans="1:13" x14ac:dyDescent="0.25">
      <c r="A409">
        <v>10407</v>
      </c>
      <c r="B409">
        <v>69</v>
      </c>
      <c r="C409" s="6">
        <v>28.8</v>
      </c>
      <c r="D409">
        <v>15</v>
      </c>
      <c r="E409" s="6" t="s">
        <v>6</v>
      </c>
      <c r="F409" t="str">
        <f>_xlfn.XLOOKUP(northwind_order_details[[#This Row],[order_id]],northwind_orders[order_id],northwind_orders[ship_country])</f>
        <v>Germany</v>
      </c>
      <c r="G409">
        <f>INDEX(northwind_orders[],MATCH(northwind_order_details[[#This Row],[order_id]], northwind_orders[order_id], 0), MATCH("employee_id", northwind_orders[#Headers], 0))</f>
        <v>2</v>
      </c>
      <c r="H409">
        <f>northwind_order_details[[#This Row],[unit_price]]*northwind_order_details[[#This Row],[quantity]]</f>
        <v>432</v>
      </c>
      <c r="I409" s="1">
        <f>northwind_order_details[[#This Row],[purchase amount]]*northwind_order_details[[#This Row],[discount]]</f>
        <v>0</v>
      </c>
      <c r="J409" s="1">
        <f>northwind_order_details[[#This Row],[purchase amount]]-northwind_order_details[[#This Row],[discount amount]]</f>
        <v>432</v>
      </c>
      <c r="K409" s="6" t="str">
        <f>IF(northwind_order_details[[#This Row],[discount amount]]&gt;0,"Yes","No")</f>
        <v>No</v>
      </c>
      <c r="L409" s="1" t="str">
        <f>IF(northwind_order_details[[#This Row],[Revenue]]&gt;1000,"High",IF(northwind_order_details[[#This Row],[Revenue]]&gt;300,"Medium","Low"))</f>
        <v>Medium</v>
      </c>
      <c r="M4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0" spans="1:13" x14ac:dyDescent="0.25">
      <c r="A410">
        <v>10407</v>
      </c>
      <c r="B410">
        <v>71</v>
      </c>
      <c r="C410" s="6">
        <v>17.2</v>
      </c>
      <c r="D410">
        <v>15</v>
      </c>
      <c r="E410" s="6" t="s">
        <v>6</v>
      </c>
      <c r="F410" t="str">
        <f>_xlfn.XLOOKUP(northwind_order_details[[#This Row],[order_id]],northwind_orders[order_id],northwind_orders[ship_country])</f>
        <v>Germany</v>
      </c>
      <c r="G410">
        <f>INDEX(northwind_orders[],MATCH(northwind_order_details[[#This Row],[order_id]], northwind_orders[order_id], 0), MATCH("employee_id", northwind_orders[#Headers], 0))</f>
        <v>2</v>
      </c>
      <c r="H410">
        <f>northwind_order_details[[#This Row],[unit_price]]*northwind_order_details[[#This Row],[quantity]]</f>
        <v>258</v>
      </c>
      <c r="I410" s="1">
        <f>northwind_order_details[[#This Row],[purchase amount]]*northwind_order_details[[#This Row],[discount]]</f>
        <v>0</v>
      </c>
      <c r="J410" s="1">
        <f>northwind_order_details[[#This Row],[purchase amount]]-northwind_order_details[[#This Row],[discount amount]]</f>
        <v>258</v>
      </c>
      <c r="K410" s="6" t="str">
        <f>IF(northwind_order_details[[#This Row],[discount amount]]&gt;0,"Yes","No")</f>
        <v>No</v>
      </c>
      <c r="L410" s="1" t="str">
        <f>IF(northwind_order_details[[#This Row],[Revenue]]&gt;1000,"High",IF(northwind_order_details[[#This Row],[Revenue]]&gt;300,"Medium","Low"))</f>
        <v>Low</v>
      </c>
      <c r="M4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1" spans="1:13" x14ac:dyDescent="0.25">
      <c r="A411">
        <v>10408</v>
      </c>
      <c r="B411">
        <v>37</v>
      </c>
      <c r="C411" s="6">
        <v>20.8</v>
      </c>
      <c r="D411">
        <v>10</v>
      </c>
      <c r="E411" s="6" t="s">
        <v>6</v>
      </c>
      <c r="F411" t="str">
        <f>_xlfn.XLOOKUP(northwind_order_details[[#This Row],[order_id]],northwind_orders[order_id],northwind_orders[ship_country])</f>
        <v>France</v>
      </c>
      <c r="G411">
        <f>INDEX(northwind_orders[],MATCH(northwind_order_details[[#This Row],[order_id]], northwind_orders[order_id], 0), MATCH("employee_id", northwind_orders[#Headers], 0))</f>
        <v>8</v>
      </c>
      <c r="H411">
        <f>northwind_order_details[[#This Row],[unit_price]]*northwind_order_details[[#This Row],[quantity]]</f>
        <v>208</v>
      </c>
      <c r="I411" s="1">
        <f>northwind_order_details[[#This Row],[purchase amount]]*northwind_order_details[[#This Row],[discount]]</f>
        <v>0</v>
      </c>
      <c r="J411" s="1">
        <f>northwind_order_details[[#This Row],[purchase amount]]-northwind_order_details[[#This Row],[discount amount]]</f>
        <v>208</v>
      </c>
      <c r="K411" s="6" t="str">
        <f>IF(northwind_order_details[[#This Row],[discount amount]]&gt;0,"Yes","No")</f>
        <v>No</v>
      </c>
      <c r="L411" s="1" t="str">
        <f>IF(northwind_order_details[[#This Row],[Revenue]]&gt;1000,"High",IF(northwind_order_details[[#This Row],[Revenue]]&gt;300,"Medium","Low"))</f>
        <v>Low</v>
      </c>
      <c r="M4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2" spans="1:13" x14ac:dyDescent="0.25">
      <c r="A412">
        <v>10408</v>
      </c>
      <c r="B412">
        <v>54</v>
      </c>
      <c r="C412" s="6">
        <v>5.9</v>
      </c>
      <c r="D412">
        <v>6</v>
      </c>
      <c r="E412" s="6" t="s">
        <v>6</v>
      </c>
      <c r="F412" t="str">
        <f>_xlfn.XLOOKUP(northwind_order_details[[#This Row],[order_id]],northwind_orders[order_id],northwind_orders[ship_country])</f>
        <v>France</v>
      </c>
      <c r="G412">
        <f>INDEX(northwind_orders[],MATCH(northwind_order_details[[#This Row],[order_id]], northwind_orders[order_id], 0), MATCH("employee_id", northwind_orders[#Headers], 0))</f>
        <v>8</v>
      </c>
      <c r="H412">
        <f>northwind_order_details[[#This Row],[unit_price]]*northwind_order_details[[#This Row],[quantity]]</f>
        <v>35.400000000000006</v>
      </c>
      <c r="I412" s="1">
        <f>northwind_order_details[[#This Row],[purchase amount]]*northwind_order_details[[#This Row],[discount]]</f>
        <v>0</v>
      </c>
      <c r="J412" s="1">
        <f>northwind_order_details[[#This Row],[purchase amount]]-northwind_order_details[[#This Row],[discount amount]]</f>
        <v>35.400000000000006</v>
      </c>
      <c r="K412" s="6" t="str">
        <f>IF(northwind_order_details[[#This Row],[discount amount]]&gt;0,"Yes","No")</f>
        <v>No</v>
      </c>
      <c r="L412" s="1" t="str">
        <f>IF(northwind_order_details[[#This Row],[Revenue]]&gt;1000,"High",IF(northwind_order_details[[#This Row],[Revenue]]&gt;300,"Medium","Low"))</f>
        <v>Low</v>
      </c>
      <c r="M4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3" spans="1:13" x14ac:dyDescent="0.25">
      <c r="A413">
        <v>10408</v>
      </c>
      <c r="B413">
        <v>62</v>
      </c>
      <c r="C413" s="6">
        <v>39.4</v>
      </c>
      <c r="D413">
        <v>35</v>
      </c>
      <c r="E413" s="6" t="s">
        <v>6</v>
      </c>
      <c r="F413" t="str">
        <f>_xlfn.XLOOKUP(northwind_order_details[[#This Row],[order_id]],northwind_orders[order_id],northwind_orders[ship_country])</f>
        <v>France</v>
      </c>
      <c r="G413">
        <f>INDEX(northwind_orders[],MATCH(northwind_order_details[[#This Row],[order_id]], northwind_orders[order_id], 0), MATCH("employee_id", northwind_orders[#Headers], 0))</f>
        <v>8</v>
      </c>
      <c r="H413">
        <f>northwind_order_details[[#This Row],[unit_price]]*northwind_order_details[[#This Row],[quantity]]</f>
        <v>1379</v>
      </c>
      <c r="I413" s="1">
        <f>northwind_order_details[[#This Row],[purchase amount]]*northwind_order_details[[#This Row],[discount]]</f>
        <v>0</v>
      </c>
      <c r="J413" s="1">
        <f>northwind_order_details[[#This Row],[purchase amount]]-northwind_order_details[[#This Row],[discount amount]]</f>
        <v>1379</v>
      </c>
      <c r="K413" s="6" t="str">
        <f>IF(northwind_order_details[[#This Row],[discount amount]]&gt;0,"Yes","No")</f>
        <v>No</v>
      </c>
      <c r="L413" s="1" t="str">
        <f>IF(northwind_order_details[[#This Row],[Revenue]]&gt;1000,"High",IF(northwind_order_details[[#This Row],[Revenue]]&gt;300,"Medium","Low"))</f>
        <v>High</v>
      </c>
      <c r="M4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4" spans="1:13" x14ac:dyDescent="0.25">
      <c r="A414">
        <v>10409</v>
      </c>
      <c r="B414">
        <v>14</v>
      </c>
      <c r="C414" s="6">
        <v>18.600000000000001</v>
      </c>
      <c r="D414">
        <v>12</v>
      </c>
      <c r="E414" s="6" t="s">
        <v>6</v>
      </c>
      <c r="F414" t="str">
        <f>_xlfn.XLOOKUP(northwind_order_details[[#This Row],[order_id]],northwind_orders[order_id],northwind_orders[ship_country])</f>
        <v>Argentina</v>
      </c>
      <c r="G414">
        <f>INDEX(northwind_orders[],MATCH(northwind_order_details[[#This Row],[order_id]], northwind_orders[order_id], 0), MATCH("employee_id", northwind_orders[#Headers], 0))</f>
        <v>3</v>
      </c>
      <c r="H414">
        <f>northwind_order_details[[#This Row],[unit_price]]*northwind_order_details[[#This Row],[quantity]]</f>
        <v>223.20000000000002</v>
      </c>
      <c r="I414" s="1">
        <f>northwind_order_details[[#This Row],[purchase amount]]*northwind_order_details[[#This Row],[discount]]</f>
        <v>0</v>
      </c>
      <c r="J414" s="1">
        <f>northwind_order_details[[#This Row],[purchase amount]]-northwind_order_details[[#This Row],[discount amount]]</f>
        <v>223.20000000000002</v>
      </c>
      <c r="K414" s="6" t="str">
        <f>IF(northwind_order_details[[#This Row],[discount amount]]&gt;0,"Yes","No")</f>
        <v>No</v>
      </c>
      <c r="L414" s="1" t="str">
        <f>IF(northwind_order_details[[#This Row],[Revenue]]&gt;1000,"High",IF(northwind_order_details[[#This Row],[Revenue]]&gt;300,"Medium","Low"))</f>
        <v>Low</v>
      </c>
      <c r="M4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5" spans="1:13" x14ac:dyDescent="0.25">
      <c r="A415">
        <v>10409</v>
      </c>
      <c r="B415">
        <v>21</v>
      </c>
      <c r="C415" s="6" t="s">
        <v>10</v>
      </c>
      <c r="D415">
        <v>12</v>
      </c>
      <c r="E415" s="6" t="s">
        <v>6</v>
      </c>
      <c r="F415" t="str">
        <f>_xlfn.XLOOKUP(northwind_order_details[[#This Row],[order_id]],northwind_orders[order_id],northwind_orders[ship_country])</f>
        <v>Argentina</v>
      </c>
      <c r="G415">
        <f>INDEX(northwind_orders[],MATCH(northwind_order_details[[#This Row],[order_id]], northwind_orders[order_id], 0), MATCH("employee_id", northwind_orders[#Headers], 0))</f>
        <v>3</v>
      </c>
      <c r="H415">
        <f>northwind_order_details[[#This Row],[unit_price]]*northwind_order_details[[#This Row],[quantity]]</f>
        <v>96</v>
      </c>
      <c r="I415" s="1">
        <f>northwind_order_details[[#This Row],[purchase amount]]*northwind_order_details[[#This Row],[discount]]</f>
        <v>0</v>
      </c>
      <c r="J415" s="1">
        <f>northwind_order_details[[#This Row],[purchase amount]]-northwind_order_details[[#This Row],[discount amount]]</f>
        <v>96</v>
      </c>
      <c r="K415" s="6" t="str">
        <f>IF(northwind_order_details[[#This Row],[discount amount]]&gt;0,"Yes","No")</f>
        <v>No</v>
      </c>
      <c r="L415" s="1" t="str">
        <f>IF(northwind_order_details[[#This Row],[Revenue]]&gt;1000,"High",IF(northwind_order_details[[#This Row],[Revenue]]&gt;300,"Medium","Low"))</f>
        <v>Low</v>
      </c>
      <c r="M4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6" spans="1:13" x14ac:dyDescent="0.25">
      <c r="A416">
        <v>10410</v>
      </c>
      <c r="B416">
        <v>33</v>
      </c>
      <c r="C416" s="6" t="s">
        <v>7</v>
      </c>
      <c r="D416">
        <v>49</v>
      </c>
      <c r="E416" s="6" t="s">
        <v>6</v>
      </c>
      <c r="F416" t="str">
        <f>_xlfn.XLOOKUP(northwind_order_details[[#This Row],[order_id]],northwind_orders[order_id],northwind_orders[ship_country])</f>
        <v>Canada</v>
      </c>
      <c r="G416">
        <f>INDEX(northwind_orders[],MATCH(northwind_order_details[[#This Row],[order_id]], northwind_orders[order_id], 0), MATCH("employee_id", northwind_orders[#Headers], 0))</f>
        <v>3</v>
      </c>
      <c r="H416">
        <f>northwind_order_details[[#This Row],[unit_price]]*northwind_order_details[[#This Row],[quantity]]</f>
        <v>98</v>
      </c>
      <c r="I416" s="1">
        <f>northwind_order_details[[#This Row],[purchase amount]]*northwind_order_details[[#This Row],[discount]]</f>
        <v>0</v>
      </c>
      <c r="J416" s="1">
        <f>northwind_order_details[[#This Row],[purchase amount]]-northwind_order_details[[#This Row],[discount amount]]</f>
        <v>98</v>
      </c>
      <c r="K416" s="6" t="str">
        <f>IF(northwind_order_details[[#This Row],[discount amount]]&gt;0,"Yes","No")</f>
        <v>No</v>
      </c>
      <c r="L416" s="1" t="str">
        <f>IF(northwind_order_details[[#This Row],[Revenue]]&gt;1000,"High",IF(northwind_order_details[[#This Row],[Revenue]]&gt;300,"Medium","Low"))</f>
        <v>Low</v>
      </c>
      <c r="M4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7" spans="1:13" x14ac:dyDescent="0.25">
      <c r="A417">
        <v>10410</v>
      </c>
      <c r="B417">
        <v>59</v>
      </c>
      <c r="C417" s="6" t="s">
        <v>11</v>
      </c>
      <c r="D417">
        <v>16</v>
      </c>
      <c r="E417" s="6" t="s">
        <v>6</v>
      </c>
      <c r="F417" t="str">
        <f>_xlfn.XLOOKUP(northwind_order_details[[#This Row],[order_id]],northwind_orders[order_id],northwind_orders[ship_country])</f>
        <v>Canada</v>
      </c>
      <c r="G417">
        <f>INDEX(northwind_orders[],MATCH(northwind_order_details[[#This Row],[order_id]], northwind_orders[order_id], 0), MATCH("employee_id", northwind_orders[#Headers], 0))</f>
        <v>3</v>
      </c>
      <c r="H417">
        <f>northwind_order_details[[#This Row],[unit_price]]*northwind_order_details[[#This Row],[quantity]]</f>
        <v>704</v>
      </c>
      <c r="I417" s="1">
        <f>northwind_order_details[[#This Row],[purchase amount]]*northwind_order_details[[#This Row],[discount]]</f>
        <v>0</v>
      </c>
      <c r="J417" s="1">
        <f>northwind_order_details[[#This Row],[purchase amount]]-northwind_order_details[[#This Row],[discount amount]]</f>
        <v>704</v>
      </c>
      <c r="K417" s="6" t="str">
        <f>IF(northwind_order_details[[#This Row],[discount amount]]&gt;0,"Yes","No")</f>
        <v>No</v>
      </c>
      <c r="L417" s="1" t="str">
        <f>IF(northwind_order_details[[#This Row],[Revenue]]&gt;1000,"High",IF(northwind_order_details[[#This Row],[Revenue]]&gt;300,"Medium","Low"))</f>
        <v>Medium</v>
      </c>
      <c r="M4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8" spans="1:13" x14ac:dyDescent="0.25">
      <c r="A418">
        <v>10411</v>
      </c>
      <c r="B418">
        <v>41</v>
      </c>
      <c r="C418" s="6">
        <v>7.7</v>
      </c>
      <c r="D418">
        <v>25</v>
      </c>
      <c r="E418" s="6">
        <v>0.2</v>
      </c>
      <c r="F418" t="str">
        <f>_xlfn.XLOOKUP(northwind_order_details[[#This Row],[order_id]],northwind_orders[order_id],northwind_orders[ship_country])</f>
        <v>Canada</v>
      </c>
      <c r="G418">
        <f>INDEX(northwind_orders[],MATCH(northwind_order_details[[#This Row],[order_id]], northwind_orders[order_id], 0), MATCH("employee_id", northwind_orders[#Headers], 0))</f>
        <v>9</v>
      </c>
      <c r="H418">
        <f>northwind_order_details[[#This Row],[unit_price]]*northwind_order_details[[#This Row],[quantity]]</f>
        <v>192.5</v>
      </c>
      <c r="I418" s="1">
        <f>northwind_order_details[[#This Row],[purchase amount]]*northwind_order_details[[#This Row],[discount]]</f>
        <v>38.5</v>
      </c>
      <c r="J418" s="1">
        <f>northwind_order_details[[#This Row],[purchase amount]]-northwind_order_details[[#This Row],[discount amount]]</f>
        <v>154</v>
      </c>
      <c r="K418" s="6" t="str">
        <f>IF(northwind_order_details[[#This Row],[discount amount]]&gt;0,"Yes","No")</f>
        <v>Yes</v>
      </c>
      <c r="L418" s="1" t="str">
        <f>IF(northwind_order_details[[#This Row],[Revenue]]&gt;1000,"High",IF(northwind_order_details[[#This Row],[Revenue]]&gt;300,"Medium","Low"))</f>
        <v>Low</v>
      </c>
      <c r="M4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19" spans="1:13" x14ac:dyDescent="0.25">
      <c r="A419">
        <v>10411</v>
      </c>
      <c r="B419">
        <v>44</v>
      </c>
      <c r="C419" s="6">
        <v>15.5</v>
      </c>
      <c r="D419">
        <v>40</v>
      </c>
      <c r="E419" s="6">
        <v>0.2</v>
      </c>
      <c r="F419" t="str">
        <f>_xlfn.XLOOKUP(northwind_order_details[[#This Row],[order_id]],northwind_orders[order_id],northwind_orders[ship_country])</f>
        <v>Canada</v>
      </c>
      <c r="G419">
        <f>INDEX(northwind_orders[],MATCH(northwind_order_details[[#This Row],[order_id]], northwind_orders[order_id], 0), MATCH("employee_id", northwind_orders[#Headers], 0))</f>
        <v>9</v>
      </c>
      <c r="H419">
        <f>northwind_order_details[[#This Row],[unit_price]]*northwind_order_details[[#This Row],[quantity]]</f>
        <v>620</v>
      </c>
      <c r="I419" s="1">
        <f>northwind_order_details[[#This Row],[purchase amount]]*northwind_order_details[[#This Row],[discount]]</f>
        <v>124</v>
      </c>
      <c r="J419" s="1">
        <f>northwind_order_details[[#This Row],[purchase amount]]-northwind_order_details[[#This Row],[discount amount]]</f>
        <v>496</v>
      </c>
      <c r="K419" s="6" t="str">
        <f>IF(northwind_order_details[[#This Row],[discount amount]]&gt;0,"Yes","No")</f>
        <v>Yes</v>
      </c>
      <c r="L419" s="1" t="str">
        <f>IF(northwind_order_details[[#This Row],[Revenue]]&gt;1000,"High",IF(northwind_order_details[[#This Row],[Revenue]]&gt;300,"Medium","Low"))</f>
        <v>Medium</v>
      </c>
      <c r="M4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0" spans="1:13" x14ac:dyDescent="0.25">
      <c r="A420">
        <v>10411</v>
      </c>
      <c r="B420">
        <v>59</v>
      </c>
      <c r="C420" s="6" t="s">
        <v>11</v>
      </c>
      <c r="D420">
        <v>9</v>
      </c>
      <c r="E420" s="6">
        <v>0.2</v>
      </c>
      <c r="F420" t="str">
        <f>_xlfn.XLOOKUP(northwind_order_details[[#This Row],[order_id]],northwind_orders[order_id],northwind_orders[ship_country])</f>
        <v>Canada</v>
      </c>
      <c r="G420">
        <f>INDEX(northwind_orders[],MATCH(northwind_order_details[[#This Row],[order_id]], northwind_orders[order_id], 0), MATCH("employee_id", northwind_orders[#Headers], 0))</f>
        <v>9</v>
      </c>
      <c r="H420">
        <f>northwind_order_details[[#This Row],[unit_price]]*northwind_order_details[[#This Row],[quantity]]</f>
        <v>396</v>
      </c>
      <c r="I420" s="1">
        <f>northwind_order_details[[#This Row],[purchase amount]]*northwind_order_details[[#This Row],[discount]]</f>
        <v>79.2</v>
      </c>
      <c r="J420" s="1">
        <f>northwind_order_details[[#This Row],[purchase amount]]-northwind_order_details[[#This Row],[discount amount]]</f>
        <v>316.8</v>
      </c>
      <c r="K420" s="6" t="str">
        <f>IF(northwind_order_details[[#This Row],[discount amount]]&gt;0,"Yes","No")</f>
        <v>Yes</v>
      </c>
      <c r="L420" s="1" t="str">
        <f>IF(northwind_order_details[[#This Row],[Revenue]]&gt;1000,"High",IF(northwind_order_details[[#This Row],[Revenue]]&gt;300,"Medium","Low"))</f>
        <v>Medium</v>
      </c>
      <c r="M4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1" spans="1:13" x14ac:dyDescent="0.25">
      <c r="A421">
        <v>10412</v>
      </c>
      <c r="B421">
        <v>14</v>
      </c>
      <c r="C421" s="6">
        <v>18.600000000000001</v>
      </c>
      <c r="D421">
        <v>20</v>
      </c>
      <c r="E421" s="6">
        <v>0.1</v>
      </c>
      <c r="F421" t="str">
        <f>_xlfn.XLOOKUP(northwind_order_details[[#This Row],[order_id]],northwind_orders[order_id],northwind_orders[ship_country])</f>
        <v>Finland</v>
      </c>
      <c r="G421">
        <f>INDEX(northwind_orders[],MATCH(northwind_order_details[[#This Row],[order_id]], northwind_orders[order_id], 0), MATCH("employee_id", northwind_orders[#Headers], 0))</f>
        <v>8</v>
      </c>
      <c r="H421">
        <f>northwind_order_details[[#This Row],[unit_price]]*northwind_order_details[[#This Row],[quantity]]</f>
        <v>372</v>
      </c>
      <c r="I421" s="1">
        <f>northwind_order_details[[#This Row],[purchase amount]]*northwind_order_details[[#This Row],[discount]]</f>
        <v>37.200000000000003</v>
      </c>
      <c r="J421" s="1">
        <f>northwind_order_details[[#This Row],[purchase amount]]-northwind_order_details[[#This Row],[discount amount]]</f>
        <v>334.8</v>
      </c>
      <c r="K421" s="6" t="str">
        <f>IF(northwind_order_details[[#This Row],[discount amount]]&gt;0,"Yes","No")</f>
        <v>Yes</v>
      </c>
      <c r="L421" s="1" t="str">
        <f>IF(northwind_order_details[[#This Row],[Revenue]]&gt;1000,"High",IF(northwind_order_details[[#This Row],[Revenue]]&gt;300,"Medium","Low"))</f>
        <v>Medium</v>
      </c>
      <c r="M4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2" spans="1:13" x14ac:dyDescent="0.25">
      <c r="A422">
        <v>10413</v>
      </c>
      <c r="B422">
        <v>1</v>
      </c>
      <c r="C422" s="6">
        <v>14.4</v>
      </c>
      <c r="D422">
        <v>24</v>
      </c>
      <c r="E422" s="6" t="s">
        <v>6</v>
      </c>
      <c r="F422" t="str">
        <f>_xlfn.XLOOKUP(northwind_order_details[[#This Row],[order_id]],northwind_orders[order_id],northwind_orders[ship_country])</f>
        <v>France</v>
      </c>
      <c r="G422">
        <f>INDEX(northwind_orders[],MATCH(northwind_order_details[[#This Row],[order_id]], northwind_orders[order_id], 0), MATCH("employee_id", northwind_orders[#Headers], 0))</f>
        <v>3</v>
      </c>
      <c r="H422">
        <f>northwind_order_details[[#This Row],[unit_price]]*northwind_order_details[[#This Row],[quantity]]</f>
        <v>345.6</v>
      </c>
      <c r="I422" s="1">
        <f>northwind_order_details[[#This Row],[purchase amount]]*northwind_order_details[[#This Row],[discount]]</f>
        <v>0</v>
      </c>
      <c r="J422" s="1">
        <f>northwind_order_details[[#This Row],[purchase amount]]-northwind_order_details[[#This Row],[discount amount]]</f>
        <v>345.6</v>
      </c>
      <c r="K422" s="6" t="str">
        <f>IF(northwind_order_details[[#This Row],[discount amount]]&gt;0,"Yes","No")</f>
        <v>No</v>
      </c>
      <c r="L422" s="1" t="str">
        <f>IF(northwind_order_details[[#This Row],[Revenue]]&gt;1000,"High",IF(northwind_order_details[[#This Row],[Revenue]]&gt;300,"Medium","Low"))</f>
        <v>Medium</v>
      </c>
      <c r="M4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3" spans="1:13" x14ac:dyDescent="0.25">
      <c r="A423">
        <v>10413</v>
      </c>
      <c r="B423">
        <v>62</v>
      </c>
      <c r="C423" s="6">
        <v>39.4</v>
      </c>
      <c r="D423">
        <v>40</v>
      </c>
      <c r="E423" s="6" t="s">
        <v>6</v>
      </c>
      <c r="F423" t="str">
        <f>_xlfn.XLOOKUP(northwind_order_details[[#This Row],[order_id]],northwind_orders[order_id],northwind_orders[ship_country])</f>
        <v>France</v>
      </c>
      <c r="G423">
        <f>INDEX(northwind_orders[],MATCH(northwind_order_details[[#This Row],[order_id]], northwind_orders[order_id], 0), MATCH("employee_id", northwind_orders[#Headers], 0))</f>
        <v>3</v>
      </c>
      <c r="H423">
        <f>northwind_order_details[[#This Row],[unit_price]]*northwind_order_details[[#This Row],[quantity]]</f>
        <v>1576</v>
      </c>
      <c r="I423" s="1">
        <f>northwind_order_details[[#This Row],[purchase amount]]*northwind_order_details[[#This Row],[discount]]</f>
        <v>0</v>
      </c>
      <c r="J423" s="1">
        <f>northwind_order_details[[#This Row],[purchase amount]]-northwind_order_details[[#This Row],[discount amount]]</f>
        <v>1576</v>
      </c>
      <c r="K423" s="6" t="str">
        <f>IF(northwind_order_details[[#This Row],[discount amount]]&gt;0,"Yes","No")</f>
        <v>No</v>
      </c>
      <c r="L423" s="1" t="str">
        <f>IF(northwind_order_details[[#This Row],[Revenue]]&gt;1000,"High",IF(northwind_order_details[[#This Row],[Revenue]]&gt;300,"Medium","Low"))</f>
        <v>High</v>
      </c>
      <c r="M4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4" spans="1:13" x14ac:dyDescent="0.25">
      <c r="A424">
        <v>10413</v>
      </c>
      <c r="B424">
        <v>76</v>
      </c>
      <c r="C424" s="6">
        <v>14.4</v>
      </c>
      <c r="D424">
        <v>14</v>
      </c>
      <c r="E424" s="6" t="s">
        <v>6</v>
      </c>
      <c r="F424" t="str">
        <f>_xlfn.XLOOKUP(northwind_order_details[[#This Row],[order_id]],northwind_orders[order_id],northwind_orders[ship_country])</f>
        <v>France</v>
      </c>
      <c r="G424">
        <f>INDEX(northwind_orders[],MATCH(northwind_order_details[[#This Row],[order_id]], northwind_orders[order_id], 0), MATCH("employee_id", northwind_orders[#Headers], 0))</f>
        <v>3</v>
      </c>
      <c r="H424">
        <f>northwind_order_details[[#This Row],[unit_price]]*northwind_order_details[[#This Row],[quantity]]</f>
        <v>201.6</v>
      </c>
      <c r="I424" s="1">
        <f>northwind_order_details[[#This Row],[purchase amount]]*northwind_order_details[[#This Row],[discount]]</f>
        <v>0</v>
      </c>
      <c r="J424" s="1">
        <f>northwind_order_details[[#This Row],[purchase amount]]-northwind_order_details[[#This Row],[discount amount]]</f>
        <v>201.6</v>
      </c>
      <c r="K424" s="6" t="str">
        <f>IF(northwind_order_details[[#This Row],[discount amount]]&gt;0,"Yes","No")</f>
        <v>No</v>
      </c>
      <c r="L424" s="1" t="str">
        <f>IF(northwind_order_details[[#This Row],[Revenue]]&gt;1000,"High",IF(northwind_order_details[[#This Row],[Revenue]]&gt;300,"Medium","Low"))</f>
        <v>Low</v>
      </c>
      <c r="M4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5" spans="1:13" x14ac:dyDescent="0.25">
      <c r="A425">
        <v>10414</v>
      </c>
      <c r="B425">
        <v>19</v>
      </c>
      <c r="C425" s="6">
        <v>7.3</v>
      </c>
      <c r="D425">
        <v>18</v>
      </c>
      <c r="E425" s="6">
        <v>0.05</v>
      </c>
      <c r="F425" t="str">
        <f>_xlfn.XLOOKUP(northwind_order_details[[#This Row],[order_id]],northwind_orders[order_id],northwind_orders[ship_country])</f>
        <v>Brazil</v>
      </c>
      <c r="G425">
        <f>INDEX(northwind_orders[],MATCH(northwind_order_details[[#This Row],[order_id]], northwind_orders[order_id], 0), MATCH("employee_id", northwind_orders[#Headers], 0))</f>
        <v>2</v>
      </c>
      <c r="H425">
        <f>northwind_order_details[[#This Row],[unit_price]]*northwind_order_details[[#This Row],[quantity]]</f>
        <v>131.4</v>
      </c>
      <c r="I425" s="1">
        <f>northwind_order_details[[#This Row],[purchase amount]]*northwind_order_details[[#This Row],[discount]]</f>
        <v>6.57</v>
      </c>
      <c r="J425" s="1">
        <f>northwind_order_details[[#This Row],[purchase amount]]-northwind_order_details[[#This Row],[discount amount]]</f>
        <v>124.83000000000001</v>
      </c>
      <c r="K425" s="6" t="str">
        <f>IF(northwind_order_details[[#This Row],[discount amount]]&gt;0,"Yes","No")</f>
        <v>Yes</v>
      </c>
      <c r="L425" s="1" t="str">
        <f>IF(northwind_order_details[[#This Row],[Revenue]]&gt;1000,"High",IF(northwind_order_details[[#This Row],[Revenue]]&gt;300,"Medium","Low"))</f>
        <v>Low</v>
      </c>
      <c r="M4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6" spans="1:13" x14ac:dyDescent="0.25">
      <c r="A426">
        <v>10414</v>
      </c>
      <c r="B426">
        <v>33</v>
      </c>
      <c r="C426" s="6" t="s">
        <v>7</v>
      </c>
      <c r="D426">
        <v>50</v>
      </c>
      <c r="E426" s="6" t="s">
        <v>6</v>
      </c>
      <c r="F426" t="str">
        <f>_xlfn.XLOOKUP(northwind_order_details[[#This Row],[order_id]],northwind_orders[order_id],northwind_orders[ship_country])</f>
        <v>Brazil</v>
      </c>
      <c r="G426">
        <f>INDEX(northwind_orders[],MATCH(northwind_order_details[[#This Row],[order_id]], northwind_orders[order_id], 0), MATCH("employee_id", northwind_orders[#Headers], 0))</f>
        <v>2</v>
      </c>
      <c r="H426">
        <f>northwind_order_details[[#This Row],[unit_price]]*northwind_order_details[[#This Row],[quantity]]</f>
        <v>100</v>
      </c>
      <c r="I426" s="1">
        <f>northwind_order_details[[#This Row],[purchase amount]]*northwind_order_details[[#This Row],[discount]]</f>
        <v>0</v>
      </c>
      <c r="J426" s="1">
        <f>northwind_order_details[[#This Row],[purchase amount]]-northwind_order_details[[#This Row],[discount amount]]</f>
        <v>100</v>
      </c>
      <c r="K426" s="6" t="str">
        <f>IF(northwind_order_details[[#This Row],[discount amount]]&gt;0,"Yes","No")</f>
        <v>No</v>
      </c>
      <c r="L426" s="1" t="str">
        <f>IF(northwind_order_details[[#This Row],[Revenue]]&gt;1000,"High",IF(northwind_order_details[[#This Row],[Revenue]]&gt;300,"Medium","Low"))</f>
        <v>Low</v>
      </c>
      <c r="M4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7" spans="1:13" x14ac:dyDescent="0.25">
      <c r="A427">
        <v>10415</v>
      </c>
      <c r="B427">
        <v>17</v>
      </c>
      <c r="C427" s="6">
        <v>31.2</v>
      </c>
      <c r="D427">
        <v>2</v>
      </c>
      <c r="E427" s="6" t="s">
        <v>6</v>
      </c>
      <c r="F427" t="str">
        <f>_xlfn.XLOOKUP(northwind_order_details[[#This Row],[order_id]],northwind_orders[order_id],northwind_orders[ship_country])</f>
        <v>USA</v>
      </c>
      <c r="G427">
        <f>INDEX(northwind_orders[],MATCH(northwind_order_details[[#This Row],[order_id]], northwind_orders[order_id], 0), MATCH("employee_id", northwind_orders[#Headers], 0))</f>
        <v>3</v>
      </c>
      <c r="H427">
        <f>northwind_order_details[[#This Row],[unit_price]]*northwind_order_details[[#This Row],[quantity]]</f>
        <v>62.4</v>
      </c>
      <c r="I427" s="1">
        <f>northwind_order_details[[#This Row],[purchase amount]]*northwind_order_details[[#This Row],[discount]]</f>
        <v>0</v>
      </c>
      <c r="J427" s="1">
        <f>northwind_order_details[[#This Row],[purchase amount]]-northwind_order_details[[#This Row],[discount amount]]</f>
        <v>62.4</v>
      </c>
      <c r="K427" s="6" t="str">
        <f>IF(northwind_order_details[[#This Row],[discount amount]]&gt;0,"Yes","No")</f>
        <v>No</v>
      </c>
      <c r="L427" s="1" t="str">
        <f>IF(northwind_order_details[[#This Row],[Revenue]]&gt;1000,"High",IF(northwind_order_details[[#This Row],[Revenue]]&gt;300,"Medium","Low"))</f>
        <v>Low</v>
      </c>
      <c r="M4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8" spans="1:13" x14ac:dyDescent="0.25">
      <c r="A428">
        <v>10415</v>
      </c>
      <c r="B428">
        <v>33</v>
      </c>
      <c r="C428" s="6" t="s">
        <v>7</v>
      </c>
      <c r="D428">
        <v>20</v>
      </c>
      <c r="E428" s="6" t="s">
        <v>6</v>
      </c>
      <c r="F428" t="str">
        <f>_xlfn.XLOOKUP(northwind_order_details[[#This Row],[order_id]],northwind_orders[order_id],northwind_orders[ship_country])</f>
        <v>USA</v>
      </c>
      <c r="G428">
        <f>INDEX(northwind_orders[],MATCH(northwind_order_details[[#This Row],[order_id]], northwind_orders[order_id], 0), MATCH("employee_id", northwind_orders[#Headers], 0))</f>
        <v>3</v>
      </c>
      <c r="H428">
        <f>northwind_order_details[[#This Row],[unit_price]]*northwind_order_details[[#This Row],[quantity]]</f>
        <v>40</v>
      </c>
      <c r="I428" s="1">
        <f>northwind_order_details[[#This Row],[purchase amount]]*northwind_order_details[[#This Row],[discount]]</f>
        <v>0</v>
      </c>
      <c r="J428" s="1">
        <f>northwind_order_details[[#This Row],[purchase amount]]-northwind_order_details[[#This Row],[discount amount]]</f>
        <v>40</v>
      </c>
      <c r="K428" s="6" t="str">
        <f>IF(northwind_order_details[[#This Row],[discount amount]]&gt;0,"Yes","No")</f>
        <v>No</v>
      </c>
      <c r="L428" s="1" t="str">
        <f>IF(northwind_order_details[[#This Row],[Revenue]]&gt;1000,"High",IF(northwind_order_details[[#This Row],[Revenue]]&gt;300,"Medium","Low"))</f>
        <v>Low</v>
      </c>
      <c r="M4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29" spans="1:13" x14ac:dyDescent="0.25">
      <c r="A429">
        <v>10416</v>
      </c>
      <c r="B429">
        <v>19</v>
      </c>
      <c r="C429" s="6">
        <v>7.3</v>
      </c>
      <c r="D429">
        <v>20</v>
      </c>
      <c r="E429" s="6" t="s">
        <v>6</v>
      </c>
      <c r="F429" t="str">
        <f>_xlfn.XLOOKUP(northwind_order_details[[#This Row],[order_id]],northwind_orders[order_id],northwind_orders[ship_country])</f>
        <v>Finland</v>
      </c>
      <c r="G429">
        <f>INDEX(northwind_orders[],MATCH(northwind_order_details[[#This Row],[order_id]], northwind_orders[order_id], 0), MATCH("employee_id", northwind_orders[#Headers], 0))</f>
        <v>8</v>
      </c>
      <c r="H429">
        <f>northwind_order_details[[#This Row],[unit_price]]*northwind_order_details[[#This Row],[quantity]]</f>
        <v>146</v>
      </c>
      <c r="I429" s="1">
        <f>northwind_order_details[[#This Row],[purchase amount]]*northwind_order_details[[#This Row],[discount]]</f>
        <v>0</v>
      </c>
      <c r="J429" s="1">
        <f>northwind_order_details[[#This Row],[purchase amount]]-northwind_order_details[[#This Row],[discount amount]]</f>
        <v>146</v>
      </c>
      <c r="K429" s="6" t="str">
        <f>IF(northwind_order_details[[#This Row],[discount amount]]&gt;0,"Yes","No")</f>
        <v>No</v>
      </c>
      <c r="L429" s="1" t="str">
        <f>IF(northwind_order_details[[#This Row],[Revenue]]&gt;1000,"High",IF(northwind_order_details[[#This Row],[Revenue]]&gt;300,"Medium","Low"))</f>
        <v>Low</v>
      </c>
      <c r="M4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0" spans="1:13" x14ac:dyDescent="0.25">
      <c r="A430">
        <v>10416</v>
      </c>
      <c r="B430">
        <v>53</v>
      </c>
      <c r="C430" s="6">
        <v>26.2</v>
      </c>
      <c r="D430">
        <v>10</v>
      </c>
      <c r="E430" s="6" t="s">
        <v>6</v>
      </c>
      <c r="F430" t="str">
        <f>_xlfn.XLOOKUP(northwind_order_details[[#This Row],[order_id]],northwind_orders[order_id],northwind_orders[ship_country])</f>
        <v>Finland</v>
      </c>
      <c r="G430">
        <f>INDEX(northwind_orders[],MATCH(northwind_order_details[[#This Row],[order_id]], northwind_orders[order_id], 0), MATCH("employee_id", northwind_orders[#Headers], 0))</f>
        <v>8</v>
      </c>
      <c r="H430">
        <f>northwind_order_details[[#This Row],[unit_price]]*northwind_order_details[[#This Row],[quantity]]</f>
        <v>262</v>
      </c>
      <c r="I430" s="1">
        <f>northwind_order_details[[#This Row],[purchase amount]]*northwind_order_details[[#This Row],[discount]]</f>
        <v>0</v>
      </c>
      <c r="J430" s="1">
        <f>northwind_order_details[[#This Row],[purchase amount]]-northwind_order_details[[#This Row],[discount amount]]</f>
        <v>262</v>
      </c>
      <c r="K430" s="6" t="str">
        <f>IF(northwind_order_details[[#This Row],[discount amount]]&gt;0,"Yes","No")</f>
        <v>No</v>
      </c>
      <c r="L430" s="1" t="str">
        <f>IF(northwind_order_details[[#This Row],[Revenue]]&gt;1000,"High",IF(northwind_order_details[[#This Row],[Revenue]]&gt;300,"Medium","Low"))</f>
        <v>Low</v>
      </c>
      <c r="M4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1" spans="1:13" x14ac:dyDescent="0.25">
      <c r="A431">
        <v>10416</v>
      </c>
      <c r="B431">
        <v>57</v>
      </c>
      <c r="C431" s="6">
        <v>15.6</v>
      </c>
      <c r="D431">
        <v>20</v>
      </c>
      <c r="E431" s="6" t="s">
        <v>6</v>
      </c>
      <c r="F431" t="str">
        <f>_xlfn.XLOOKUP(northwind_order_details[[#This Row],[order_id]],northwind_orders[order_id],northwind_orders[ship_country])</f>
        <v>Finland</v>
      </c>
      <c r="G431">
        <f>INDEX(northwind_orders[],MATCH(northwind_order_details[[#This Row],[order_id]], northwind_orders[order_id], 0), MATCH("employee_id", northwind_orders[#Headers], 0))</f>
        <v>8</v>
      </c>
      <c r="H431">
        <f>northwind_order_details[[#This Row],[unit_price]]*northwind_order_details[[#This Row],[quantity]]</f>
        <v>312</v>
      </c>
      <c r="I431" s="1">
        <f>northwind_order_details[[#This Row],[purchase amount]]*northwind_order_details[[#This Row],[discount]]</f>
        <v>0</v>
      </c>
      <c r="J431" s="1">
        <f>northwind_order_details[[#This Row],[purchase amount]]-northwind_order_details[[#This Row],[discount amount]]</f>
        <v>312</v>
      </c>
      <c r="K431" s="6" t="str">
        <f>IF(northwind_order_details[[#This Row],[discount amount]]&gt;0,"Yes","No")</f>
        <v>No</v>
      </c>
      <c r="L431" s="1" t="str">
        <f>IF(northwind_order_details[[#This Row],[Revenue]]&gt;1000,"High",IF(northwind_order_details[[#This Row],[Revenue]]&gt;300,"Medium","Low"))</f>
        <v>Medium</v>
      </c>
      <c r="M4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2" spans="1:13" x14ac:dyDescent="0.25">
      <c r="A432">
        <v>10417</v>
      </c>
      <c r="B432">
        <v>38</v>
      </c>
      <c r="C432" s="6">
        <v>210.8</v>
      </c>
      <c r="D432">
        <v>50</v>
      </c>
      <c r="E432" s="6" t="s">
        <v>6</v>
      </c>
      <c r="F432" t="str">
        <f>_xlfn.XLOOKUP(northwind_order_details[[#This Row],[order_id]],northwind_orders[order_id],northwind_orders[ship_country])</f>
        <v>Denmark</v>
      </c>
      <c r="G432">
        <f>INDEX(northwind_orders[],MATCH(northwind_order_details[[#This Row],[order_id]], northwind_orders[order_id], 0), MATCH("employee_id", northwind_orders[#Headers], 0))</f>
        <v>4</v>
      </c>
      <c r="H432">
        <f>northwind_order_details[[#This Row],[unit_price]]*northwind_order_details[[#This Row],[quantity]]</f>
        <v>10540</v>
      </c>
      <c r="I432" s="1">
        <f>northwind_order_details[[#This Row],[purchase amount]]*northwind_order_details[[#This Row],[discount]]</f>
        <v>0</v>
      </c>
      <c r="J432" s="1">
        <f>northwind_order_details[[#This Row],[purchase amount]]-northwind_order_details[[#This Row],[discount amount]]</f>
        <v>10540</v>
      </c>
      <c r="K432" s="6" t="str">
        <f>IF(northwind_order_details[[#This Row],[discount amount]]&gt;0,"Yes","No")</f>
        <v>No</v>
      </c>
      <c r="L432" s="1" t="str">
        <f>IF(northwind_order_details[[#This Row],[Revenue]]&gt;1000,"High",IF(northwind_order_details[[#This Row],[Revenue]]&gt;300,"Medium","Low"))</f>
        <v>High</v>
      </c>
      <c r="M4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3" spans="1:13" x14ac:dyDescent="0.25">
      <c r="A433">
        <v>10417</v>
      </c>
      <c r="B433">
        <v>46</v>
      </c>
      <c r="C433" s="6">
        <v>9.6</v>
      </c>
      <c r="D433">
        <v>2</v>
      </c>
      <c r="E433" s="6">
        <v>0.25</v>
      </c>
      <c r="F433" t="str">
        <f>_xlfn.XLOOKUP(northwind_order_details[[#This Row],[order_id]],northwind_orders[order_id],northwind_orders[ship_country])</f>
        <v>Denmark</v>
      </c>
      <c r="G433">
        <f>INDEX(northwind_orders[],MATCH(northwind_order_details[[#This Row],[order_id]], northwind_orders[order_id], 0), MATCH("employee_id", northwind_orders[#Headers], 0))</f>
        <v>4</v>
      </c>
      <c r="H433">
        <f>northwind_order_details[[#This Row],[unit_price]]*northwind_order_details[[#This Row],[quantity]]</f>
        <v>19.2</v>
      </c>
      <c r="I433" s="1">
        <f>northwind_order_details[[#This Row],[purchase amount]]*northwind_order_details[[#This Row],[discount]]</f>
        <v>4.8</v>
      </c>
      <c r="J433" s="1">
        <f>northwind_order_details[[#This Row],[purchase amount]]-northwind_order_details[[#This Row],[discount amount]]</f>
        <v>14.399999999999999</v>
      </c>
      <c r="K433" s="6" t="str">
        <f>IF(northwind_order_details[[#This Row],[discount amount]]&gt;0,"Yes","No")</f>
        <v>Yes</v>
      </c>
      <c r="L433" s="1" t="str">
        <f>IF(northwind_order_details[[#This Row],[Revenue]]&gt;1000,"High",IF(northwind_order_details[[#This Row],[Revenue]]&gt;300,"Medium","Low"))</f>
        <v>Low</v>
      </c>
      <c r="M4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4" spans="1:13" x14ac:dyDescent="0.25">
      <c r="A434">
        <v>10417</v>
      </c>
      <c r="B434">
        <v>68</v>
      </c>
      <c r="C434" s="6" t="s">
        <v>8</v>
      </c>
      <c r="D434">
        <v>36</v>
      </c>
      <c r="E434" s="6">
        <v>0.25</v>
      </c>
      <c r="F434" t="str">
        <f>_xlfn.XLOOKUP(northwind_order_details[[#This Row],[order_id]],northwind_orders[order_id],northwind_orders[ship_country])</f>
        <v>Denmark</v>
      </c>
      <c r="G434">
        <f>INDEX(northwind_orders[],MATCH(northwind_order_details[[#This Row],[order_id]], northwind_orders[order_id], 0), MATCH("employee_id", northwind_orders[#Headers], 0))</f>
        <v>4</v>
      </c>
      <c r="H434">
        <f>northwind_order_details[[#This Row],[unit_price]]*northwind_order_details[[#This Row],[quantity]]</f>
        <v>360</v>
      </c>
      <c r="I434" s="1">
        <f>northwind_order_details[[#This Row],[purchase amount]]*northwind_order_details[[#This Row],[discount]]</f>
        <v>90</v>
      </c>
      <c r="J434" s="1">
        <f>northwind_order_details[[#This Row],[purchase amount]]-northwind_order_details[[#This Row],[discount amount]]</f>
        <v>270</v>
      </c>
      <c r="K434" s="6" t="str">
        <f>IF(northwind_order_details[[#This Row],[discount amount]]&gt;0,"Yes","No")</f>
        <v>Yes</v>
      </c>
      <c r="L434" s="1" t="str">
        <f>IF(northwind_order_details[[#This Row],[Revenue]]&gt;1000,"High",IF(northwind_order_details[[#This Row],[Revenue]]&gt;300,"Medium","Low"))</f>
        <v>Low</v>
      </c>
      <c r="M4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5" spans="1:13" x14ac:dyDescent="0.25">
      <c r="A435">
        <v>10417</v>
      </c>
      <c r="B435">
        <v>77</v>
      </c>
      <c r="C435" s="6">
        <v>10.4</v>
      </c>
      <c r="D435">
        <v>35</v>
      </c>
      <c r="E435" s="6" t="s">
        <v>6</v>
      </c>
      <c r="F435" t="str">
        <f>_xlfn.XLOOKUP(northwind_order_details[[#This Row],[order_id]],northwind_orders[order_id],northwind_orders[ship_country])</f>
        <v>Denmark</v>
      </c>
      <c r="G435">
        <f>INDEX(northwind_orders[],MATCH(northwind_order_details[[#This Row],[order_id]], northwind_orders[order_id], 0), MATCH("employee_id", northwind_orders[#Headers], 0))</f>
        <v>4</v>
      </c>
      <c r="H435">
        <f>northwind_order_details[[#This Row],[unit_price]]*northwind_order_details[[#This Row],[quantity]]</f>
        <v>364</v>
      </c>
      <c r="I435" s="1">
        <f>northwind_order_details[[#This Row],[purchase amount]]*northwind_order_details[[#This Row],[discount]]</f>
        <v>0</v>
      </c>
      <c r="J435" s="1">
        <f>northwind_order_details[[#This Row],[purchase amount]]-northwind_order_details[[#This Row],[discount amount]]</f>
        <v>364</v>
      </c>
      <c r="K435" s="6" t="str">
        <f>IF(northwind_order_details[[#This Row],[discount amount]]&gt;0,"Yes","No")</f>
        <v>No</v>
      </c>
      <c r="L435" s="1" t="str">
        <f>IF(northwind_order_details[[#This Row],[Revenue]]&gt;1000,"High",IF(northwind_order_details[[#This Row],[Revenue]]&gt;300,"Medium","Low"))</f>
        <v>Medium</v>
      </c>
      <c r="M4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6" spans="1:13" x14ac:dyDescent="0.25">
      <c r="A436">
        <v>10418</v>
      </c>
      <c r="B436">
        <v>2</v>
      </c>
      <c r="C436" s="6">
        <v>15.2</v>
      </c>
      <c r="D436">
        <v>60</v>
      </c>
      <c r="E436" s="6" t="s">
        <v>6</v>
      </c>
      <c r="F436" t="str">
        <f>_xlfn.XLOOKUP(northwind_order_details[[#This Row],[order_id]],northwind_orders[order_id],northwind_orders[ship_country])</f>
        <v>Germany</v>
      </c>
      <c r="G436">
        <f>INDEX(northwind_orders[],MATCH(northwind_order_details[[#This Row],[order_id]], northwind_orders[order_id], 0), MATCH("employee_id", northwind_orders[#Headers], 0))</f>
        <v>4</v>
      </c>
      <c r="H436">
        <f>northwind_order_details[[#This Row],[unit_price]]*northwind_order_details[[#This Row],[quantity]]</f>
        <v>912</v>
      </c>
      <c r="I436" s="1">
        <f>northwind_order_details[[#This Row],[purchase amount]]*northwind_order_details[[#This Row],[discount]]</f>
        <v>0</v>
      </c>
      <c r="J436" s="1">
        <f>northwind_order_details[[#This Row],[purchase amount]]-northwind_order_details[[#This Row],[discount amount]]</f>
        <v>912</v>
      </c>
      <c r="K436" s="6" t="str">
        <f>IF(northwind_order_details[[#This Row],[discount amount]]&gt;0,"Yes","No")</f>
        <v>No</v>
      </c>
      <c r="L436" s="1" t="str">
        <f>IF(northwind_order_details[[#This Row],[Revenue]]&gt;1000,"High",IF(northwind_order_details[[#This Row],[Revenue]]&gt;300,"Medium","Low"))</f>
        <v>Medium</v>
      </c>
      <c r="M4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7" spans="1:13" x14ac:dyDescent="0.25">
      <c r="A437">
        <v>10418</v>
      </c>
      <c r="B437">
        <v>47</v>
      </c>
      <c r="C437" s="6">
        <v>7.6</v>
      </c>
      <c r="D437">
        <v>55</v>
      </c>
      <c r="E437" s="6" t="s">
        <v>6</v>
      </c>
      <c r="F437" t="str">
        <f>_xlfn.XLOOKUP(northwind_order_details[[#This Row],[order_id]],northwind_orders[order_id],northwind_orders[ship_country])</f>
        <v>Germany</v>
      </c>
      <c r="G437">
        <f>INDEX(northwind_orders[],MATCH(northwind_order_details[[#This Row],[order_id]], northwind_orders[order_id], 0), MATCH("employee_id", northwind_orders[#Headers], 0))</f>
        <v>4</v>
      </c>
      <c r="H437">
        <f>northwind_order_details[[#This Row],[unit_price]]*northwind_order_details[[#This Row],[quantity]]</f>
        <v>418</v>
      </c>
      <c r="I437" s="1">
        <f>northwind_order_details[[#This Row],[purchase amount]]*northwind_order_details[[#This Row],[discount]]</f>
        <v>0</v>
      </c>
      <c r="J437" s="1">
        <f>northwind_order_details[[#This Row],[purchase amount]]-northwind_order_details[[#This Row],[discount amount]]</f>
        <v>418</v>
      </c>
      <c r="K437" s="6" t="str">
        <f>IF(northwind_order_details[[#This Row],[discount amount]]&gt;0,"Yes","No")</f>
        <v>No</v>
      </c>
      <c r="L437" s="1" t="str">
        <f>IF(northwind_order_details[[#This Row],[Revenue]]&gt;1000,"High",IF(northwind_order_details[[#This Row],[Revenue]]&gt;300,"Medium","Low"))</f>
        <v>Medium</v>
      </c>
      <c r="M4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8" spans="1:13" x14ac:dyDescent="0.25">
      <c r="A438">
        <v>10418</v>
      </c>
      <c r="B438">
        <v>61</v>
      </c>
      <c r="C438" s="6">
        <v>22.8</v>
      </c>
      <c r="D438">
        <v>16</v>
      </c>
      <c r="E438" s="6" t="s">
        <v>6</v>
      </c>
      <c r="F438" t="str">
        <f>_xlfn.XLOOKUP(northwind_order_details[[#This Row],[order_id]],northwind_orders[order_id],northwind_orders[ship_country])</f>
        <v>Germany</v>
      </c>
      <c r="G438">
        <f>INDEX(northwind_orders[],MATCH(northwind_order_details[[#This Row],[order_id]], northwind_orders[order_id], 0), MATCH("employee_id", northwind_orders[#Headers], 0))</f>
        <v>4</v>
      </c>
      <c r="H438">
        <f>northwind_order_details[[#This Row],[unit_price]]*northwind_order_details[[#This Row],[quantity]]</f>
        <v>364.8</v>
      </c>
      <c r="I438" s="1">
        <f>northwind_order_details[[#This Row],[purchase amount]]*northwind_order_details[[#This Row],[discount]]</f>
        <v>0</v>
      </c>
      <c r="J438" s="1">
        <f>northwind_order_details[[#This Row],[purchase amount]]-northwind_order_details[[#This Row],[discount amount]]</f>
        <v>364.8</v>
      </c>
      <c r="K438" s="6" t="str">
        <f>IF(northwind_order_details[[#This Row],[discount amount]]&gt;0,"Yes","No")</f>
        <v>No</v>
      </c>
      <c r="L438" s="1" t="str">
        <f>IF(northwind_order_details[[#This Row],[Revenue]]&gt;1000,"High",IF(northwind_order_details[[#This Row],[Revenue]]&gt;300,"Medium","Low"))</f>
        <v>Medium</v>
      </c>
      <c r="M4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39" spans="1:13" x14ac:dyDescent="0.25">
      <c r="A439">
        <v>10418</v>
      </c>
      <c r="B439">
        <v>74</v>
      </c>
      <c r="C439" s="6" t="s">
        <v>10</v>
      </c>
      <c r="D439">
        <v>15</v>
      </c>
      <c r="E439" s="6" t="s">
        <v>6</v>
      </c>
      <c r="F439" t="str">
        <f>_xlfn.XLOOKUP(northwind_order_details[[#This Row],[order_id]],northwind_orders[order_id],northwind_orders[ship_country])</f>
        <v>Germany</v>
      </c>
      <c r="G439">
        <f>INDEX(northwind_orders[],MATCH(northwind_order_details[[#This Row],[order_id]], northwind_orders[order_id], 0), MATCH("employee_id", northwind_orders[#Headers], 0))</f>
        <v>4</v>
      </c>
      <c r="H439">
        <f>northwind_order_details[[#This Row],[unit_price]]*northwind_order_details[[#This Row],[quantity]]</f>
        <v>120</v>
      </c>
      <c r="I439" s="1">
        <f>northwind_order_details[[#This Row],[purchase amount]]*northwind_order_details[[#This Row],[discount]]</f>
        <v>0</v>
      </c>
      <c r="J439" s="1">
        <f>northwind_order_details[[#This Row],[purchase amount]]-northwind_order_details[[#This Row],[discount amount]]</f>
        <v>120</v>
      </c>
      <c r="K439" s="6" t="str">
        <f>IF(northwind_order_details[[#This Row],[discount amount]]&gt;0,"Yes","No")</f>
        <v>No</v>
      </c>
      <c r="L439" s="1" t="str">
        <f>IF(northwind_order_details[[#This Row],[Revenue]]&gt;1000,"High",IF(northwind_order_details[[#This Row],[Revenue]]&gt;300,"Medium","Low"))</f>
        <v>Low</v>
      </c>
      <c r="M4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0" spans="1:13" x14ac:dyDescent="0.25">
      <c r="A440">
        <v>10419</v>
      </c>
      <c r="B440">
        <v>60</v>
      </c>
      <c r="C440" s="6">
        <v>27.2</v>
      </c>
      <c r="D440">
        <v>60</v>
      </c>
      <c r="E440" s="6">
        <v>0.05</v>
      </c>
      <c r="F440" t="str">
        <f>_xlfn.XLOOKUP(northwind_order_details[[#This Row],[order_id]],northwind_orders[order_id],northwind_orders[ship_country])</f>
        <v>Switzerland</v>
      </c>
      <c r="G440">
        <f>INDEX(northwind_orders[],MATCH(northwind_order_details[[#This Row],[order_id]], northwind_orders[order_id], 0), MATCH("employee_id", northwind_orders[#Headers], 0))</f>
        <v>4</v>
      </c>
      <c r="H440">
        <f>northwind_order_details[[#This Row],[unit_price]]*northwind_order_details[[#This Row],[quantity]]</f>
        <v>1632</v>
      </c>
      <c r="I440" s="1">
        <f>northwind_order_details[[#This Row],[purchase amount]]*northwind_order_details[[#This Row],[discount]]</f>
        <v>81.600000000000009</v>
      </c>
      <c r="J440" s="1">
        <f>northwind_order_details[[#This Row],[purchase amount]]-northwind_order_details[[#This Row],[discount amount]]</f>
        <v>1550.4</v>
      </c>
      <c r="K440" s="6" t="str">
        <f>IF(northwind_order_details[[#This Row],[discount amount]]&gt;0,"Yes","No")</f>
        <v>Yes</v>
      </c>
      <c r="L440" s="1" t="str">
        <f>IF(northwind_order_details[[#This Row],[Revenue]]&gt;1000,"High",IF(northwind_order_details[[#This Row],[Revenue]]&gt;300,"Medium","Low"))</f>
        <v>High</v>
      </c>
      <c r="M4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1" spans="1:13" x14ac:dyDescent="0.25">
      <c r="A441">
        <v>10419</v>
      </c>
      <c r="B441">
        <v>69</v>
      </c>
      <c r="C441" s="6">
        <v>28.8</v>
      </c>
      <c r="D441">
        <v>20</v>
      </c>
      <c r="E441" s="6">
        <v>0.05</v>
      </c>
      <c r="F441" t="str">
        <f>_xlfn.XLOOKUP(northwind_order_details[[#This Row],[order_id]],northwind_orders[order_id],northwind_orders[ship_country])</f>
        <v>Switzerland</v>
      </c>
      <c r="G441">
        <f>INDEX(northwind_orders[],MATCH(northwind_order_details[[#This Row],[order_id]], northwind_orders[order_id], 0), MATCH("employee_id", northwind_orders[#Headers], 0))</f>
        <v>4</v>
      </c>
      <c r="H441">
        <f>northwind_order_details[[#This Row],[unit_price]]*northwind_order_details[[#This Row],[quantity]]</f>
        <v>576</v>
      </c>
      <c r="I441" s="1">
        <f>northwind_order_details[[#This Row],[purchase amount]]*northwind_order_details[[#This Row],[discount]]</f>
        <v>28.8</v>
      </c>
      <c r="J441" s="1">
        <f>northwind_order_details[[#This Row],[purchase amount]]-northwind_order_details[[#This Row],[discount amount]]</f>
        <v>547.20000000000005</v>
      </c>
      <c r="K441" s="6" t="str">
        <f>IF(northwind_order_details[[#This Row],[discount amount]]&gt;0,"Yes","No")</f>
        <v>Yes</v>
      </c>
      <c r="L441" s="1" t="str">
        <f>IF(northwind_order_details[[#This Row],[Revenue]]&gt;1000,"High",IF(northwind_order_details[[#This Row],[Revenue]]&gt;300,"Medium","Low"))</f>
        <v>Medium</v>
      </c>
      <c r="M4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2" spans="1:13" x14ac:dyDescent="0.25">
      <c r="A442">
        <v>10420</v>
      </c>
      <c r="B442">
        <v>9</v>
      </c>
      <c r="C442" s="6">
        <v>77.599999999999994</v>
      </c>
      <c r="D442">
        <v>20</v>
      </c>
      <c r="E442" s="6">
        <v>0.1</v>
      </c>
      <c r="F442" t="str">
        <f>_xlfn.XLOOKUP(northwind_order_details[[#This Row],[order_id]],northwind_orders[order_id],northwind_orders[ship_country])</f>
        <v>Brazil</v>
      </c>
      <c r="G442">
        <f>INDEX(northwind_orders[],MATCH(northwind_order_details[[#This Row],[order_id]], northwind_orders[order_id], 0), MATCH("employee_id", northwind_orders[#Headers], 0))</f>
        <v>3</v>
      </c>
      <c r="H442">
        <f>northwind_order_details[[#This Row],[unit_price]]*northwind_order_details[[#This Row],[quantity]]</f>
        <v>1552</v>
      </c>
      <c r="I442" s="1">
        <f>northwind_order_details[[#This Row],[purchase amount]]*northwind_order_details[[#This Row],[discount]]</f>
        <v>155.20000000000002</v>
      </c>
      <c r="J442" s="1">
        <f>northwind_order_details[[#This Row],[purchase amount]]-northwind_order_details[[#This Row],[discount amount]]</f>
        <v>1396.8</v>
      </c>
      <c r="K442" s="6" t="str">
        <f>IF(northwind_order_details[[#This Row],[discount amount]]&gt;0,"Yes","No")</f>
        <v>Yes</v>
      </c>
      <c r="L442" s="1" t="str">
        <f>IF(northwind_order_details[[#This Row],[Revenue]]&gt;1000,"High",IF(northwind_order_details[[#This Row],[Revenue]]&gt;300,"Medium","Low"))</f>
        <v>High</v>
      </c>
      <c r="M4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3" spans="1:13" x14ac:dyDescent="0.25">
      <c r="A443">
        <v>10420</v>
      </c>
      <c r="B443">
        <v>13</v>
      </c>
      <c r="C443" s="6">
        <v>4.8</v>
      </c>
      <c r="D443">
        <v>2</v>
      </c>
      <c r="E443" s="6">
        <v>0.1</v>
      </c>
      <c r="F443" t="str">
        <f>_xlfn.XLOOKUP(northwind_order_details[[#This Row],[order_id]],northwind_orders[order_id],northwind_orders[ship_country])</f>
        <v>Brazil</v>
      </c>
      <c r="G443">
        <f>INDEX(northwind_orders[],MATCH(northwind_order_details[[#This Row],[order_id]], northwind_orders[order_id], 0), MATCH("employee_id", northwind_orders[#Headers], 0))</f>
        <v>3</v>
      </c>
      <c r="H443">
        <f>northwind_order_details[[#This Row],[unit_price]]*northwind_order_details[[#This Row],[quantity]]</f>
        <v>9.6</v>
      </c>
      <c r="I443" s="1">
        <f>northwind_order_details[[#This Row],[purchase amount]]*northwind_order_details[[#This Row],[discount]]</f>
        <v>0.96</v>
      </c>
      <c r="J443" s="1">
        <f>northwind_order_details[[#This Row],[purchase amount]]-northwind_order_details[[#This Row],[discount amount]]</f>
        <v>8.64</v>
      </c>
      <c r="K443" s="6" t="str">
        <f>IF(northwind_order_details[[#This Row],[discount amount]]&gt;0,"Yes","No")</f>
        <v>Yes</v>
      </c>
      <c r="L443" s="1" t="str">
        <f>IF(northwind_order_details[[#This Row],[Revenue]]&gt;1000,"High",IF(northwind_order_details[[#This Row],[Revenue]]&gt;300,"Medium","Low"))</f>
        <v>Low</v>
      </c>
      <c r="M4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4" spans="1:13" x14ac:dyDescent="0.25">
      <c r="A444">
        <v>10420</v>
      </c>
      <c r="B444">
        <v>70</v>
      </c>
      <c r="C444" s="6" t="s">
        <v>13</v>
      </c>
      <c r="D444">
        <v>8</v>
      </c>
      <c r="E444" s="6">
        <v>0.1</v>
      </c>
      <c r="F444" t="str">
        <f>_xlfn.XLOOKUP(northwind_order_details[[#This Row],[order_id]],northwind_orders[order_id],northwind_orders[ship_country])</f>
        <v>Brazil</v>
      </c>
      <c r="G444">
        <f>INDEX(northwind_orders[],MATCH(northwind_order_details[[#This Row],[order_id]], northwind_orders[order_id], 0), MATCH("employee_id", northwind_orders[#Headers], 0))</f>
        <v>3</v>
      </c>
      <c r="H444">
        <f>northwind_order_details[[#This Row],[unit_price]]*northwind_order_details[[#This Row],[quantity]]</f>
        <v>96</v>
      </c>
      <c r="I444" s="1">
        <f>northwind_order_details[[#This Row],[purchase amount]]*northwind_order_details[[#This Row],[discount]]</f>
        <v>9.6000000000000014</v>
      </c>
      <c r="J444" s="1">
        <f>northwind_order_details[[#This Row],[purchase amount]]-northwind_order_details[[#This Row],[discount amount]]</f>
        <v>86.4</v>
      </c>
      <c r="K444" s="6" t="str">
        <f>IF(northwind_order_details[[#This Row],[discount amount]]&gt;0,"Yes","No")</f>
        <v>Yes</v>
      </c>
      <c r="L444" s="1" t="str">
        <f>IF(northwind_order_details[[#This Row],[Revenue]]&gt;1000,"High",IF(northwind_order_details[[#This Row],[Revenue]]&gt;300,"Medium","Low"))</f>
        <v>Low</v>
      </c>
      <c r="M4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5" spans="1:13" x14ac:dyDescent="0.25">
      <c r="A445">
        <v>10420</v>
      </c>
      <c r="B445">
        <v>73</v>
      </c>
      <c r="C445" s="6" t="s">
        <v>13</v>
      </c>
      <c r="D445">
        <v>20</v>
      </c>
      <c r="E445" s="6">
        <v>0.1</v>
      </c>
      <c r="F445" t="str">
        <f>_xlfn.XLOOKUP(northwind_order_details[[#This Row],[order_id]],northwind_orders[order_id],northwind_orders[ship_country])</f>
        <v>Brazil</v>
      </c>
      <c r="G445">
        <f>INDEX(northwind_orders[],MATCH(northwind_order_details[[#This Row],[order_id]], northwind_orders[order_id], 0), MATCH("employee_id", northwind_orders[#Headers], 0))</f>
        <v>3</v>
      </c>
      <c r="H445">
        <f>northwind_order_details[[#This Row],[unit_price]]*northwind_order_details[[#This Row],[quantity]]</f>
        <v>240</v>
      </c>
      <c r="I445" s="1">
        <f>northwind_order_details[[#This Row],[purchase amount]]*northwind_order_details[[#This Row],[discount]]</f>
        <v>24</v>
      </c>
      <c r="J445" s="1">
        <f>northwind_order_details[[#This Row],[purchase amount]]-northwind_order_details[[#This Row],[discount amount]]</f>
        <v>216</v>
      </c>
      <c r="K445" s="6" t="str">
        <f>IF(northwind_order_details[[#This Row],[discount amount]]&gt;0,"Yes","No")</f>
        <v>Yes</v>
      </c>
      <c r="L445" s="1" t="str">
        <f>IF(northwind_order_details[[#This Row],[Revenue]]&gt;1000,"High",IF(northwind_order_details[[#This Row],[Revenue]]&gt;300,"Medium","Low"))</f>
        <v>Low</v>
      </c>
      <c r="M4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6" spans="1:13" x14ac:dyDescent="0.25">
      <c r="A446">
        <v>10421</v>
      </c>
      <c r="B446">
        <v>19</v>
      </c>
      <c r="C446" s="6">
        <v>7.3</v>
      </c>
      <c r="D446">
        <v>4</v>
      </c>
      <c r="E446" s="6">
        <v>0.15</v>
      </c>
      <c r="F446" t="str">
        <f>_xlfn.XLOOKUP(northwind_order_details[[#This Row],[order_id]],northwind_orders[order_id],northwind_orders[ship_country])</f>
        <v>Brazil</v>
      </c>
      <c r="G446">
        <f>INDEX(northwind_orders[],MATCH(northwind_order_details[[#This Row],[order_id]], northwind_orders[order_id], 0), MATCH("employee_id", northwind_orders[#Headers], 0))</f>
        <v>8</v>
      </c>
      <c r="H446">
        <f>northwind_order_details[[#This Row],[unit_price]]*northwind_order_details[[#This Row],[quantity]]</f>
        <v>29.2</v>
      </c>
      <c r="I446" s="1">
        <f>northwind_order_details[[#This Row],[purchase amount]]*northwind_order_details[[#This Row],[discount]]</f>
        <v>4.38</v>
      </c>
      <c r="J446" s="1">
        <f>northwind_order_details[[#This Row],[purchase amount]]-northwind_order_details[[#This Row],[discount amount]]</f>
        <v>24.82</v>
      </c>
      <c r="K446" s="6" t="str">
        <f>IF(northwind_order_details[[#This Row],[discount amount]]&gt;0,"Yes","No")</f>
        <v>Yes</v>
      </c>
      <c r="L446" s="1" t="str">
        <f>IF(northwind_order_details[[#This Row],[Revenue]]&gt;1000,"High",IF(northwind_order_details[[#This Row],[Revenue]]&gt;300,"Medium","Low"))</f>
        <v>Low</v>
      </c>
      <c r="M4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7" spans="1:13" x14ac:dyDescent="0.25">
      <c r="A447">
        <v>10421</v>
      </c>
      <c r="B447">
        <v>26</v>
      </c>
      <c r="C447" s="6">
        <v>24.9</v>
      </c>
      <c r="D447">
        <v>30</v>
      </c>
      <c r="E447" s="6" t="s">
        <v>6</v>
      </c>
      <c r="F447" t="str">
        <f>_xlfn.XLOOKUP(northwind_order_details[[#This Row],[order_id]],northwind_orders[order_id],northwind_orders[ship_country])</f>
        <v>Brazil</v>
      </c>
      <c r="G447">
        <f>INDEX(northwind_orders[],MATCH(northwind_order_details[[#This Row],[order_id]], northwind_orders[order_id], 0), MATCH("employee_id", northwind_orders[#Headers], 0))</f>
        <v>8</v>
      </c>
      <c r="H447">
        <f>northwind_order_details[[#This Row],[unit_price]]*northwind_order_details[[#This Row],[quantity]]</f>
        <v>747</v>
      </c>
      <c r="I447" s="1">
        <f>northwind_order_details[[#This Row],[purchase amount]]*northwind_order_details[[#This Row],[discount]]</f>
        <v>0</v>
      </c>
      <c r="J447" s="1">
        <f>northwind_order_details[[#This Row],[purchase amount]]-northwind_order_details[[#This Row],[discount amount]]</f>
        <v>747</v>
      </c>
      <c r="K447" s="6" t="str">
        <f>IF(northwind_order_details[[#This Row],[discount amount]]&gt;0,"Yes","No")</f>
        <v>No</v>
      </c>
      <c r="L447" s="1" t="str">
        <f>IF(northwind_order_details[[#This Row],[Revenue]]&gt;1000,"High",IF(northwind_order_details[[#This Row],[Revenue]]&gt;300,"Medium","Low"))</f>
        <v>Medium</v>
      </c>
      <c r="M4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8" spans="1:13" x14ac:dyDescent="0.25">
      <c r="A448">
        <v>10421</v>
      </c>
      <c r="B448">
        <v>53</v>
      </c>
      <c r="C448" s="6">
        <v>26.2</v>
      </c>
      <c r="D448">
        <v>15</v>
      </c>
      <c r="E448" s="6">
        <v>0.15</v>
      </c>
      <c r="F448" t="str">
        <f>_xlfn.XLOOKUP(northwind_order_details[[#This Row],[order_id]],northwind_orders[order_id],northwind_orders[ship_country])</f>
        <v>Brazil</v>
      </c>
      <c r="G448">
        <f>INDEX(northwind_orders[],MATCH(northwind_order_details[[#This Row],[order_id]], northwind_orders[order_id], 0), MATCH("employee_id", northwind_orders[#Headers], 0))</f>
        <v>8</v>
      </c>
      <c r="H448">
        <f>northwind_order_details[[#This Row],[unit_price]]*northwind_order_details[[#This Row],[quantity]]</f>
        <v>393</v>
      </c>
      <c r="I448" s="1">
        <f>northwind_order_details[[#This Row],[purchase amount]]*northwind_order_details[[#This Row],[discount]]</f>
        <v>58.949999999999996</v>
      </c>
      <c r="J448" s="1">
        <f>northwind_order_details[[#This Row],[purchase amount]]-northwind_order_details[[#This Row],[discount amount]]</f>
        <v>334.05</v>
      </c>
      <c r="K448" s="6" t="str">
        <f>IF(northwind_order_details[[#This Row],[discount amount]]&gt;0,"Yes","No")</f>
        <v>Yes</v>
      </c>
      <c r="L448" s="1" t="str">
        <f>IF(northwind_order_details[[#This Row],[Revenue]]&gt;1000,"High",IF(northwind_order_details[[#This Row],[Revenue]]&gt;300,"Medium","Low"))</f>
        <v>Medium</v>
      </c>
      <c r="M4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49" spans="1:13" x14ac:dyDescent="0.25">
      <c r="A449">
        <v>10421</v>
      </c>
      <c r="B449">
        <v>77</v>
      </c>
      <c r="C449" s="6">
        <v>10.4</v>
      </c>
      <c r="D449">
        <v>10</v>
      </c>
      <c r="E449" s="6">
        <v>0.15</v>
      </c>
      <c r="F449" t="str">
        <f>_xlfn.XLOOKUP(northwind_order_details[[#This Row],[order_id]],northwind_orders[order_id],northwind_orders[ship_country])</f>
        <v>Brazil</v>
      </c>
      <c r="G449">
        <f>INDEX(northwind_orders[],MATCH(northwind_order_details[[#This Row],[order_id]], northwind_orders[order_id], 0), MATCH("employee_id", northwind_orders[#Headers], 0))</f>
        <v>8</v>
      </c>
      <c r="H449">
        <f>northwind_order_details[[#This Row],[unit_price]]*northwind_order_details[[#This Row],[quantity]]</f>
        <v>104</v>
      </c>
      <c r="I449" s="1">
        <f>northwind_order_details[[#This Row],[purchase amount]]*northwind_order_details[[#This Row],[discount]]</f>
        <v>15.6</v>
      </c>
      <c r="J449" s="1">
        <f>northwind_order_details[[#This Row],[purchase amount]]-northwind_order_details[[#This Row],[discount amount]]</f>
        <v>88.4</v>
      </c>
      <c r="K449" s="6" t="str">
        <f>IF(northwind_order_details[[#This Row],[discount amount]]&gt;0,"Yes","No")</f>
        <v>Yes</v>
      </c>
      <c r="L449" s="1" t="str">
        <f>IF(northwind_order_details[[#This Row],[Revenue]]&gt;1000,"High",IF(northwind_order_details[[#This Row],[Revenue]]&gt;300,"Medium","Low"))</f>
        <v>Low</v>
      </c>
      <c r="M4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0" spans="1:13" x14ac:dyDescent="0.25">
      <c r="A450">
        <v>10422</v>
      </c>
      <c r="B450">
        <v>26</v>
      </c>
      <c r="C450" s="6">
        <v>24.9</v>
      </c>
      <c r="D450">
        <v>2</v>
      </c>
      <c r="E450" s="6" t="s">
        <v>6</v>
      </c>
      <c r="F450" t="str">
        <f>_xlfn.XLOOKUP(northwind_order_details[[#This Row],[order_id]],northwind_orders[order_id],northwind_orders[ship_country])</f>
        <v>Italy</v>
      </c>
      <c r="G450">
        <f>INDEX(northwind_orders[],MATCH(northwind_order_details[[#This Row],[order_id]], northwind_orders[order_id], 0), MATCH("employee_id", northwind_orders[#Headers], 0))</f>
        <v>2</v>
      </c>
      <c r="H450">
        <f>northwind_order_details[[#This Row],[unit_price]]*northwind_order_details[[#This Row],[quantity]]</f>
        <v>49.8</v>
      </c>
      <c r="I450" s="1">
        <f>northwind_order_details[[#This Row],[purchase amount]]*northwind_order_details[[#This Row],[discount]]</f>
        <v>0</v>
      </c>
      <c r="J450" s="1">
        <f>northwind_order_details[[#This Row],[purchase amount]]-northwind_order_details[[#This Row],[discount amount]]</f>
        <v>49.8</v>
      </c>
      <c r="K450" s="6" t="str">
        <f>IF(northwind_order_details[[#This Row],[discount amount]]&gt;0,"Yes","No")</f>
        <v>No</v>
      </c>
      <c r="L450" s="1" t="str">
        <f>IF(northwind_order_details[[#This Row],[Revenue]]&gt;1000,"High",IF(northwind_order_details[[#This Row],[Revenue]]&gt;300,"Medium","Low"))</f>
        <v>Low</v>
      </c>
      <c r="M4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1" spans="1:13" x14ac:dyDescent="0.25">
      <c r="A451">
        <v>10423</v>
      </c>
      <c r="B451">
        <v>31</v>
      </c>
      <c r="C451" s="6" t="s">
        <v>8</v>
      </c>
      <c r="D451">
        <v>14</v>
      </c>
      <c r="E451" s="6" t="s">
        <v>6</v>
      </c>
      <c r="F451" t="str">
        <f>_xlfn.XLOOKUP(northwind_order_details[[#This Row],[order_id]],northwind_orders[order_id],northwind_orders[ship_country])</f>
        <v>Brazil</v>
      </c>
      <c r="G451">
        <f>INDEX(northwind_orders[],MATCH(northwind_order_details[[#This Row],[order_id]], northwind_orders[order_id], 0), MATCH("employee_id", northwind_orders[#Headers], 0))</f>
        <v>6</v>
      </c>
      <c r="H451">
        <f>northwind_order_details[[#This Row],[unit_price]]*northwind_order_details[[#This Row],[quantity]]</f>
        <v>140</v>
      </c>
      <c r="I451" s="1">
        <f>northwind_order_details[[#This Row],[purchase amount]]*northwind_order_details[[#This Row],[discount]]</f>
        <v>0</v>
      </c>
      <c r="J451" s="1">
        <f>northwind_order_details[[#This Row],[purchase amount]]-northwind_order_details[[#This Row],[discount amount]]</f>
        <v>140</v>
      </c>
      <c r="K451" s="6" t="str">
        <f>IF(northwind_order_details[[#This Row],[discount amount]]&gt;0,"Yes","No")</f>
        <v>No</v>
      </c>
      <c r="L451" s="1" t="str">
        <f>IF(northwind_order_details[[#This Row],[Revenue]]&gt;1000,"High",IF(northwind_order_details[[#This Row],[Revenue]]&gt;300,"Medium","Low"))</f>
        <v>Low</v>
      </c>
      <c r="M4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2" spans="1:13" x14ac:dyDescent="0.25">
      <c r="A452">
        <v>10423</v>
      </c>
      <c r="B452">
        <v>59</v>
      </c>
      <c r="C452" s="6" t="s">
        <v>11</v>
      </c>
      <c r="D452">
        <v>20</v>
      </c>
      <c r="E452" s="6" t="s">
        <v>6</v>
      </c>
      <c r="F452" t="str">
        <f>_xlfn.XLOOKUP(northwind_order_details[[#This Row],[order_id]],northwind_orders[order_id],northwind_orders[ship_country])</f>
        <v>Brazil</v>
      </c>
      <c r="G452">
        <f>INDEX(northwind_orders[],MATCH(northwind_order_details[[#This Row],[order_id]], northwind_orders[order_id], 0), MATCH("employee_id", northwind_orders[#Headers], 0))</f>
        <v>6</v>
      </c>
      <c r="H452">
        <f>northwind_order_details[[#This Row],[unit_price]]*northwind_order_details[[#This Row],[quantity]]</f>
        <v>880</v>
      </c>
      <c r="I452" s="1">
        <f>northwind_order_details[[#This Row],[purchase amount]]*northwind_order_details[[#This Row],[discount]]</f>
        <v>0</v>
      </c>
      <c r="J452" s="1">
        <f>northwind_order_details[[#This Row],[purchase amount]]-northwind_order_details[[#This Row],[discount amount]]</f>
        <v>880</v>
      </c>
      <c r="K452" s="6" t="str">
        <f>IF(northwind_order_details[[#This Row],[discount amount]]&gt;0,"Yes","No")</f>
        <v>No</v>
      </c>
      <c r="L452" s="1" t="str">
        <f>IF(northwind_order_details[[#This Row],[Revenue]]&gt;1000,"High",IF(northwind_order_details[[#This Row],[Revenue]]&gt;300,"Medium","Low"))</f>
        <v>Medium</v>
      </c>
      <c r="M4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3" spans="1:13" x14ac:dyDescent="0.25">
      <c r="A453">
        <v>10424</v>
      </c>
      <c r="B453">
        <v>35</v>
      </c>
      <c r="C453" s="6">
        <v>14.4</v>
      </c>
      <c r="D453">
        <v>60</v>
      </c>
      <c r="E453" s="6">
        <v>0.2</v>
      </c>
      <c r="F453" t="str">
        <f>_xlfn.XLOOKUP(northwind_order_details[[#This Row],[order_id]],northwind_orders[order_id],northwind_orders[ship_country])</f>
        <v>Canada</v>
      </c>
      <c r="G453">
        <f>INDEX(northwind_orders[],MATCH(northwind_order_details[[#This Row],[order_id]], northwind_orders[order_id], 0), MATCH("employee_id", northwind_orders[#Headers], 0))</f>
        <v>7</v>
      </c>
      <c r="H453">
        <f>northwind_order_details[[#This Row],[unit_price]]*northwind_order_details[[#This Row],[quantity]]</f>
        <v>864</v>
      </c>
      <c r="I453" s="1">
        <f>northwind_order_details[[#This Row],[purchase amount]]*northwind_order_details[[#This Row],[discount]]</f>
        <v>172.8</v>
      </c>
      <c r="J453" s="1">
        <f>northwind_order_details[[#This Row],[purchase amount]]-northwind_order_details[[#This Row],[discount amount]]</f>
        <v>691.2</v>
      </c>
      <c r="K453" s="6" t="str">
        <f>IF(northwind_order_details[[#This Row],[discount amount]]&gt;0,"Yes","No")</f>
        <v>Yes</v>
      </c>
      <c r="L453" s="1" t="str">
        <f>IF(northwind_order_details[[#This Row],[Revenue]]&gt;1000,"High",IF(northwind_order_details[[#This Row],[Revenue]]&gt;300,"Medium","Low"))</f>
        <v>Medium</v>
      </c>
      <c r="M4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4" spans="1:13" x14ac:dyDescent="0.25">
      <c r="A454">
        <v>10424</v>
      </c>
      <c r="B454">
        <v>38</v>
      </c>
      <c r="C454" s="6">
        <v>210.8</v>
      </c>
      <c r="D454">
        <v>49</v>
      </c>
      <c r="E454" s="6">
        <v>0.2</v>
      </c>
      <c r="F454" t="str">
        <f>_xlfn.XLOOKUP(northwind_order_details[[#This Row],[order_id]],northwind_orders[order_id],northwind_orders[ship_country])</f>
        <v>Canada</v>
      </c>
      <c r="G454">
        <f>INDEX(northwind_orders[],MATCH(northwind_order_details[[#This Row],[order_id]], northwind_orders[order_id], 0), MATCH("employee_id", northwind_orders[#Headers], 0))</f>
        <v>7</v>
      </c>
      <c r="H454">
        <f>northwind_order_details[[#This Row],[unit_price]]*northwind_order_details[[#This Row],[quantity]]</f>
        <v>10329.200000000001</v>
      </c>
      <c r="I454" s="1">
        <f>northwind_order_details[[#This Row],[purchase amount]]*northwind_order_details[[#This Row],[discount]]</f>
        <v>2065.84</v>
      </c>
      <c r="J454" s="1">
        <f>northwind_order_details[[#This Row],[purchase amount]]-northwind_order_details[[#This Row],[discount amount]]</f>
        <v>8263.36</v>
      </c>
      <c r="K454" s="6" t="str">
        <f>IF(northwind_order_details[[#This Row],[discount amount]]&gt;0,"Yes","No")</f>
        <v>Yes</v>
      </c>
      <c r="L454" s="1" t="str">
        <f>IF(northwind_order_details[[#This Row],[Revenue]]&gt;1000,"High",IF(northwind_order_details[[#This Row],[Revenue]]&gt;300,"Medium","Low"))</f>
        <v>High</v>
      </c>
      <c r="M4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5" spans="1:13" x14ac:dyDescent="0.25">
      <c r="A455">
        <v>10424</v>
      </c>
      <c r="B455">
        <v>68</v>
      </c>
      <c r="C455" s="6" t="s">
        <v>8</v>
      </c>
      <c r="D455">
        <v>30</v>
      </c>
      <c r="E455" s="6">
        <v>0.2</v>
      </c>
      <c r="F455" t="str">
        <f>_xlfn.XLOOKUP(northwind_order_details[[#This Row],[order_id]],northwind_orders[order_id],northwind_orders[ship_country])</f>
        <v>Canada</v>
      </c>
      <c r="G455">
        <f>INDEX(northwind_orders[],MATCH(northwind_order_details[[#This Row],[order_id]], northwind_orders[order_id], 0), MATCH("employee_id", northwind_orders[#Headers], 0))</f>
        <v>7</v>
      </c>
      <c r="H455">
        <f>northwind_order_details[[#This Row],[unit_price]]*northwind_order_details[[#This Row],[quantity]]</f>
        <v>300</v>
      </c>
      <c r="I455" s="1">
        <f>northwind_order_details[[#This Row],[purchase amount]]*northwind_order_details[[#This Row],[discount]]</f>
        <v>60</v>
      </c>
      <c r="J455" s="1">
        <f>northwind_order_details[[#This Row],[purchase amount]]-northwind_order_details[[#This Row],[discount amount]]</f>
        <v>240</v>
      </c>
      <c r="K455" s="6" t="str">
        <f>IF(northwind_order_details[[#This Row],[discount amount]]&gt;0,"Yes","No")</f>
        <v>Yes</v>
      </c>
      <c r="L455" s="1" t="str">
        <f>IF(northwind_order_details[[#This Row],[Revenue]]&gt;1000,"High",IF(northwind_order_details[[#This Row],[Revenue]]&gt;300,"Medium","Low"))</f>
        <v>Low</v>
      </c>
      <c r="M4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6" spans="1:13" x14ac:dyDescent="0.25">
      <c r="A456">
        <v>10425</v>
      </c>
      <c r="B456">
        <v>55</v>
      </c>
      <c r="C456" s="6">
        <v>19.2</v>
      </c>
      <c r="D456">
        <v>10</v>
      </c>
      <c r="E456" s="6">
        <v>0.25</v>
      </c>
      <c r="F456" t="str">
        <f>_xlfn.XLOOKUP(northwind_order_details[[#This Row],[order_id]],northwind_orders[order_id],northwind_orders[ship_country])</f>
        <v>France</v>
      </c>
      <c r="G456">
        <f>INDEX(northwind_orders[],MATCH(northwind_order_details[[#This Row],[order_id]], northwind_orders[order_id], 0), MATCH("employee_id", northwind_orders[#Headers], 0))</f>
        <v>6</v>
      </c>
      <c r="H456">
        <f>northwind_order_details[[#This Row],[unit_price]]*northwind_order_details[[#This Row],[quantity]]</f>
        <v>192</v>
      </c>
      <c r="I456" s="1">
        <f>northwind_order_details[[#This Row],[purchase amount]]*northwind_order_details[[#This Row],[discount]]</f>
        <v>48</v>
      </c>
      <c r="J456" s="1">
        <f>northwind_order_details[[#This Row],[purchase amount]]-northwind_order_details[[#This Row],[discount amount]]</f>
        <v>144</v>
      </c>
      <c r="K456" s="6" t="str">
        <f>IF(northwind_order_details[[#This Row],[discount amount]]&gt;0,"Yes","No")</f>
        <v>Yes</v>
      </c>
      <c r="L456" s="1" t="str">
        <f>IF(northwind_order_details[[#This Row],[Revenue]]&gt;1000,"High",IF(northwind_order_details[[#This Row],[Revenue]]&gt;300,"Medium","Low"))</f>
        <v>Low</v>
      </c>
      <c r="M4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7" spans="1:13" x14ac:dyDescent="0.25">
      <c r="A457">
        <v>10425</v>
      </c>
      <c r="B457">
        <v>76</v>
      </c>
      <c r="C457" s="6">
        <v>14.4</v>
      </c>
      <c r="D457">
        <v>20</v>
      </c>
      <c r="E457" s="6">
        <v>0.25</v>
      </c>
      <c r="F457" t="str">
        <f>_xlfn.XLOOKUP(northwind_order_details[[#This Row],[order_id]],northwind_orders[order_id],northwind_orders[ship_country])</f>
        <v>France</v>
      </c>
      <c r="G457">
        <f>INDEX(northwind_orders[],MATCH(northwind_order_details[[#This Row],[order_id]], northwind_orders[order_id], 0), MATCH("employee_id", northwind_orders[#Headers], 0))</f>
        <v>6</v>
      </c>
      <c r="H457">
        <f>northwind_order_details[[#This Row],[unit_price]]*northwind_order_details[[#This Row],[quantity]]</f>
        <v>288</v>
      </c>
      <c r="I457" s="1">
        <f>northwind_order_details[[#This Row],[purchase amount]]*northwind_order_details[[#This Row],[discount]]</f>
        <v>72</v>
      </c>
      <c r="J457" s="1">
        <f>northwind_order_details[[#This Row],[purchase amount]]-northwind_order_details[[#This Row],[discount amount]]</f>
        <v>216</v>
      </c>
      <c r="K457" s="6" t="str">
        <f>IF(northwind_order_details[[#This Row],[discount amount]]&gt;0,"Yes","No")</f>
        <v>Yes</v>
      </c>
      <c r="L457" s="1" t="str">
        <f>IF(northwind_order_details[[#This Row],[Revenue]]&gt;1000,"High",IF(northwind_order_details[[#This Row],[Revenue]]&gt;300,"Medium","Low"))</f>
        <v>Low</v>
      </c>
      <c r="M4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8" spans="1:13" x14ac:dyDescent="0.25">
      <c r="A458">
        <v>10426</v>
      </c>
      <c r="B458">
        <v>56</v>
      </c>
      <c r="C458" s="6">
        <v>30.4</v>
      </c>
      <c r="D458">
        <v>5</v>
      </c>
      <c r="E458" s="6" t="s">
        <v>6</v>
      </c>
      <c r="F458" t="str">
        <f>_xlfn.XLOOKUP(northwind_order_details[[#This Row],[order_id]],northwind_orders[order_id],northwind_orders[ship_country])</f>
        <v>Spain</v>
      </c>
      <c r="G458">
        <f>INDEX(northwind_orders[],MATCH(northwind_order_details[[#This Row],[order_id]], northwind_orders[order_id], 0), MATCH("employee_id", northwind_orders[#Headers], 0))</f>
        <v>4</v>
      </c>
      <c r="H458">
        <f>northwind_order_details[[#This Row],[unit_price]]*northwind_order_details[[#This Row],[quantity]]</f>
        <v>152</v>
      </c>
      <c r="I458" s="1">
        <f>northwind_order_details[[#This Row],[purchase amount]]*northwind_order_details[[#This Row],[discount]]</f>
        <v>0</v>
      </c>
      <c r="J458" s="1">
        <f>northwind_order_details[[#This Row],[purchase amount]]-northwind_order_details[[#This Row],[discount amount]]</f>
        <v>152</v>
      </c>
      <c r="K458" s="6" t="str">
        <f>IF(northwind_order_details[[#This Row],[discount amount]]&gt;0,"Yes","No")</f>
        <v>No</v>
      </c>
      <c r="L458" s="1" t="str">
        <f>IF(northwind_order_details[[#This Row],[Revenue]]&gt;1000,"High",IF(northwind_order_details[[#This Row],[Revenue]]&gt;300,"Medium","Low"))</f>
        <v>Low</v>
      </c>
      <c r="M4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59" spans="1:13" x14ac:dyDescent="0.25">
      <c r="A459">
        <v>10426</v>
      </c>
      <c r="B459">
        <v>64</v>
      </c>
      <c r="C459" s="6">
        <v>26.6</v>
      </c>
      <c r="D459">
        <v>7</v>
      </c>
      <c r="E459" s="6" t="s">
        <v>6</v>
      </c>
      <c r="F459" t="str">
        <f>_xlfn.XLOOKUP(northwind_order_details[[#This Row],[order_id]],northwind_orders[order_id],northwind_orders[ship_country])</f>
        <v>Spain</v>
      </c>
      <c r="G459">
        <f>INDEX(northwind_orders[],MATCH(northwind_order_details[[#This Row],[order_id]], northwind_orders[order_id], 0), MATCH("employee_id", northwind_orders[#Headers], 0))</f>
        <v>4</v>
      </c>
      <c r="H459">
        <f>northwind_order_details[[#This Row],[unit_price]]*northwind_order_details[[#This Row],[quantity]]</f>
        <v>186.20000000000002</v>
      </c>
      <c r="I459" s="1">
        <f>northwind_order_details[[#This Row],[purchase amount]]*northwind_order_details[[#This Row],[discount]]</f>
        <v>0</v>
      </c>
      <c r="J459" s="1">
        <f>northwind_order_details[[#This Row],[purchase amount]]-northwind_order_details[[#This Row],[discount amount]]</f>
        <v>186.20000000000002</v>
      </c>
      <c r="K459" s="6" t="str">
        <f>IF(northwind_order_details[[#This Row],[discount amount]]&gt;0,"Yes","No")</f>
        <v>No</v>
      </c>
      <c r="L459" s="1" t="str">
        <f>IF(northwind_order_details[[#This Row],[Revenue]]&gt;1000,"High",IF(northwind_order_details[[#This Row],[Revenue]]&gt;300,"Medium","Low"))</f>
        <v>Low</v>
      </c>
      <c r="M4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0" spans="1:13" x14ac:dyDescent="0.25">
      <c r="A460">
        <v>10427</v>
      </c>
      <c r="B460">
        <v>14</v>
      </c>
      <c r="C460" s="6">
        <v>18.600000000000001</v>
      </c>
      <c r="D460">
        <v>35</v>
      </c>
      <c r="E460" s="6" t="s">
        <v>6</v>
      </c>
      <c r="F460" t="str">
        <f>_xlfn.XLOOKUP(northwind_order_details[[#This Row],[order_id]],northwind_orders[order_id],northwind_orders[ship_country])</f>
        <v>Austria</v>
      </c>
      <c r="G460">
        <f>INDEX(northwind_orders[],MATCH(northwind_order_details[[#This Row],[order_id]], northwind_orders[order_id], 0), MATCH("employee_id", northwind_orders[#Headers], 0))</f>
        <v>4</v>
      </c>
      <c r="H460">
        <f>northwind_order_details[[#This Row],[unit_price]]*northwind_order_details[[#This Row],[quantity]]</f>
        <v>651</v>
      </c>
      <c r="I460" s="1">
        <f>northwind_order_details[[#This Row],[purchase amount]]*northwind_order_details[[#This Row],[discount]]</f>
        <v>0</v>
      </c>
      <c r="J460" s="1">
        <f>northwind_order_details[[#This Row],[purchase amount]]-northwind_order_details[[#This Row],[discount amount]]</f>
        <v>651</v>
      </c>
      <c r="K460" s="6" t="str">
        <f>IF(northwind_order_details[[#This Row],[discount amount]]&gt;0,"Yes","No")</f>
        <v>No</v>
      </c>
      <c r="L460" s="1" t="str">
        <f>IF(northwind_order_details[[#This Row],[Revenue]]&gt;1000,"High",IF(northwind_order_details[[#This Row],[Revenue]]&gt;300,"Medium","Low"))</f>
        <v>Medium</v>
      </c>
      <c r="M4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1" spans="1:13" x14ac:dyDescent="0.25">
      <c r="A461">
        <v>10428</v>
      </c>
      <c r="B461">
        <v>46</v>
      </c>
      <c r="C461" s="6">
        <v>9.6</v>
      </c>
      <c r="D461">
        <v>20</v>
      </c>
      <c r="E461" s="6" t="s">
        <v>6</v>
      </c>
      <c r="F461" t="str">
        <f>_xlfn.XLOOKUP(northwind_order_details[[#This Row],[order_id]],northwind_orders[order_id],northwind_orders[ship_country])</f>
        <v>Italy</v>
      </c>
      <c r="G461">
        <f>INDEX(northwind_orders[],MATCH(northwind_order_details[[#This Row],[order_id]], northwind_orders[order_id], 0), MATCH("employee_id", northwind_orders[#Headers], 0))</f>
        <v>7</v>
      </c>
      <c r="H461">
        <f>northwind_order_details[[#This Row],[unit_price]]*northwind_order_details[[#This Row],[quantity]]</f>
        <v>192</v>
      </c>
      <c r="I461" s="1">
        <f>northwind_order_details[[#This Row],[purchase amount]]*northwind_order_details[[#This Row],[discount]]</f>
        <v>0</v>
      </c>
      <c r="J461" s="1">
        <f>northwind_order_details[[#This Row],[purchase amount]]-northwind_order_details[[#This Row],[discount amount]]</f>
        <v>192</v>
      </c>
      <c r="K461" s="6" t="str">
        <f>IF(northwind_order_details[[#This Row],[discount amount]]&gt;0,"Yes","No")</f>
        <v>No</v>
      </c>
      <c r="L461" s="1" t="str">
        <f>IF(northwind_order_details[[#This Row],[Revenue]]&gt;1000,"High",IF(northwind_order_details[[#This Row],[Revenue]]&gt;300,"Medium","Low"))</f>
        <v>Low</v>
      </c>
      <c r="M4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2" spans="1:13" x14ac:dyDescent="0.25">
      <c r="A462">
        <v>10430</v>
      </c>
      <c r="B462">
        <v>17</v>
      </c>
      <c r="C462" s="6">
        <v>31.2</v>
      </c>
      <c r="D462">
        <v>45</v>
      </c>
      <c r="E462" s="6">
        <v>0.2</v>
      </c>
      <c r="F462" t="str">
        <f>_xlfn.XLOOKUP(northwind_order_details[[#This Row],[order_id]],northwind_orders[order_id],northwind_orders[ship_country])</f>
        <v>Austria</v>
      </c>
      <c r="G462">
        <f>INDEX(northwind_orders[],MATCH(northwind_order_details[[#This Row],[order_id]], northwind_orders[order_id], 0), MATCH("employee_id", northwind_orders[#Headers], 0))</f>
        <v>4</v>
      </c>
      <c r="H462">
        <f>northwind_order_details[[#This Row],[unit_price]]*northwind_order_details[[#This Row],[quantity]]</f>
        <v>1404</v>
      </c>
      <c r="I462" s="1">
        <f>northwind_order_details[[#This Row],[purchase amount]]*northwind_order_details[[#This Row],[discount]]</f>
        <v>280.8</v>
      </c>
      <c r="J462" s="1">
        <f>northwind_order_details[[#This Row],[purchase amount]]-northwind_order_details[[#This Row],[discount amount]]</f>
        <v>1123.2</v>
      </c>
      <c r="K462" s="6" t="str">
        <f>IF(northwind_order_details[[#This Row],[discount amount]]&gt;0,"Yes","No")</f>
        <v>Yes</v>
      </c>
      <c r="L462" s="1" t="str">
        <f>IF(northwind_order_details[[#This Row],[Revenue]]&gt;1000,"High",IF(northwind_order_details[[#This Row],[Revenue]]&gt;300,"Medium","Low"))</f>
        <v>High</v>
      </c>
      <c r="M4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3" spans="1:13" x14ac:dyDescent="0.25">
      <c r="A463">
        <v>10430</v>
      </c>
      <c r="B463">
        <v>21</v>
      </c>
      <c r="C463" s="6" t="s">
        <v>10</v>
      </c>
      <c r="D463">
        <v>50</v>
      </c>
      <c r="E463" s="6" t="s">
        <v>6</v>
      </c>
      <c r="F463" t="str">
        <f>_xlfn.XLOOKUP(northwind_order_details[[#This Row],[order_id]],northwind_orders[order_id],northwind_orders[ship_country])</f>
        <v>Austria</v>
      </c>
      <c r="G463">
        <f>INDEX(northwind_orders[],MATCH(northwind_order_details[[#This Row],[order_id]], northwind_orders[order_id], 0), MATCH("employee_id", northwind_orders[#Headers], 0))</f>
        <v>4</v>
      </c>
      <c r="H463">
        <f>northwind_order_details[[#This Row],[unit_price]]*northwind_order_details[[#This Row],[quantity]]</f>
        <v>400</v>
      </c>
      <c r="I463" s="1">
        <f>northwind_order_details[[#This Row],[purchase amount]]*northwind_order_details[[#This Row],[discount]]</f>
        <v>0</v>
      </c>
      <c r="J463" s="1">
        <f>northwind_order_details[[#This Row],[purchase amount]]-northwind_order_details[[#This Row],[discount amount]]</f>
        <v>400</v>
      </c>
      <c r="K463" s="6" t="str">
        <f>IF(northwind_order_details[[#This Row],[discount amount]]&gt;0,"Yes","No")</f>
        <v>No</v>
      </c>
      <c r="L463" s="1" t="str">
        <f>IF(northwind_order_details[[#This Row],[Revenue]]&gt;1000,"High",IF(northwind_order_details[[#This Row],[Revenue]]&gt;300,"Medium","Low"))</f>
        <v>Medium</v>
      </c>
      <c r="M4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4" spans="1:13" x14ac:dyDescent="0.25">
      <c r="A464">
        <v>10430</v>
      </c>
      <c r="B464">
        <v>56</v>
      </c>
      <c r="C464" s="6">
        <v>30.4</v>
      </c>
      <c r="D464">
        <v>30</v>
      </c>
      <c r="E464" s="6" t="s">
        <v>6</v>
      </c>
      <c r="F464" t="str">
        <f>_xlfn.XLOOKUP(northwind_order_details[[#This Row],[order_id]],northwind_orders[order_id],northwind_orders[ship_country])</f>
        <v>Austria</v>
      </c>
      <c r="G464">
        <f>INDEX(northwind_orders[],MATCH(northwind_order_details[[#This Row],[order_id]], northwind_orders[order_id], 0), MATCH("employee_id", northwind_orders[#Headers], 0))</f>
        <v>4</v>
      </c>
      <c r="H464">
        <f>northwind_order_details[[#This Row],[unit_price]]*northwind_order_details[[#This Row],[quantity]]</f>
        <v>912</v>
      </c>
      <c r="I464" s="1">
        <f>northwind_order_details[[#This Row],[purchase amount]]*northwind_order_details[[#This Row],[discount]]</f>
        <v>0</v>
      </c>
      <c r="J464" s="1">
        <f>northwind_order_details[[#This Row],[purchase amount]]-northwind_order_details[[#This Row],[discount amount]]</f>
        <v>912</v>
      </c>
      <c r="K464" s="6" t="str">
        <f>IF(northwind_order_details[[#This Row],[discount amount]]&gt;0,"Yes","No")</f>
        <v>No</v>
      </c>
      <c r="L464" s="1" t="str">
        <f>IF(northwind_order_details[[#This Row],[Revenue]]&gt;1000,"High",IF(northwind_order_details[[#This Row],[Revenue]]&gt;300,"Medium","Low"))</f>
        <v>Medium</v>
      </c>
      <c r="M4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5" spans="1:13" x14ac:dyDescent="0.25">
      <c r="A465">
        <v>10430</v>
      </c>
      <c r="B465">
        <v>59</v>
      </c>
      <c r="C465" s="6" t="s">
        <v>11</v>
      </c>
      <c r="D465">
        <v>70</v>
      </c>
      <c r="E465" s="6">
        <v>0.2</v>
      </c>
      <c r="F465" t="str">
        <f>_xlfn.XLOOKUP(northwind_order_details[[#This Row],[order_id]],northwind_orders[order_id],northwind_orders[ship_country])</f>
        <v>Austria</v>
      </c>
      <c r="G465">
        <f>INDEX(northwind_orders[],MATCH(northwind_order_details[[#This Row],[order_id]], northwind_orders[order_id], 0), MATCH("employee_id", northwind_orders[#Headers], 0))</f>
        <v>4</v>
      </c>
      <c r="H465">
        <f>northwind_order_details[[#This Row],[unit_price]]*northwind_order_details[[#This Row],[quantity]]</f>
        <v>3080</v>
      </c>
      <c r="I465" s="1">
        <f>northwind_order_details[[#This Row],[purchase amount]]*northwind_order_details[[#This Row],[discount]]</f>
        <v>616</v>
      </c>
      <c r="J465" s="1">
        <f>northwind_order_details[[#This Row],[purchase amount]]-northwind_order_details[[#This Row],[discount amount]]</f>
        <v>2464</v>
      </c>
      <c r="K465" s="6" t="str">
        <f>IF(northwind_order_details[[#This Row],[discount amount]]&gt;0,"Yes","No")</f>
        <v>Yes</v>
      </c>
      <c r="L465" s="1" t="str">
        <f>IF(northwind_order_details[[#This Row],[Revenue]]&gt;1000,"High",IF(northwind_order_details[[#This Row],[Revenue]]&gt;300,"Medium","Low"))</f>
        <v>High</v>
      </c>
      <c r="M4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6" spans="1:13" x14ac:dyDescent="0.25">
      <c r="A466">
        <v>10431</v>
      </c>
      <c r="B466">
        <v>17</v>
      </c>
      <c r="C466" s="6">
        <v>31.2</v>
      </c>
      <c r="D466">
        <v>50</v>
      </c>
      <c r="E466" s="6">
        <v>0.25</v>
      </c>
      <c r="F466" t="str">
        <f>_xlfn.XLOOKUP(northwind_order_details[[#This Row],[order_id]],northwind_orders[order_id],northwind_orders[ship_country])</f>
        <v>Canada</v>
      </c>
      <c r="G466">
        <f>INDEX(northwind_orders[],MATCH(northwind_order_details[[#This Row],[order_id]], northwind_orders[order_id], 0), MATCH("employee_id", northwind_orders[#Headers], 0))</f>
        <v>4</v>
      </c>
      <c r="H466">
        <f>northwind_order_details[[#This Row],[unit_price]]*northwind_order_details[[#This Row],[quantity]]</f>
        <v>1560</v>
      </c>
      <c r="I466" s="1">
        <f>northwind_order_details[[#This Row],[purchase amount]]*northwind_order_details[[#This Row],[discount]]</f>
        <v>390</v>
      </c>
      <c r="J466" s="1">
        <f>northwind_order_details[[#This Row],[purchase amount]]-northwind_order_details[[#This Row],[discount amount]]</f>
        <v>1170</v>
      </c>
      <c r="K466" s="6" t="str">
        <f>IF(northwind_order_details[[#This Row],[discount amount]]&gt;0,"Yes","No")</f>
        <v>Yes</v>
      </c>
      <c r="L466" s="1" t="str">
        <f>IF(northwind_order_details[[#This Row],[Revenue]]&gt;1000,"High",IF(northwind_order_details[[#This Row],[Revenue]]&gt;300,"Medium","Low"))</f>
        <v>High</v>
      </c>
      <c r="M4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7" spans="1:13" x14ac:dyDescent="0.25">
      <c r="A467">
        <v>10431</v>
      </c>
      <c r="B467">
        <v>40</v>
      </c>
      <c r="C467" s="6">
        <v>14.7</v>
      </c>
      <c r="D467">
        <v>50</v>
      </c>
      <c r="E467" s="6">
        <v>0.25</v>
      </c>
      <c r="F467" t="str">
        <f>_xlfn.XLOOKUP(northwind_order_details[[#This Row],[order_id]],northwind_orders[order_id],northwind_orders[ship_country])</f>
        <v>Canada</v>
      </c>
      <c r="G467">
        <f>INDEX(northwind_orders[],MATCH(northwind_order_details[[#This Row],[order_id]], northwind_orders[order_id], 0), MATCH("employee_id", northwind_orders[#Headers], 0))</f>
        <v>4</v>
      </c>
      <c r="H467">
        <f>northwind_order_details[[#This Row],[unit_price]]*northwind_order_details[[#This Row],[quantity]]</f>
        <v>735</v>
      </c>
      <c r="I467" s="1">
        <f>northwind_order_details[[#This Row],[purchase amount]]*northwind_order_details[[#This Row],[discount]]</f>
        <v>183.75</v>
      </c>
      <c r="J467" s="1">
        <f>northwind_order_details[[#This Row],[purchase amount]]-northwind_order_details[[#This Row],[discount amount]]</f>
        <v>551.25</v>
      </c>
      <c r="K467" s="6" t="str">
        <f>IF(northwind_order_details[[#This Row],[discount amount]]&gt;0,"Yes","No")</f>
        <v>Yes</v>
      </c>
      <c r="L467" s="1" t="str">
        <f>IF(northwind_order_details[[#This Row],[Revenue]]&gt;1000,"High",IF(northwind_order_details[[#This Row],[Revenue]]&gt;300,"Medium","Low"))</f>
        <v>Medium</v>
      </c>
      <c r="M4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8" spans="1:13" x14ac:dyDescent="0.25">
      <c r="A468">
        <v>10431</v>
      </c>
      <c r="B468">
        <v>47</v>
      </c>
      <c r="C468" s="6">
        <v>7.6</v>
      </c>
      <c r="D468">
        <v>30</v>
      </c>
      <c r="E468" s="6">
        <v>0.25</v>
      </c>
      <c r="F468" t="str">
        <f>_xlfn.XLOOKUP(northwind_order_details[[#This Row],[order_id]],northwind_orders[order_id],northwind_orders[ship_country])</f>
        <v>Canada</v>
      </c>
      <c r="G468">
        <f>INDEX(northwind_orders[],MATCH(northwind_order_details[[#This Row],[order_id]], northwind_orders[order_id], 0), MATCH("employee_id", northwind_orders[#Headers], 0))</f>
        <v>4</v>
      </c>
      <c r="H468">
        <f>northwind_order_details[[#This Row],[unit_price]]*northwind_order_details[[#This Row],[quantity]]</f>
        <v>228</v>
      </c>
      <c r="I468" s="1">
        <f>northwind_order_details[[#This Row],[purchase amount]]*northwind_order_details[[#This Row],[discount]]</f>
        <v>57</v>
      </c>
      <c r="J468" s="1">
        <f>northwind_order_details[[#This Row],[purchase amount]]-northwind_order_details[[#This Row],[discount amount]]</f>
        <v>171</v>
      </c>
      <c r="K468" s="6" t="str">
        <f>IF(northwind_order_details[[#This Row],[discount amount]]&gt;0,"Yes","No")</f>
        <v>Yes</v>
      </c>
      <c r="L468" s="1" t="str">
        <f>IF(northwind_order_details[[#This Row],[Revenue]]&gt;1000,"High",IF(northwind_order_details[[#This Row],[Revenue]]&gt;300,"Medium","Low"))</f>
        <v>Low</v>
      </c>
      <c r="M4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69" spans="1:13" x14ac:dyDescent="0.25">
      <c r="A469">
        <v>10432</v>
      </c>
      <c r="B469">
        <v>26</v>
      </c>
      <c r="C469" s="6">
        <v>24.9</v>
      </c>
      <c r="D469">
        <v>10</v>
      </c>
      <c r="E469" s="6" t="s">
        <v>6</v>
      </c>
      <c r="F469" t="str">
        <f>_xlfn.XLOOKUP(northwind_order_details[[#This Row],[order_id]],northwind_orders[order_id],northwind_orders[ship_country])</f>
        <v>USA</v>
      </c>
      <c r="G469">
        <f>INDEX(northwind_orders[],MATCH(northwind_order_details[[#This Row],[order_id]], northwind_orders[order_id], 0), MATCH("employee_id", northwind_orders[#Headers], 0))</f>
        <v>3</v>
      </c>
      <c r="H469">
        <f>northwind_order_details[[#This Row],[unit_price]]*northwind_order_details[[#This Row],[quantity]]</f>
        <v>249</v>
      </c>
      <c r="I469" s="1">
        <f>northwind_order_details[[#This Row],[purchase amount]]*northwind_order_details[[#This Row],[discount]]</f>
        <v>0</v>
      </c>
      <c r="J469" s="1">
        <f>northwind_order_details[[#This Row],[purchase amount]]-northwind_order_details[[#This Row],[discount amount]]</f>
        <v>249</v>
      </c>
      <c r="K469" s="6" t="str">
        <f>IF(northwind_order_details[[#This Row],[discount amount]]&gt;0,"Yes","No")</f>
        <v>No</v>
      </c>
      <c r="L469" s="1" t="str">
        <f>IF(northwind_order_details[[#This Row],[Revenue]]&gt;1000,"High",IF(northwind_order_details[[#This Row],[Revenue]]&gt;300,"Medium","Low"))</f>
        <v>Low</v>
      </c>
      <c r="M4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0" spans="1:13" x14ac:dyDescent="0.25">
      <c r="A470">
        <v>10432</v>
      </c>
      <c r="B470">
        <v>54</v>
      </c>
      <c r="C470" s="6">
        <v>5.9</v>
      </c>
      <c r="D470">
        <v>40</v>
      </c>
      <c r="E470" s="6" t="s">
        <v>6</v>
      </c>
      <c r="F470" t="str">
        <f>_xlfn.XLOOKUP(northwind_order_details[[#This Row],[order_id]],northwind_orders[order_id],northwind_orders[ship_country])</f>
        <v>USA</v>
      </c>
      <c r="G470">
        <f>INDEX(northwind_orders[],MATCH(northwind_order_details[[#This Row],[order_id]], northwind_orders[order_id], 0), MATCH("employee_id", northwind_orders[#Headers], 0))</f>
        <v>3</v>
      </c>
      <c r="H470">
        <f>northwind_order_details[[#This Row],[unit_price]]*northwind_order_details[[#This Row],[quantity]]</f>
        <v>236</v>
      </c>
      <c r="I470" s="1">
        <f>northwind_order_details[[#This Row],[purchase amount]]*northwind_order_details[[#This Row],[discount]]</f>
        <v>0</v>
      </c>
      <c r="J470" s="1">
        <f>northwind_order_details[[#This Row],[purchase amount]]-northwind_order_details[[#This Row],[discount amount]]</f>
        <v>236</v>
      </c>
      <c r="K470" s="6" t="str">
        <f>IF(northwind_order_details[[#This Row],[discount amount]]&gt;0,"Yes","No")</f>
        <v>No</v>
      </c>
      <c r="L470" s="1" t="str">
        <f>IF(northwind_order_details[[#This Row],[Revenue]]&gt;1000,"High",IF(northwind_order_details[[#This Row],[Revenue]]&gt;300,"Medium","Low"))</f>
        <v>Low</v>
      </c>
      <c r="M4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1" spans="1:13" x14ac:dyDescent="0.25">
      <c r="A471">
        <v>10433</v>
      </c>
      <c r="B471">
        <v>56</v>
      </c>
      <c r="C471" s="6">
        <v>30.4</v>
      </c>
      <c r="D471">
        <v>28</v>
      </c>
      <c r="E471" s="6" t="s">
        <v>6</v>
      </c>
      <c r="F471" t="str">
        <f>_xlfn.XLOOKUP(northwind_order_details[[#This Row],[order_id]],northwind_orders[order_id],northwind_orders[ship_country])</f>
        <v>Portugal</v>
      </c>
      <c r="G471">
        <f>INDEX(northwind_orders[],MATCH(northwind_order_details[[#This Row],[order_id]], northwind_orders[order_id], 0), MATCH("employee_id", northwind_orders[#Headers], 0))</f>
        <v>3</v>
      </c>
      <c r="H471">
        <f>northwind_order_details[[#This Row],[unit_price]]*northwind_order_details[[#This Row],[quantity]]</f>
        <v>851.19999999999993</v>
      </c>
      <c r="I471" s="1">
        <f>northwind_order_details[[#This Row],[purchase amount]]*northwind_order_details[[#This Row],[discount]]</f>
        <v>0</v>
      </c>
      <c r="J471" s="1">
        <f>northwind_order_details[[#This Row],[purchase amount]]-northwind_order_details[[#This Row],[discount amount]]</f>
        <v>851.19999999999993</v>
      </c>
      <c r="K471" s="6" t="str">
        <f>IF(northwind_order_details[[#This Row],[discount amount]]&gt;0,"Yes","No")</f>
        <v>No</v>
      </c>
      <c r="L471" s="1" t="str">
        <f>IF(northwind_order_details[[#This Row],[Revenue]]&gt;1000,"High",IF(northwind_order_details[[#This Row],[Revenue]]&gt;300,"Medium","Low"))</f>
        <v>Medium</v>
      </c>
      <c r="M4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2" spans="1:13" x14ac:dyDescent="0.25">
      <c r="A472">
        <v>10434</v>
      </c>
      <c r="B472">
        <v>11</v>
      </c>
      <c r="C472" s="6">
        <v>16.8</v>
      </c>
      <c r="D472">
        <v>6</v>
      </c>
      <c r="E472" s="6" t="s">
        <v>6</v>
      </c>
      <c r="F472" t="str">
        <f>_xlfn.XLOOKUP(northwind_order_details[[#This Row],[order_id]],northwind_orders[order_id],northwind_orders[ship_country])</f>
        <v>Sweden</v>
      </c>
      <c r="G472">
        <f>INDEX(northwind_orders[],MATCH(northwind_order_details[[#This Row],[order_id]], northwind_orders[order_id], 0), MATCH("employee_id", northwind_orders[#Headers], 0))</f>
        <v>3</v>
      </c>
      <c r="H472">
        <f>northwind_order_details[[#This Row],[unit_price]]*northwind_order_details[[#This Row],[quantity]]</f>
        <v>100.80000000000001</v>
      </c>
      <c r="I472" s="1">
        <f>northwind_order_details[[#This Row],[purchase amount]]*northwind_order_details[[#This Row],[discount]]</f>
        <v>0</v>
      </c>
      <c r="J472" s="1">
        <f>northwind_order_details[[#This Row],[purchase amount]]-northwind_order_details[[#This Row],[discount amount]]</f>
        <v>100.80000000000001</v>
      </c>
      <c r="K472" s="6" t="str">
        <f>IF(northwind_order_details[[#This Row],[discount amount]]&gt;0,"Yes","No")</f>
        <v>No</v>
      </c>
      <c r="L472" s="1" t="str">
        <f>IF(northwind_order_details[[#This Row],[Revenue]]&gt;1000,"High",IF(northwind_order_details[[#This Row],[Revenue]]&gt;300,"Medium","Low"))</f>
        <v>Low</v>
      </c>
      <c r="M4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3" spans="1:13" x14ac:dyDescent="0.25">
      <c r="A473">
        <v>10434</v>
      </c>
      <c r="B473">
        <v>76</v>
      </c>
      <c r="C473" s="6">
        <v>14.4</v>
      </c>
      <c r="D473">
        <v>18</v>
      </c>
      <c r="E473" s="6">
        <v>0.15</v>
      </c>
      <c r="F473" t="str">
        <f>_xlfn.XLOOKUP(northwind_order_details[[#This Row],[order_id]],northwind_orders[order_id],northwind_orders[ship_country])</f>
        <v>Sweden</v>
      </c>
      <c r="G473">
        <f>INDEX(northwind_orders[],MATCH(northwind_order_details[[#This Row],[order_id]], northwind_orders[order_id], 0), MATCH("employee_id", northwind_orders[#Headers], 0))</f>
        <v>3</v>
      </c>
      <c r="H473">
        <f>northwind_order_details[[#This Row],[unit_price]]*northwind_order_details[[#This Row],[quantity]]</f>
        <v>259.2</v>
      </c>
      <c r="I473" s="1">
        <f>northwind_order_details[[#This Row],[purchase amount]]*northwind_order_details[[#This Row],[discount]]</f>
        <v>38.879999999999995</v>
      </c>
      <c r="J473" s="1">
        <f>northwind_order_details[[#This Row],[purchase amount]]-northwind_order_details[[#This Row],[discount amount]]</f>
        <v>220.32</v>
      </c>
      <c r="K473" s="6" t="str">
        <f>IF(northwind_order_details[[#This Row],[discount amount]]&gt;0,"Yes","No")</f>
        <v>Yes</v>
      </c>
      <c r="L473" s="1" t="str">
        <f>IF(northwind_order_details[[#This Row],[Revenue]]&gt;1000,"High",IF(northwind_order_details[[#This Row],[Revenue]]&gt;300,"Medium","Low"))</f>
        <v>Low</v>
      </c>
      <c r="M4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4" spans="1:13" x14ac:dyDescent="0.25">
      <c r="A474">
        <v>10435</v>
      </c>
      <c r="B474">
        <v>2</v>
      </c>
      <c r="C474" s="6">
        <v>15.2</v>
      </c>
      <c r="D474">
        <v>10</v>
      </c>
      <c r="E474" s="6" t="s">
        <v>6</v>
      </c>
      <c r="F474" t="str">
        <f>_xlfn.XLOOKUP(northwind_order_details[[#This Row],[order_id]],northwind_orders[order_id],northwind_orders[ship_country])</f>
        <v>UK</v>
      </c>
      <c r="G474">
        <f>INDEX(northwind_orders[],MATCH(northwind_order_details[[#This Row],[order_id]], northwind_orders[order_id], 0), MATCH("employee_id", northwind_orders[#Headers], 0))</f>
        <v>8</v>
      </c>
      <c r="H474">
        <f>northwind_order_details[[#This Row],[unit_price]]*northwind_order_details[[#This Row],[quantity]]</f>
        <v>152</v>
      </c>
      <c r="I474" s="1">
        <f>northwind_order_details[[#This Row],[purchase amount]]*northwind_order_details[[#This Row],[discount]]</f>
        <v>0</v>
      </c>
      <c r="J474" s="1">
        <f>northwind_order_details[[#This Row],[purchase amount]]-northwind_order_details[[#This Row],[discount amount]]</f>
        <v>152</v>
      </c>
      <c r="K474" s="6" t="str">
        <f>IF(northwind_order_details[[#This Row],[discount amount]]&gt;0,"Yes","No")</f>
        <v>No</v>
      </c>
      <c r="L474" s="1" t="str">
        <f>IF(northwind_order_details[[#This Row],[Revenue]]&gt;1000,"High",IF(northwind_order_details[[#This Row],[Revenue]]&gt;300,"Medium","Low"))</f>
        <v>Low</v>
      </c>
      <c r="M4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5" spans="1:13" x14ac:dyDescent="0.25">
      <c r="A475">
        <v>10435</v>
      </c>
      <c r="B475">
        <v>22</v>
      </c>
      <c r="C475" s="6">
        <v>16.8</v>
      </c>
      <c r="D475">
        <v>12</v>
      </c>
      <c r="E475" s="6" t="s">
        <v>6</v>
      </c>
      <c r="F475" t="str">
        <f>_xlfn.XLOOKUP(northwind_order_details[[#This Row],[order_id]],northwind_orders[order_id],northwind_orders[ship_country])</f>
        <v>UK</v>
      </c>
      <c r="G475">
        <f>INDEX(northwind_orders[],MATCH(northwind_order_details[[#This Row],[order_id]], northwind_orders[order_id], 0), MATCH("employee_id", northwind_orders[#Headers], 0))</f>
        <v>8</v>
      </c>
      <c r="H475">
        <f>northwind_order_details[[#This Row],[unit_price]]*northwind_order_details[[#This Row],[quantity]]</f>
        <v>201.60000000000002</v>
      </c>
      <c r="I475" s="1">
        <f>northwind_order_details[[#This Row],[purchase amount]]*northwind_order_details[[#This Row],[discount]]</f>
        <v>0</v>
      </c>
      <c r="J475" s="1">
        <f>northwind_order_details[[#This Row],[purchase amount]]-northwind_order_details[[#This Row],[discount amount]]</f>
        <v>201.60000000000002</v>
      </c>
      <c r="K475" s="6" t="str">
        <f>IF(northwind_order_details[[#This Row],[discount amount]]&gt;0,"Yes","No")</f>
        <v>No</v>
      </c>
      <c r="L475" s="1" t="str">
        <f>IF(northwind_order_details[[#This Row],[Revenue]]&gt;1000,"High",IF(northwind_order_details[[#This Row],[Revenue]]&gt;300,"Medium","Low"))</f>
        <v>Low</v>
      </c>
      <c r="M4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6" spans="1:13" x14ac:dyDescent="0.25">
      <c r="A476">
        <v>10435</v>
      </c>
      <c r="B476">
        <v>72</v>
      </c>
      <c r="C476" s="6">
        <v>27.8</v>
      </c>
      <c r="D476">
        <v>10</v>
      </c>
      <c r="E476" s="6" t="s">
        <v>6</v>
      </c>
      <c r="F476" t="str">
        <f>_xlfn.XLOOKUP(northwind_order_details[[#This Row],[order_id]],northwind_orders[order_id],northwind_orders[ship_country])</f>
        <v>UK</v>
      </c>
      <c r="G476">
        <f>INDEX(northwind_orders[],MATCH(northwind_order_details[[#This Row],[order_id]], northwind_orders[order_id], 0), MATCH("employee_id", northwind_orders[#Headers], 0))</f>
        <v>8</v>
      </c>
      <c r="H476">
        <f>northwind_order_details[[#This Row],[unit_price]]*northwind_order_details[[#This Row],[quantity]]</f>
        <v>278</v>
      </c>
      <c r="I476" s="1">
        <f>northwind_order_details[[#This Row],[purchase amount]]*northwind_order_details[[#This Row],[discount]]</f>
        <v>0</v>
      </c>
      <c r="J476" s="1">
        <f>northwind_order_details[[#This Row],[purchase amount]]-northwind_order_details[[#This Row],[discount amount]]</f>
        <v>278</v>
      </c>
      <c r="K476" s="6" t="str">
        <f>IF(northwind_order_details[[#This Row],[discount amount]]&gt;0,"Yes","No")</f>
        <v>No</v>
      </c>
      <c r="L476" s="1" t="str">
        <f>IF(northwind_order_details[[#This Row],[Revenue]]&gt;1000,"High",IF(northwind_order_details[[#This Row],[Revenue]]&gt;300,"Medium","Low"))</f>
        <v>Low</v>
      </c>
      <c r="M4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7" spans="1:13" x14ac:dyDescent="0.25">
      <c r="A477">
        <v>10436</v>
      </c>
      <c r="B477">
        <v>46</v>
      </c>
      <c r="C477" s="6">
        <v>9.6</v>
      </c>
      <c r="D477">
        <v>5</v>
      </c>
      <c r="E477" s="6" t="s">
        <v>6</v>
      </c>
      <c r="F477" t="str">
        <f>_xlfn.XLOOKUP(northwind_order_details[[#This Row],[order_id]],northwind_orders[order_id],northwind_orders[ship_country])</f>
        <v>France</v>
      </c>
      <c r="G477">
        <f>INDEX(northwind_orders[],MATCH(northwind_order_details[[#This Row],[order_id]], northwind_orders[order_id], 0), MATCH("employee_id", northwind_orders[#Headers], 0))</f>
        <v>3</v>
      </c>
      <c r="H477">
        <f>northwind_order_details[[#This Row],[unit_price]]*northwind_order_details[[#This Row],[quantity]]</f>
        <v>48</v>
      </c>
      <c r="I477" s="1">
        <f>northwind_order_details[[#This Row],[purchase amount]]*northwind_order_details[[#This Row],[discount]]</f>
        <v>0</v>
      </c>
      <c r="J477" s="1">
        <f>northwind_order_details[[#This Row],[purchase amount]]-northwind_order_details[[#This Row],[discount amount]]</f>
        <v>48</v>
      </c>
      <c r="K477" s="6" t="str">
        <f>IF(northwind_order_details[[#This Row],[discount amount]]&gt;0,"Yes","No")</f>
        <v>No</v>
      </c>
      <c r="L477" s="1" t="str">
        <f>IF(northwind_order_details[[#This Row],[Revenue]]&gt;1000,"High",IF(northwind_order_details[[#This Row],[Revenue]]&gt;300,"Medium","Low"))</f>
        <v>Low</v>
      </c>
      <c r="M4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8" spans="1:13" x14ac:dyDescent="0.25">
      <c r="A478">
        <v>10436</v>
      </c>
      <c r="B478">
        <v>56</v>
      </c>
      <c r="C478" s="6">
        <v>30.4</v>
      </c>
      <c r="D478">
        <v>40</v>
      </c>
      <c r="E478" s="6">
        <v>0.1</v>
      </c>
      <c r="F478" t="str">
        <f>_xlfn.XLOOKUP(northwind_order_details[[#This Row],[order_id]],northwind_orders[order_id],northwind_orders[ship_country])</f>
        <v>France</v>
      </c>
      <c r="G478">
        <f>INDEX(northwind_orders[],MATCH(northwind_order_details[[#This Row],[order_id]], northwind_orders[order_id], 0), MATCH("employee_id", northwind_orders[#Headers], 0))</f>
        <v>3</v>
      </c>
      <c r="H478">
        <f>northwind_order_details[[#This Row],[unit_price]]*northwind_order_details[[#This Row],[quantity]]</f>
        <v>1216</v>
      </c>
      <c r="I478" s="1">
        <f>northwind_order_details[[#This Row],[purchase amount]]*northwind_order_details[[#This Row],[discount]]</f>
        <v>121.60000000000001</v>
      </c>
      <c r="J478" s="1">
        <f>northwind_order_details[[#This Row],[purchase amount]]-northwind_order_details[[#This Row],[discount amount]]</f>
        <v>1094.4000000000001</v>
      </c>
      <c r="K478" s="6" t="str">
        <f>IF(northwind_order_details[[#This Row],[discount amount]]&gt;0,"Yes","No")</f>
        <v>Yes</v>
      </c>
      <c r="L478" s="1" t="str">
        <f>IF(northwind_order_details[[#This Row],[Revenue]]&gt;1000,"High",IF(northwind_order_details[[#This Row],[Revenue]]&gt;300,"Medium","Low"))</f>
        <v>High</v>
      </c>
      <c r="M4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79" spans="1:13" x14ac:dyDescent="0.25">
      <c r="A479">
        <v>10436</v>
      </c>
      <c r="B479">
        <v>64</v>
      </c>
      <c r="C479" s="6">
        <v>26.6</v>
      </c>
      <c r="D479">
        <v>30</v>
      </c>
      <c r="E479" s="6">
        <v>0.1</v>
      </c>
      <c r="F479" t="str">
        <f>_xlfn.XLOOKUP(northwind_order_details[[#This Row],[order_id]],northwind_orders[order_id],northwind_orders[ship_country])</f>
        <v>France</v>
      </c>
      <c r="G479">
        <f>INDEX(northwind_orders[],MATCH(northwind_order_details[[#This Row],[order_id]], northwind_orders[order_id], 0), MATCH("employee_id", northwind_orders[#Headers], 0))</f>
        <v>3</v>
      </c>
      <c r="H479">
        <f>northwind_order_details[[#This Row],[unit_price]]*northwind_order_details[[#This Row],[quantity]]</f>
        <v>798</v>
      </c>
      <c r="I479" s="1">
        <f>northwind_order_details[[#This Row],[purchase amount]]*northwind_order_details[[#This Row],[discount]]</f>
        <v>79.800000000000011</v>
      </c>
      <c r="J479" s="1">
        <f>northwind_order_details[[#This Row],[purchase amount]]-northwind_order_details[[#This Row],[discount amount]]</f>
        <v>718.2</v>
      </c>
      <c r="K479" s="6" t="str">
        <f>IF(northwind_order_details[[#This Row],[discount amount]]&gt;0,"Yes","No")</f>
        <v>Yes</v>
      </c>
      <c r="L479" s="1" t="str">
        <f>IF(northwind_order_details[[#This Row],[Revenue]]&gt;1000,"High",IF(northwind_order_details[[#This Row],[Revenue]]&gt;300,"Medium","Low"))</f>
        <v>Medium</v>
      </c>
      <c r="M4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0" spans="1:13" x14ac:dyDescent="0.25">
      <c r="A480">
        <v>10436</v>
      </c>
      <c r="B480">
        <v>75</v>
      </c>
      <c r="C480" s="6">
        <v>6.2</v>
      </c>
      <c r="D480">
        <v>24</v>
      </c>
      <c r="E480" s="6">
        <v>0.1</v>
      </c>
      <c r="F480" t="str">
        <f>_xlfn.XLOOKUP(northwind_order_details[[#This Row],[order_id]],northwind_orders[order_id],northwind_orders[ship_country])</f>
        <v>France</v>
      </c>
      <c r="G480">
        <f>INDEX(northwind_orders[],MATCH(northwind_order_details[[#This Row],[order_id]], northwind_orders[order_id], 0), MATCH("employee_id", northwind_orders[#Headers], 0))</f>
        <v>3</v>
      </c>
      <c r="H480">
        <f>northwind_order_details[[#This Row],[unit_price]]*northwind_order_details[[#This Row],[quantity]]</f>
        <v>148.80000000000001</v>
      </c>
      <c r="I480" s="1">
        <f>northwind_order_details[[#This Row],[purchase amount]]*northwind_order_details[[#This Row],[discount]]</f>
        <v>14.880000000000003</v>
      </c>
      <c r="J480" s="1">
        <f>northwind_order_details[[#This Row],[purchase amount]]-northwind_order_details[[#This Row],[discount amount]]</f>
        <v>133.92000000000002</v>
      </c>
      <c r="K480" s="6" t="str">
        <f>IF(northwind_order_details[[#This Row],[discount amount]]&gt;0,"Yes","No")</f>
        <v>Yes</v>
      </c>
      <c r="L480" s="1" t="str">
        <f>IF(northwind_order_details[[#This Row],[Revenue]]&gt;1000,"High",IF(northwind_order_details[[#This Row],[Revenue]]&gt;300,"Medium","Low"))</f>
        <v>Low</v>
      </c>
      <c r="M4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1" spans="1:13" x14ac:dyDescent="0.25">
      <c r="A481">
        <v>10437</v>
      </c>
      <c r="B481">
        <v>53</v>
      </c>
      <c r="C481" s="6">
        <v>26.2</v>
      </c>
      <c r="D481">
        <v>15</v>
      </c>
      <c r="E481" s="6" t="s">
        <v>6</v>
      </c>
      <c r="F481" t="str">
        <f>_xlfn.XLOOKUP(northwind_order_details[[#This Row],[order_id]],northwind_orders[order_id],northwind_orders[ship_country])</f>
        <v>Finland</v>
      </c>
      <c r="G481">
        <f>INDEX(northwind_orders[],MATCH(northwind_order_details[[#This Row],[order_id]], northwind_orders[order_id], 0), MATCH("employee_id", northwind_orders[#Headers], 0))</f>
        <v>8</v>
      </c>
      <c r="H481">
        <f>northwind_order_details[[#This Row],[unit_price]]*northwind_order_details[[#This Row],[quantity]]</f>
        <v>393</v>
      </c>
      <c r="I481" s="1">
        <f>northwind_order_details[[#This Row],[purchase amount]]*northwind_order_details[[#This Row],[discount]]</f>
        <v>0</v>
      </c>
      <c r="J481" s="1">
        <f>northwind_order_details[[#This Row],[purchase amount]]-northwind_order_details[[#This Row],[discount amount]]</f>
        <v>393</v>
      </c>
      <c r="K481" s="6" t="str">
        <f>IF(northwind_order_details[[#This Row],[discount amount]]&gt;0,"Yes","No")</f>
        <v>No</v>
      </c>
      <c r="L481" s="1" t="str">
        <f>IF(northwind_order_details[[#This Row],[Revenue]]&gt;1000,"High",IF(northwind_order_details[[#This Row],[Revenue]]&gt;300,"Medium","Low"))</f>
        <v>Medium</v>
      </c>
      <c r="M4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2" spans="1:13" x14ac:dyDescent="0.25">
      <c r="A482">
        <v>10438</v>
      </c>
      <c r="B482">
        <v>19</v>
      </c>
      <c r="C482" s="6">
        <v>7.3</v>
      </c>
      <c r="D482">
        <v>15</v>
      </c>
      <c r="E482" s="6">
        <v>0.2</v>
      </c>
      <c r="F482" t="str">
        <f>_xlfn.XLOOKUP(northwind_order_details[[#This Row],[order_id]],northwind_orders[order_id],northwind_orders[ship_country])</f>
        <v>Germany</v>
      </c>
      <c r="G482">
        <f>INDEX(northwind_orders[],MATCH(northwind_order_details[[#This Row],[order_id]], northwind_orders[order_id], 0), MATCH("employee_id", northwind_orders[#Headers], 0))</f>
        <v>3</v>
      </c>
      <c r="H482">
        <f>northwind_order_details[[#This Row],[unit_price]]*northwind_order_details[[#This Row],[quantity]]</f>
        <v>109.5</v>
      </c>
      <c r="I482" s="1">
        <f>northwind_order_details[[#This Row],[purchase amount]]*northwind_order_details[[#This Row],[discount]]</f>
        <v>21.900000000000002</v>
      </c>
      <c r="J482" s="1">
        <f>northwind_order_details[[#This Row],[purchase amount]]-northwind_order_details[[#This Row],[discount amount]]</f>
        <v>87.6</v>
      </c>
      <c r="K482" s="6" t="str">
        <f>IF(northwind_order_details[[#This Row],[discount amount]]&gt;0,"Yes","No")</f>
        <v>Yes</v>
      </c>
      <c r="L482" s="1" t="str">
        <f>IF(northwind_order_details[[#This Row],[Revenue]]&gt;1000,"High",IF(northwind_order_details[[#This Row],[Revenue]]&gt;300,"Medium","Low"))</f>
        <v>Low</v>
      </c>
      <c r="M4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3" spans="1:13" x14ac:dyDescent="0.25">
      <c r="A483">
        <v>10438</v>
      </c>
      <c r="B483">
        <v>34</v>
      </c>
      <c r="C483" s="6">
        <v>11.2</v>
      </c>
      <c r="D483">
        <v>20</v>
      </c>
      <c r="E483" s="6">
        <v>0.2</v>
      </c>
      <c r="F483" t="str">
        <f>_xlfn.XLOOKUP(northwind_order_details[[#This Row],[order_id]],northwind_orders[order_id],northwind_orders[ship_country])</f>
        <v>Germany</v>
      </c>
      <c r="G483">
        <f>INDEX(northwind_orders[],MATCH(northwind_order_details[[#This Row],[order_id]], northwind_orders[order_id], 0), MATCH("employee_id", northwind_orders[#Headers], 0))</f>
        <v>3</v>
      </c>
      <c r="H483">
        <f>northwind_order_details[[#This Row],[unit_price]]*northwind_order_details[[#This Row],[quantity]]</f>
        <v>224</v>
      </c>
      <c r="I483" s="1">
        <f>northwind_order_details[[#This Row],[purchase amount]]*northwind_order_details[[#This Row],[discount]]</f>
        <v>44.800000000000004</v>
      </c>
      <c r="J483" s="1">
        <f>northwind_order_details[[#This Row],[purchase amount]]-northwind_order_details[[#This Row],[discount amount]]</f>
        <v>179.2</v>
      </c>
      <c r="K483" s="6" t="str">
        <f>IF(northwind_order_details[[#This Row],[discount amount]]&gt;0,"Yes","No")</f>
        <v>Yes</v>
      </c>
      <c r="L483" s="1" t="str">
        <f>IF(northwind_order_details[[#This Row],[Revenue]]&gt;1000,"High",IF(northwind_order_details[[#This Row],[Revenue]]&gt;300,"Medium","Low"))</f>
        <v>Low</v>
      </c>
      <c r="M4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4" spans="1:13" x14ac:dyDescent="0.25">
      <c r="A484">
        <v>10438</v>
      </c>
      <c r="B484">
        <v>57</v>
      </c>
      <c r="C484" s="6">
        <v>15.6</v>
      </c>
      <c r="D484">
        <v>15</v>
      </c>
      <c r="E484" s="6">
        <v>0.2</v>
      </c>
      <c r="F484" t="str">
        <f>_xlfn.XLOOKUP(northwind_order_details[[#This Row],[order_id]],northwind_orders[order_id],northwind_orders[ship_country])</f>
        <v>Germany</v>
      </c>
      <c r="G484">
        <f>INDEX(northwind_orders[],MATCH(northwind_order_details[[#This Row],[order_id]], northwind_orders[order_id], 0), MATCH("employee_id", northwind_orders[#Headers], 0))</f>
        <v>3</v>
      </c>
      <c r="H484">
        <f>northwind_order_details[[#This Row],[unit_price]]*northwind_order_details[[#This Row],[quantity]]</f>
        <v>234</v>
      </c>
      <c r="I484" s="1">
        <f>northwind_order_details[[#This Row],[purchase amount]]*northwind_order_details[[#This Row],[discount]]</f>
        <v>46.800000000000004</v>
      </c>
      <c r="J484" s="1">
        <f>northwind_order_details[[#This Row],[purchase amount]]-northwind_order_details[[#This Row],[discount amount]]</f>
        <v>187.2</v>
      </c>
      <c r="K484" s="6" t="str">
        <f>IF(northwind_order_details[[#This Row],[discount amount]]&gt;0,"Yes","No")</f>
        <v>Yes</v>
      </c>
      <c r="L484" s="1" t="str">
        <f>IF(northwind_order_details[[#This Row],[Revenue]]&gt;1000,"High",IF(northwind_order_details[[#This Row],[Revenue]]&gt;300,"Medium","Low"))</f>
        <v>Low</v>
      </c>
      <c r="M4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5" spans="1:13" x14ac:dyDescent="0.25">
      <c r="A485">
        <v>10439</v>
      </c>
      <c r="B485">
        <v>12</v>
      </c>
      <c r="C485" s="6">
        <v>30.4</v>
      </c>
      <c r="D485">
        <v>15</v>
      </c>
      <c r="E485" s="6" t="s">
        <v>6</v>
      </c>
      <c r="F485" t="str">
        <f>_xlfn.XLOOKUP(northwind_order_details[[#This Row],[order_id]],northwind_orders[order_id],northwind_orders[ship_country])</f>
        <v>Canada</v>
      </c>
      <c r="G485">
        <f>INDEX(northwind_orders[],MATCH(northwind_order_details[[#This Row],[order_id]], northwind_orders[order_id], 0), MATCH("employee_id", northwind_orders[#Headers], 0))</f>
        <v>6</v>
      </c>
      <c r="H485">
        <f>northwind_order_details[[#This Row],[unit_price]]*northwind_order_details[[#This Row],[quantity]]</f>
        <v>456</v>
      </c>
      <c r="I485" s="1">
        <f>northwind_order_details[[#This Row],[purchase amount]]*northwind_order_details[[#This Row],[discount]]</f>
        <v>0</v>
      </c>
      <c r="J485" s="1">
        <f>northwind_order_details[[#This Row],[purchase amount]]-northwind_order_details[[#This Row],[discount amount]]</f>
        <v>456</v>
      </c>
      <c r="K485" s="6" t="str">
        <f>IF(northwind_order_details[[#This Row],[discount amount]]&gt;0,"Yes","No")</f>
        <v>No</v>
      </c>
      <c r="L485" s="1" t="str">
        <f>IF(northwind_order_details[[#This Row],[Revenue]]&gt;1000,"High",IF(northwind_order_details[[#This Row],[Revenue]]&gt;300,"Medium","Low"))</f>
        <v>Medium</v>
      </c>
      <c r="M4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6" spans="1:13" x14ac:dyDescent="0.25">
      <c r="A486">
        <v>10439</v>
      </c>
      <c r="B486">
        <v>16</v>
      </c>
      <c r="C486" s="6">
        <v>13.9</v>
      </c>
      <c r="D486">
        <v>16</v>
      </c>
      <c r="E486" s="6" t="s">
        <v>6</v>
      </c>
      <c r="F486" t="str">
        <f>_xlfn.XLOOKUP(northwind_order_details[[#This Row],[order_id]],northwind_orders[order_id],northwind_orders[ship_country])</f>
        <v>Canada</v>
      </c>
      <c r="G486">
        <f>INDEX(northwind_orders[],MATCH(northwind_order_details[[#This Row],[order_id]], northwind_orders[order_id], 0), MATCH("employee_id", northwind_orders[#Headers], 0))</f>
        <v>6</v>
      </c>
      <c r="H486">
        <f>northwind_order_details[[#This Row],[unit_price]]*northwind_order_details[[#This Row],[quantity]]</f>
        <v>222.4</v>
      </c>
      <c r="I486" s="1">
        <f>northwind_order_details[[#This Row],[purchase amount]]*northwind_order_details[[#This Row],[discount]]</f>
        <v>0</v>
      </c>
      <c r="J486" s="1">
        <f>northwind_order_details[[#This Row],[purchase amount]]-northwind_order_details[[#This Row],[discount amount]]</f>
        <v>222.4</v>
      </c>
      <c r="K486" s="6" t="str">
        <f>IF(northwind_order_details[[#This Row],[discount amount]]&gt;0,"Yes","No")</f>
        <v>No</v>
      </c>
      <c r="L486" s="1" t="str">
        <f>IF(northwind_order_details[[#This Row],[Revenue]]&gt;1000,"High",IF(northwind_order_details[[#This Row],[Revenue]]&gt;300,"Medium","Low"))</f>
        <v>Low</v>
      </c>
      <c r="M4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7" spans="1:13" x14ac:dyDescent="0.25">
      <c r="A487">
        <v>10439</v>
      </c>
      <c r="B487">
        <v>64</v>
      </c>
      <c r="C487" s="6">
        <v>26.6</v>
      </c>
      <c r="D487">
        <v>6</v>
      </c>
      <c r="E487" s="6" t="s">
        <v>6</v>
      </c>
      <c r="F487" t="str">
        <f>_xlfn.XLOOKUP(northwind_order_details[[#This Row],[order_id]],northwind_orders[order_id],northwind_orders[ship_country])</f>
        <v>Canada</v>
      </c>
      <c r="G487">
        <f>INDEX(northwind_orders[],MATCH(northwind_order_details[[#This Row],[order_id]], northwind_orders[order_id], 0), MATCH("employee_id", northwind_orders[#Headers], 0))</f>
        <v>6</v>
      </c>
      <c r="H487">
        <f>northwind_order_details[[#This Row],[unit_price]]*northwind_order_details[[#This Row],[quantity]]</f>
        <v>159.60000000000002</v>
      </c>
      <c r="I487" s="1">
        <f>northwind_order_details[[#This Row],[purchase amount]]*northwind_order_details[[#This Row],[discount]]</f>
        <v>0</v>
      </c>
      <c r="J487" s="1">
        <f>northwind_order_details[[#This Row],[purchase amount]]-northwind_order_details[[#This Row],[discount amount]]</f>
        <v>159.60000000000002</v>
      </c>
      <c r="K487" s="6" t="str">
        <f>IF(northwind_order_details[[#This Row],[discount amount]]&gt;0,"Yes","No")</f>
        <v>No</v>
      </c>
      <c r="L487" s="1" t="str">
        <f>IF(northwind_order_details[[#This Row],[Revenue]]&gt;1000,"High",IF(northwind_order_details[[#This Row],[Revenue]]&gt;300,"Medium","Low"))</f>
        <v>Low</v>
      </c>
      <c r="M4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8" spans="1:13" x14ac:dyDescent="0.25">
      <c r="A488">
        <v>10439</v>
      </c>
      <c r="B488">
        <v>74</v>
      </c>
      <c r="C488" s="6" t="s">
        <v>10</v>
      </c>
      <c r="D488">
        <v>30</v>
      </c>
      <c r="E488" s="6" t="s">
        <v>6</v>
      </c>
      <c r="F488" t="str">
        <f>_xlfn.XLOOKUP(northwind_order_details[[#This Row],[order_id]],northwind_orders[order_id],northwind_orders[ship_country])</f>
        <v>Canada</v>
      </c>
      <c r="G488">
        <f>INDEX(northwind_orders[],MATCH(northwind_order_details[[#This Row],[order_id]], northwind_orders[order_id], 0), MATCH("employee_id", northwind_orders[#Headers], 0))</f>
        <v>6</v>
      </c>
      <c r="H488">
        <f>northwind_order_details[[#This Row],[unit_price]]*northwind_order_details[[#This Row],[quantity]]</f>
        <v>240</v>
      </c>
      <c r="I488" s="1">
        <f>northwind_order_details[[#This Row],[purchase amount]]*northwind_order_details[[#This Row],[discount]]</f>
        <v>0</v>
      </c>
      <c r="J488" s="1">
        <f>northwind_order_details[[#This Row],[purchase amount]]-northwind_order_details[[#This Row],[discount amount]]</f>
        <v>240</v>
      </c>
      <c r="K488" s="6" t="str">
        <f>IF(northwind_order_details[[#This Row],[discount amount]]&gt;0,"Yes","No")</f>
        <v>No</v>
      </c>
      <c r="L488" s="1" t="str">
        <f>IF(northwind_order_details[[#This Row],[Revenue]]&gt;1000,"High",IF(northwind_order_details[[#This Row],[Revenue]]&gt;300,"Medium","Low"))</f>
        <v>Low</v>
      </c>
      <c r="M4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89" spans="1:13" x14ac:dyDescent="0.25">
      <c r="A489">
        <v>10440</v>
      </c>
      <c r="B489">
        <v>2</v>
      </c>
      <c r="C489" s="6">
        <v>15.2</v>
      </c>
      <c r="D489">
        <v>45</v>
      </c>
      <c r="E489" s="6">
        <v>0.15</v>
      </c>
      <c r="F489" t="str">
        <f>_xlfn.XLOOKUP(northwind_order_details[[#This Row],[order_id]],northwind_orders[order_id],northwind_orders[ship_country])</f>
        <v>USA</v>
      </c>
      <c r="G489">
        <f>INDEX(northwind_orders[],MATCH(northwind_order_details[[#This Row],[order_id]], northwind_orders[order_id], 0), MATCH("employee_id", northwind_orders[#Headers], 0))</f>
        <v>4</v>
      </c>
      <c r="H489">
        <f>northwind_order_details[[#This Row],[unit_price]]*northwind_order_details[[#This Row],[quantity]]</f>
        <v>684</v>
      </c>
      <c r="I489" s="1">
        <f>northwind_order_details[[#This Row],[purchase amount]]*northwind_order_details[[#This Row],[discount]]</f>
        <v>102.6</v>
      </c>
      <c r="J489" s="1">
        <f>northwind_order_details[[#This Row],[purchase amount]]-northwind_order_details[[#This Row],[discount amount]]</f>
        <v>581.4</v>
      </c>
      <c r="K489" s="6" t="str">
        <f>IF(northwind_order_details[[#This Row],[discount amount]]&gt;0,"Yes","No")</f>
        <v>Yes</v>
      </c>
      <c r="L489" s="1" t="str">
        <f>IF(northwind_order_details[[#This Row],[Revenue]]&gt;1000,"High",IF(northwind_order_details[[#This Row],[Revenue]]&gt;300,"Medium","Low"))</f>
        <v>Medium</v>
      </c>
      <c r="M4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0" spans="1:13" x14ac:dyDescent="0.25">
      <c r="A490">
        <v>10440</v>
      </c>
      <c r="B490">
        <v>16</v>
      </c>
      <c r="C490" s="6">
        <v>13.9</v>
      </c>
      <c r="D490">
        <v>49</v>
      </c>
      <c r="E490" s="6">
        <v>0.15</v>
      </c>
      <c r="F490" t="str">
        <f>_xlfn.XLOOKUP(northwind_order_details[[#This Row],[order_id]],northwind_orders[order_id],northwind_orders[ship_country])</f>
        <v>USA</v>
      </c>
      <c r="G490">
        <f>INDEX(northwind_orders[],MATCH(northwind_order_details[[#This Row],[order_id]], northwind_orders[order_id], 0), MATCH("employee_id", northwind_orders[#Headers], 0))</f>
        <v>4</v>
      </c>
      <c r="H490">
        <f>northwind_order_details[[#This Row],[unit_price]]*northwind_order_details[[#This Row],[quantity]]</f>
        <v>681.1</v>
      </c>
      <c r="I490" s="1">
        <f>northwind_order_details[[#This Row],[purchase amount]]*northwind_order_details[[#This Row],[discount]]</f>
        <v>102.16500000000001</v>
      </c>
      <c r="J490" s="1">
        <f>northwind_order_details[[#This Row],[purchase amount]]-northwind_order_details[[#This Row],[discount amount]]</f>
        <v>578.93500000000006</v>
      </c>
      <c r="K490" s="6" t="str">
        <f>IF(northwind_order_details[[#This Row],[discount amount]]&gt;0,"Yes","No")</f>
        <v>Yes</v>
      </c>
      <c r="L490" s="1" t="str">
        <f>IF(northwind_order_details[[#This Row],[Revenue]]&gt;1000,"High",IF(northwind_order_details[[#This Row],[Revenue]]&gt;300,"Medium","Low"))</f>
        <v>Medium</v>
      </c>
      <c r="M4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1" spans="1:13" x14ac:dyDescent="0.25">
      <c r="A491">
        <v>10440</v>
      </c>
      <c r="B491">
        <v>29</v>
      </c>
      <c r="C491" s="6" t="s">
        <v>15</v>
      </c>
      <c r="D491">
        <v>24</v>
      </c>
      <c r="E491" s="6">
        <v>0.15</v>
      </c>
      <c r="F491" t="str">
        <f>_xlfn.XLOOKUP(northwind_order_details[[#This Row],[order_id]],northwind_orders[order_id],northwind_orders[ship_country])</f>
        <v>USA</v>
      </c>
      <c r="G491">
        <f>INDEX(northwind_orders[],MATCH(northwind_order_details[[#This Row],[order_id]], northwind_orders[order_id], 0), MATCH("employee_id", northwind_orders[#Headers], 0))</f>
        <v>4</v>
      </c>
      <c r="H491">
        <f>northwind_order_details[[#This Row],[unit_price]]*northwind_order_details[[#This Row],[quantity]]</f>
        <v>2376</v>
      </c>
      <c r="I491" s="1">
        <f>northwind_order_details[[#This Row],[purchase amount]]*northwind_order_details[[#This Row],[discount]]</f>
        <v>356.4</v>
      </c>
      <c r="J491" s="1">
        <f>northwind_order_details[[#This Row],[purchase amount]]-northwind_order_details[[#This Row],[discount amount]]</f>
        <v>2019.6</v>
      </c>
      <c r="K491" s="6" t="str">
        <f>IF(northwind_order_details[[#This Row],[discount amount]]&gt;0,"Yes","No")</f>
        <v>Yes</v>
      </c>
      <c r="L491" s="1" t="str">
        <f>IF(northwind_order_details[[#This Row],[Revenue]]&gt;1000,"High",IF(northwind_order_details[[#This Row],[Revenue]]&gt;300,"Medium","Low"))</f>
        <v>High</v>
      </c>
      <c r="M4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2" spans="1:13" x14ac:dyDescent="0.25">
      <c r="A492">
        <v>10440</v>
      </c>
      <c r="B492">
        <v>61</v>
      </c>
      <c r="C492" s="6">
        <v>22.8</v>
      </c>
      <c r="D492">
        <v>90</v>
      </c>
      <c r="E492" s="6">
        <v>0.15</v>
      </c>
      <c r="F492" t="str">
        <f>_xlfn.XLOOKUP(northwind_order_details[[#This Row],[order_id]],northwind_orders[order_id],northwind_orders[ship_country])</f>
        <v>USA</v>
      </c>
      <c r="G492">
        <f>INDEX(northwind_orders[],MATCH(northwind_order_details[[#This Row],[order_id]], northwind_orders[order_id], 0), MATCH("employee_id", northwind_orders[#Headers], 0))</f>
        <v>4</v>
      </c>
      <c r="H492">
        <f>northwind_order_details[[#This Row],[unit_price]]*northwind_order_details[[#This Row],[quantity]]</f>
        <v>2052</v>
      </c>
      <c r="I492" s="1">
        <f>northwind_order_details[[#This Row],[purchase amount]]*northwind_order_details[[#This Row],[discount]]</f>
        <v>307.8</v>
      </c>
      <c r="J492" s="1">
        <f>northwind_order_details[[#This Row],[purchase amount]]-northwind_order_details[[#This Row],[discount amount]]</f>
        <v>1744.2</v>
      </c>
      <c r="K492" s="6" t="str">
        <f>IF(northwind_order_details[[#This Row],[discount amount]]&gt;0,"Yes","No")</f>
        <v>Yes</v>
      </c>
      <c r="L492" s="1" t="str">
        <f>IF(northwind_order_details[[#This Row],[Revenue]]&gt;1000,"High",IF(northwind_order_details[[#This Row],[Revenue]]&gt;300,"Medium","Low"))</f>
        <v>High</v>
      </c>
      <c r="M4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3" spans="1:13" x14ac:dyDescent="0.25">
      <c r="A493">
        <v>10441</v>
      </c>
      <c r="B493">
        <v>27</v>
      </c>
      <c r="C493" s="6">
        <v>35.1</v>
      </c>
      <c r="D493">
        <v>50</v>
      </c>
      <c r="E493" s="6" t="s">
        <v>6</v>
      </c>
      <c r="F493" t="str">
        <f>_xlfn.XLOOKUP(northwind_order_details[[#This Row],[order_id]],northwind_orders[order_id],northwind_orders[ship_country])</f>
        <v>USA</v>
      </c>
      <c r="G493">
        <f>INDEX(northwind_orders[],MATCH(northwind_order_details[[#This Row],[order_id]], northwind_orders[order_id], 0), MATCH("employee_id", northwind_orders[#Headers], 0))</f>
        <v>3</v>
      </c>
      <c r="H493">
        <f>northwind_order_details[[#This Row],[unit_price]]*northwind_order_details[[#This Row],[quantity]]</f>
        <v>1755</v>
      </c>
      <c r="I493" s="1">
        <f>northwind_order_details[[#This Row],[purchase amount]]*northwind_order_details[[#This Row],[discount]]</f>
        <v>0</v>
      </c>
      <c r="J493" s="1">
        <f>northwind_order_details[[#This Row],[purchase amount]]-northwind_order_details[[#This Row],[discount amount]]</f>
        <v>1755</v>
      </c>
      <c r="K493" s="6" t="str">
        <f>IF(northwind_order_details[[#This Row],[discount amount]]&gt;0,"Yes","No")</f>
        <v>No</v>
      </c>
      <c r="L493" s="1" t="str">
        <f>IF(northwind_order_details[[#This Row],[Revenue]]&gt;1000,"High",IF(northwind_order_details[[#This Row],[Revenue]]&gt;300,"Medium","Low"))</f>
        <v>High</v>
      </c>
      <c r="M4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4" spans="1:13" x14ac:dyDescent="0.25">
      <c r="A494">
        <v>10442</v>
      </c>
      <c r="B494">
        <v>11</v>
      </c>
      <c r="C494" s="6">
        <v>16.8</v>
      </c>
      <c r="D494">
        <v>30</v>
      </c>
      <c r="E494" s="6" t="s">
        <v>6</v>
      </c>
      <c r="F494" t="str">
        <f>_xlfn.XLOOKUP(northwind_order_details[[#This Row],[order_id]],northwind_orders[order_id],northwind_orders[ship_country])</f>
        <v>Austria</v>
      </c>
      <c r="G494">
        <f>INDEX(northwind_orders[],MATCH(northwind_order_details[[#This Row],[order_id]], northwind_orders[order_id], 0), MATCH("employee_id", northwind_orders[#Headers], 0))</f>
        <v>3</v>
      </c>
      <c r="H494">
        <f>northwind_order_details[[#This Row],[unit_price]]*northwind_order_details[[#This Row],[quantity]]</f>
        <v>504</v>
      </c>
      <c r="I494" s="1">
        <f>northwind_order_details[[#This Row],[purchase amount]]*northwind_order_details[[#This Row],[discount]]</f>
        <v>0</v>
      </c>
      <c r="J494" s="1">
        <f>northwind_order_details[[#This Row],[purchase amount]]-northwind_order_details[[#This Row],[discount amount]]</f>
        <v>504</v>
      </c>
      <c r="K494" s="6" t="str">
        <f>IF(northwind_order_details[[#This Row],[discount amount]]&gt;0,"Yes","No")</f>
        <v>No</v>
      </c>
      <c r="L494" s="1" t="str">
        <f>IF(northwind_order_details[[#This Row],[Revenue]]&gt;1000,"High",IF(northwind_order_details[[#This Row],[Revenue]]&gt;300,"Medium","Low"))</f>
        <v>Medium</v>
      </c>
      <c r="M4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5" spans="1:13" x14ac:dyDescent="0.25">
      <c r="A495">
        <v>10442</v>
      </c>
      <c r="B495">
        <v>54</v>
      </c>
      <c r="C495" s="6">
        <v>5.9</v>
      </c>
      <c r="D495">
        <v>80</v>
      </c>
      <c r="E495" s="6" t="s">
        <v>6</v>
      </c>
      <c r="F495" t="str">
        <f>_xlfn.XLOOKUP(northwind_order_details[[#This Row],[order_id]],northwind_orders[order_id],northwind_orders[ship_country])</f>
        <v>Austria</v>
      </c>
      <c r="G495">
        <f>INDEX(northwind_orders[],MATCH(northwind_order_details[[#This Row],[order_id]], northwind_orders[order_id], 0), MATCH("employee_id", northwind_orders[#Headers], 0))</f>
        <v>3</v>
      </c>
      <c r="H495">
        <f>northwind_order_details[[#This Row],[unit_price]]*northwind_order_details[[#This Row],[quantity]]</f>
        <v>472</v>
      </c>
      <c r="I495" s="1">
        <f>northwind_order_details[[#This Row],[purchase amount]]*northwind_order_details[[#This Row],[discount]]</f>
        <v>0</v>
      </c>
      <c r="J495" s="1">
        <f>northwind_order_details[[#This Row],[purchase amount]]-northwind_order_details[[#This Row],[discount amount]]</f>
        <v>472</v>
      </c>
      <c r="K495" s="6" t="str">
        <f>IF(northwind_order_details[[#This Row],[discount amount]]&gt;0,"Yes","No")</f>
        <v>No</v>
      </c>
      <c r="L495" s="1" t="str">
        <f>IF(northwind_order_details[[#This Row],[Revenue]]&gt;1000,"High",IF(northwind_order_details[[#This Row],[Revenue]]&gt;300,"Medium","Low"))</f>
        <v>Medium</v>
      </c>
      <c r="M4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6" spans="1:13" x14ac:dyDescent="0.25">
      <c r="A496">
        <v>10442</v>
      </c>
      <c r="B496">
        <v>66</v>
      </c>
      <c r="C496" s="6">
        <v>13.6</v>
      </c>
      <c r="D496">
        <v>60</v>
      </c>
      <c r="E496" s="6" t="s">
        <v>6</v>
      </c>
      <c r="F496" t="str">
        <f>_xlfn.XLOOKUP(northwind_order_details[[#This Row],[order_id]],northwind_orders[order_id],northwind_orders[ship_country])</f>
        <v>Austria</v>
      </c>
      <c r="G496">
        <f>INDEX(northwind_orders[],MATCH(northwind_order_details[[#This Row],[order_id]], northwind_orders[order_id], 0), MATCH("employee_id", northwind_orders[#Headers], 0))</f>
        <v>3</v>
      </c>
      <c r="H496">
        <f>northwind_order_details[[#This Row],[unit_price]]*northwind_order_details[[#This Row],[quantity]]</f>
        <v>816</v>
      </c>
      <c r="I496" s="1">
        <f>northwind_order_details[[#This Row],[purchase amount]]*northwind_order_details[[#This Row],[discount]]</f>
        <v>0</v>
      </c>
      <c r="J496" s="1">
        <f>northwind_order_details[[#This Row],[purchase amount]]-northwind_order_details[[#This Row],[discount amount]]</f>
        <v>816</v>
      </c>
      <c r="K496" s="6" t="str">
        <f>IF(northwind_order_details[[#This Row],[discount amount]]&gt;0,"Yes","No")</f>
        <v>No</v>
      </c>
      <c r="L496" s="1" t="str">
        <f>IF(northwind_order_details[[#This Row],[Revenue]]&gt;1000,"High",IF(northwind_order_details[[#This Row],[Revenue]]&gt;300,"Medium","Low"))</f>
        <v>Medium</v>
      </c>
      <c r="M4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7" spans="1:13" x14ac:dyDescent="0.25">
      <c r="A497">
        <v>10443</v>
      </c>
      <c r="B497">
        <v>11</v>
      </c>
      <c r="C497" s="6">
        <v>16.8</v>
      </c>
      <c r="D497">
        <v>6</v>
      </c>
      <c r="E497" s="6">
        <v>0.2</v>
      </c>
      <c r="F497" t="str">
        <f>_xlfn.XLOOKUP(northwind_order_details[[#This Row],[order_id]],northwind_orders[order_id],northwind_orders[ship_country])</f>
        <v>Italy</v>
      </c>
      <c r="G497">
        <f>INDEX(northwind_orders[],MATCH(northwind_order_details[[#This Row],[order_id]], northwind_orders[order_id], 0), MATCH("employee_id", northwind_orders[#Headers], 0))</f>
        <v>8</v>
      </c>
      <c r="H497">
        <f>northwind_order_details[[#This Row],[unit_price]]*northwind_order_details[[#This Row],[quantity]]</f>
        <v>100.80000000000001</v>
      </c>
      <c r="I497" s="1">
        <f>northwind_order_details[[#This Row],[purchase amount]]*northwind_order_details[[#This Row],[discount]]</f>
        <v>20.160000000000004</v>
      </c>
      <c r="J497" s="1">
        <f>northwind_order_details[[#This Row],[purchase amount]]-northwind_order_details[[#This Row],[discount amount]]</f>
        <v>80.640000000000015</v>
      </c>
      <c r="K497" s="6" t="str">
        <f>IF(northwind_order_details[[#This Row],[discount amount]]&gt;0,"Yes","No")</f>
        <v>Yes</v>
      </c>
      <c r="L497" s="1" t="str">
        <f>IF(northwind_order_details[[#This Row],[Revenue]]&gt;1000,"High",IF(northwind_order_details[[#This Row],[Revenue]]&gt;300,"Medium","Low"))</f>
        <v>Low</v>
      </c>
      <c r="M4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8" spans="1:13" x14ac:dyDescent="0.25">
      <c r="A498">
        <v>10443</v>
      </c>
      <c r="B498">
        <v>28</v>
      </c>
      <c r="C498" s="6">
        <v>36.4</v>
      </c>
      <c r="D498">
        <v>12</v>
      </c>
      <c r="E498" s="6" t="s">
        <v>6</v>
      </c>
      <c r="F498" t="str">
        <f>_xlfn.XLOOKUP(northwind_order_details[[#This Row],[order_id]],northwind_orders[order_id],northwind_orders[ship_country])</f>
        <v>Italy</v>
      </c>
      <c r="G498">
        <f>INDEX(northwind_orders[],MATCH(northwind_order_details[[#This Row],[order_id]], northwind_orders[order_id], 0), MATCH("employee_id", northwind_orders[#Headers], 0))</f>
        <v>8</v>
      </c>
      <c r="H498">
        <f>northwind_order_details[[#This Row],[unit_price]]*northwind_order_details[[#This Row],[quantity]]</f>
        <v>436.79999999999995</v>
      </c>
      <c r="I498" s="1">
        <f>northwind_order_details[[#This Row],[purchase amount]]*northwind_order_details[[#This Row],[discount]]</f>
        <v>0</v>
      </c>
      <c r="J498" s="1">
        <f>northwind_order_details[[#This Row],[purchase amount]]-northwind_order_details[[#This Row],[discount amount]]</f>
        <v>436.79999999999995</v>
      </c>
      <c r="K498" s="6" t="str">
        <f>IF(northwind_order_details[[#This Row],[discount amount]]&gt;0,"Yes","No")</f>
        <v>No</v>
      </c>
      <c r="L498" s="1" t="str">
        <f>IF(northwind_order_details[[#This Row],[Revenue]]&gt;1000,"High",IF(northwind_order_details[[#This Row],[Revenue]]&gt;300,"Medium","Low"))</f>
        <v>Medium</v>
      </c>
      <c r="M4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499" spans="1:13" x14ac:dyDescent="0.25">
      <c r="A499">
        <v>10444</v>
      </c>
      <c r="B499">
        <v>17</v>
      </c>
      <c r="C499" s="6">
        <v>31.2</v>
      </c>
      <c r="D499">
        <v>10</v>
      </c>
      <c r="E499" s="6" t="s">
        <v>6</v>
      </c>
      <c r="F499" t="str">
        <f>_xlfn.XLOOKUP(northwind_order_details[[#This Row],[order_id]],northwind_orders[order_id],northwind_orders[ship_country])</f>
        <v>Sweden</v>
      </c>
      <c r="G499">
        <f>INDEX(northwind_orders[],MATCH(northwind_order_details[[#This Row],[order_id]], northwind_orders[order_id], 0), MATCH("employee_id", northwind_orders[#Headers], 0))</f>
        <v>3</v>
      </c>
      <c r="H499">
        <f>northwind_order_details[[#This Row],[unit_price]]*northwind_order_details[[#This Row],[quantity]]</f>
        <v>312</v>
      </c>
      <c r="I499" s="1">
        <f>northwind_order_details[[#This Row],[purchase amount]]*northwind_order_details[[#This Row],[discount]]</f>
        <v>0</v>
      </c>
      <c r="J499" s="1">
        <f>northwind_order_details[[#This Row],[purchase amount]]-northwind_order_details[[#This Row],[discount amount]]</f>
        <v>312</v>
      </c>
      <c r="K499" s="6" t="str">
        <f>IF(northwind_order_details[[#This Row],[discount amount]]&gt;0,"Yes","No")</f>
        <v>No</v>
      </c>
      <c r="L499" s="1" t="str">
        <f>IF(northwind_order_details[[#This Row],[Revenue]]&gt;1000,"High",IF(northwind_order_details[[#This Row],[Revenue]]&gt;300,"Medium","Low"))</f>
        <v>Medium</v>
      </c>
      <c r="M4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0" spans="1:13" x14ac:dyDescent="0.25">
      <c r="A500">
        <v>10444</v>
      </c>
      <c r="B500">
        <v>26</v>
      </c>
      <c r="C500" s="6">
        <v>24.9</v>
      </c>
      <c r="D500">
        <v>15</v>
      </c>
      <c r="E500" s="6" t="s">
        <v>6</v>
      </c>
      <c r="F500" t="str">
        <f>_xlfn.XLOOKUP(northwind_order_details[[#This Row],[order_id]],northwind_orders[order_id],northwind_orders[ship_country])</f>
        <v>Sweden</v>
      </c>
      <c r="G500">
        <f>INDEX(northwind_orders[],MATCH(northwind_order_details[[#This Row],[order_id]], northwind_orders[order_id], 0), MATCH("employee_id", northwind_orders[#Headers], 0))</f>
        <v>3</v>
      </c>
      <c r="H500">
        <f>northwind_order_details[[#This Row],[unit_price]]*northwind_order_details[[#This Row],[quantity]]</f>
        <v>373.5</v>
      </c>
      <c r="I500" s="1">
        <f>northwind_order_details[[#This Row],[purchase amount]]*northwind_order_details[[#This Row],[discount]]</f>
        <v>0</v>
      </c>
      <c r="J500" s="1">
        <f>northwind_order_details[[#This Row],[purchase amount]]-northwind_order_details[[#This Row],[discount amount]]</f>
        <v>373.5</v>
      </c>
      <c r="K500" s="6" t="str">
        <f>IF(northwind_order_details[[#This Row],[discount amount]]&gt;0,"Yes","No")</f>
        <v>No</v>
      </c>
      <c r="L500" s="1" t="str">
        <f>IF(northwind_order_details[[#This Row],[Revenue]]&gt;1000,"High",IF(northwind_order_details[[#This Row],[Revenue]]&gt;300,"Medium","Low"))</f>
        <v>Medium</v>
      </c>
      <c r="M5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1" spans="1:13" x14ac:dyDescent="0.25">
      <c r="A501">
        <v>10444</v>
      </c>
      <c r="B501">
        <v>35</v>
      </c>
      <c r="C501" s="6">
        <v>14.4</v>
      </c>
      <c r="D501">
        <v>8</v>
      </c>
      <c r="E501" s="6" t="s">
        <v>6</v>
      </c>
      <c r="F501" t="str">
        <f>_xlfn.XLOOKUP(northwind_order_details[[#This Row],[order_id]],northwind_orders[order_id],northwind_orders[ship_country])</f>
        <v>Sweden</v>
      </c>
      <c r="G501">
        <f>INDEX(northwind_orders[],MATCH(northwind_order_details[[#This Row],[order_id]], northwind_orders[order_id], 0), MATCH("employee_id", northwind_orders[#Headers], 0))</f>
        <v>3</v>
      </c>
      <c r="H501">
        <f>northwind_order_details[[#This Row],[unit_price]]*northwind_order_details[[#This Row],[quantity]]</f>
        <v>115.2</v>
      </c>
      <c r="I501" s="1">
        <f>northwind_order_details[[#This Row],[purchase amount]]*northwind_order_details[[#This Row],[discount]]</f>
        <v>0</v>
      </c>
      <c r="J501" s="1">
        <f>northwind_order_details[[#This Row],[purchase amount]]-northwind_order_details[[#This Row],[discount amount]]</f>
        <v>115.2</v>
      </c>
      <c r="K501" s="6" t="str">
        <f>IF(northwind_order_details[[#This Row],[discount amount]]&gt;0,"Yes","No")</f>
        <v>No</v>
      </c>
      <c r="L501" s="1" t="str">
        <f>IF(northwind_order_details[[#This Row],[Revenue]]&gt;1000,"High",IF(northwind_order_details[[#This Row],[Revenue]]&gt;300,"Medium","Low"))</f>
        <v>Low</v>
      </c>
      <c r="M5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2" spans="1:13" x14ac:dyDescent="0.25">
      <c r="A502">
        <v>10444</v>
      </c>
      <c r="B502">
        <v>41</v>
      </c>
      <c r="C502" s="6">
        <v>7.7</v>
      </c>
      <c r="D502">
        <v>30</v>
      </c>
      <c r="E502" s="6" t="s">
        <v>6</v>
      </c>
      <c r="F502" t="str">
        <f>_xlfn.XLOOKUP(northwind_order_details[[#This Row],[order_id]],northwind_orders[order_id],northwind_orders[ship_country])</f>
        <v>Sweden</v>
      </c>
      <c r="G502">
        <f>INDEX(northwind_orders[],MATCH(northwind_order_details[[#This Row],[order_id]], northwind_orders[order_id], 0), MATCH("employee_id", northwind_orders[#Headers], 0))</f>
        <v>3</v>
      </c>
      <c r="H502">
        <f>northwind_order_details[[#This Row],[unit_price]]*northwind_order_details[[#This Row],[quantity]]</f>
        <v>231</v>
      </c>
      <c r="I502" s="1">
        <f>northwind_order_details[[#This Row],[purchase amount]]*northwind_order_details[[#This Row],[discount]]</f>
        <v>0</v>
      </c>
      <c r="J502" s="1">
        <f>northwind_order_details[[#This Row],[purchase amount]]-northwind_order_details[[#This Row],[discount amount]]</f>
        <v>231</v>
      </c>
      <c r="K502" s="6" t="str">
        <f>IF(northwind_order_details[[#This Row],[discount amount]]&gt;0,"Yes","No")</f>
        <v>No</v>
      </c>
      <c r="L502" s="1" t="str">
        <f>IF(northwind_order_details[[#This Row],[Revenue]]&gt;1000,"High",IF(northwind_order_details[[#This Row],[Revenue]]&gt;300,"Medium","Low"))</f>
        <v>Low</v>
      </c>
      <c r="M5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3" spans="1:13" x14ac:dyDescent="0.25">
      <c r="A503">
        <v>10445</v>
      </c>
      <c r="B503">
        <v>39</v>
      </c>
      <c r="C503" s="6">
        <v>14.4</v>
      </c>
      <c r="D503">
        <v>6</v>
      </c>
      <c r="E503" s="6" t="s">
        <v>6</v>
      </c>
      <c r="F503" t="str">
        <f>_xlfn.XLOOKUP(northwind_order_details[[#This Row],[order_id]],northwind_orders[order_id],northwind_orders[ship_country])</f>
        <v>Sweden</v>
      </c>
      <c r="G503">
        <f>INDEX(northwind_orders[],MATCH(northwind_order_details[[#This Row],[order_id]], northwind_orders[order_id], 0), MATCH("employee_id", northwind_orders[#Headers], 0))</f>
        <v>3</v>
      </c>
      <c r="H503">
        <f>northwind_order_details[[#This Row],[unit_price]]*northwind_order_details[[#This Row],[quantity]]</f>
        <v>86.4</v>
      </c>
      <c r="I503" s="1">
        <f>northwind_order_details[[#This Row],[purchase amount]]*northwind_order_details[[#This Row],[discount]]</f>
        <v>0</v>
      </c>
      <c r="J503" s="1">
        <f>northwind_order_details[[#This Row],[purchase amount]]-northwind_order_details[[#This Row],[discount amount]]</f>
        <v>86.4</v>
      </c>
      <c r="K503" s="6" t="str">
        <f>IF(northwind_order_details[[#This Row],[discount amount]]&gt;0,"Yes","No")</f>
        <v>No</v>
      </c>
      <c r="L503" s="1" t="str">
        <f>IF(northwind_order_details[[#This Row],[Revenue]]&gt;1000,"High",IF(northwind_order_details[[#This Row],[Revenue]]&gt;300,"Medium","Low"))</f>
        <v>Low</v>
      </c>
      <c r="M5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4" spans="1:13" x14ac:dyDescent="0.25">
      <c r="A504">
        <v>10445</v>
      </c>
      <c r="B504">
        <v>54</v>
      </c>
      <c r="C504" s="6">
        <v>5.9</v>
      </c>
      <c r="D504">
        <v>15</v>
      </c>
      <c r="E504" s="6" t="s">
        <v>6</v>
      </c>
      <c r="F504" t="str">
        <f>_xlfn.XLOOKUP(northwind_order_details[[#This Row],[order_id]],northwind_orders[order_id],northwind_orders[ship_country])</f>
        <v>Sweden</v>
      </c>
      <c r="G504">
        <f>INDEX(northwind_orders[],MATCH(northwind_order_details[[#This Row],[order_id]], northwind_orders[order_id], 0), MATCH("employee_id", northwind_orders[#Headers], 0))</f>
        <v>3</v>
      </c>
      <c r="H504">
        <f>northwind_order_details[[#This Row],[unit_price]]*northwind_order_details[[#This Row],[quantity]]</f>
        <v>88.5</v>
      </c>
      <c r="I504" s="1">
        <f>northwind_order_details[[#This Row],[purchase amount]]*northwind_order_details[[#This Row],[discount]]</f>
        <v>0</v>
      </c>
      <c r="J504" s="1">
        <f>northwind_order_details[[#This Row],[purchase amount]]-northwind_order_details[[#This Row],[discount amount]]</f>
        <v>88.5</v>
      </c>
      <c r="K504" s="6" t="str">
        <f>IF(northwind_order_details[[#This Row],[discount amount]]&gt;0,"Yes","No")</f>
        <v>No</v>
      </c>
      <c r="L504" s="1" t="str">
        <f>IF(northwind_order_details[[#This Row],[Revenue]]&gt;1000,"High",IF(northwind_order_details[[#This Row],[Revenue]]&gt;300,"Medium","Low"))</f>
        <v>Low</v>
      </c>
      <c r="M5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5" spans="1:13" x14ac:dyDescent="0.25">
      <c r="A505">
        <v>10446</v>
      </c>
      <c r="B505">
        <v>19</v>
      </c>
      <c r="C505" s="6">
        <v>7.3</v>
      </c>
      <c r="D505">
        <v>12</v>
      </c>
      <c r="E505" s="6">
        <v>0.1</v>
      </c>
      <c r="F505" t="str">
        <f>_xlfn.XLOOKUP(northwind_order_details[[#This Row],[order_id]],northwind_orders[order_id],northwind_orders[ship_country])</f>
        <v>Germany</v>
      </c>
      <c r="G505">
        <f>INDEX(northwind_orders[],MATCH(northwind_order_details[[#This Row],[order_id]], northwind_orders[order_id], 0), MATCH("employee_id", northwind_orders[#Headers], 0))</f>
        <v>6</v>
      </c>
      <c r="H505">
        <f>northwind_order_details[[#This Row],[unit_price]]*northwind_order_details[[#This Row],[quantity]]</f>
        <v>87.6</v>
      </c>
      <c r="I505" s="1">
        <f>northwind_order_details[[#This Row],[purchase amount]]*northwind_order_details[[#This Row],[discount]]</f>
        <v>8.76</v>
      </c>
      <c r="J505" s="1">
        <f>northwind_order_details[[#This Row],[purchase amount]]-northwind_order_details[[#This Row],[discount amount]]</f>
        <v>78.839999999999989</v>
      </c>
      <c r="K505" s="6" t="str">
        <f>IF(northwind_order_details[[#This Row],[discount amount]]&gt;0,"Yes","No")</f>
        <v>Yes</v>
      </c>
      <c r="L505" s="1" t="str">
        <f>IF(northwind_order_details[[#This Row],[Revenue]]&gt;1000,"High",IF(northwind_order_details[[#This Row],[Revenue]]&gt;300,"Medium","Low"))</f>
        <v>Low</v>
      </c>
      <c r="M5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6" spans="1:13" x14ac:dyDescent="0.25">
      <c r="A506">
        <v>10446</v>
      </c>
      <c r="B506">
        <v>24</v>
      </c>
      <c r="C506" s="6">
        <v>3.6</v>
      </c>
      <c r="D506">
        <v>20</v>
      </c>
      <c r="E506" s="6">
        <v>0.1</v>
      </c>
      <c r="F506" t="str">
        <f>_xlfn.XLOOKUP(northwind_order_details[[#This Row],[order_id]],northwind_orders[order_id],northwind_orders[ship_country])</f>
        <v>Germany</v>
      </c>
      <c r="G506">
        <f>INDEX(northwind_orders[],MATCH(northwind_order_details[[#This Row],[order_id]], northwind_orders[order_id], 0), MATCH("employee_id", northwind_orders[#Headers], 0))</f>
        <v>6</v>
      </c>
      <c r="H506">
        <f>northwind_order_details[[#This Row],[unit_price]]*northwind_order_details[[#This Row],[quantity]]</f>
        <v>72</v>
      </c>
      <c r="I506" s="1">
        <f>northwind_order_details[[#This Row],[purchase amount]]*northwind_order_details[[#This Row],[discount]]</f>
        <v>7.2</v>
      </c>
      <c r="J506" s="1">
        <f>northwind_order_details[[#This Row],[purchase amount]]-northwind_order_details[[#This Row],[discount amount]]</f>
        <v>64.8</v>
      </c>
      <c r="K506" s="6" t="str">
        <f>IF(northwind_order_details[[#This Row],[discount amount]]&gt;0,"Yes","No")</f>
        <v>Yes</v>
      </c>
      <c r="L506" s="1" t="str">
        <f>IF(northwind_order_details[[#This Row],[Revenue]]&gt;1000,"High",IF(northwind_order_details[[#This Row],[Revenue]]&gt;300,"Medium","Low"))</f>
        <v>Low</v>
      </c>
      <c r="M5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7" spans="1:13" x14ac:dyDescent="0.25">
      <c r="A507">
        <v>10446</v>
      </c>
      <c r="B507">
        <v>31</v>
      </c>
      <c r="C507" s="6" t="s">
        <v>8</v>
      </c>
      <c r="D507">
        <v>3</v>
      </c>
      <c r="E507" s="6">
        <v>0.1</v>
      </c>
      <c r="F507" t="str">
        <f>_xlfn.XLOOKUP(northwind_order_details[[#This Row],[order_id]],northwind_orders[order_id],northwind_orders[ship_country])</f>
        <v>Germany</v>
      </c>
      <c r="G507">
        <f>INDEX(northwind_orders[],MATCH(northwind_order_details[[#This Row],[order_id]], northwind_orders[order_id], 0), MATCH("employee_id", northwind_orders[#Headers], 0))</f>
        <v>6</v>
      </c>
      <c r="H507">
        <f>northwind_order_details[[#This Row],[unit_price]]*northwind_order_details[[#This Row],[quantity]]</f>
        <v>30</v>
      </c>
      <c r="I507" s="1">
        <f>northwind_order_details[[#This Row],[purchase amount]]*northwind_order_details[[#This Row],[discount]]</f>
        <v>3</v>
      </c>
      <c r="J507" s="1">
        <f>northwind_order_details[[#This Row],[purchase amount]]-northwind_order_details[[#This Row],[discount amount]]</f>
        <v>27</v>
      </c>
      <c r="K507" s="6" t="str">
        <f>IF(northwind_order_details[[#This Row],[discount amount]]&gt;0,"Yes","No")</f>
        <v>Yes</v>
      </c>
      <c r="L507" s="1" t="str">
        <f>IF(northwind_order_details[[#This Row],[Revenue]]&gt;1000,"High",IF(northwind_order_details[[#This Row],[Revenue]]&gt;300,"Medium","Low"))</f>
        <v>Low</v>
      </c>
      <c r="M5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8" spans="1:13" x14ac:dyDescent="0.25">
      <c r="A508">
        <v>10446</v>
      </c>
      <c r="B508">
        <v>52</v>
      </c>
      <c r="C508" s="6">
        <v>5.6</v>
      </c>
      <c r="D508">
        <v>15</v>
      </c>
      <c r="E508" s="6">
        <v>0.1</v>
      </c>
      <c r="F508" t="str">
        <f>_xlfn.XLOOKUP(northwind_order_details[[#This Row],[order_id]],northwind_orders[order_id],northwind_orders[ship_country])</f>
        <v>Germany</v>
      </c>
      <c r="G508">
        <f>INDEX(northwind_orders[],MATCH(northwind_order_details[[#This Row],[order_id]], northwind_orders[order_id], 0), MATCH("employee_id", northwind_orders[#Headers], 0))</f>
        <v>6</v>
      </c>
      <c r="H508">
        <f>northwind_order_details[[#This Row],[unit_price]]*northwind_order_details[[#This Row],[quantity]]</f>
        <v>84</v>
      </c>
      <c r="I508" s="1">
        <f>northwind_order_details[[#This Row],[purchase amount]]*northwind_order_details[[#This Row],[discount]]</f>
        <v>8.4</v>
      </c>
      <c r="J508" s="1">
        <f>northwind_order_details[[#This Row],[purchase amount]]-northwind_order_details[[#This Row],[discount amount]]</f>
        <v>75.599999999999994</v>
      </c>
      <c r="K508" s="6" t="str">
        <f>IF(northwind_order_details[[#This Row],[discount amount]]&gt;0,"Yes","No")</f>
        <v>Yes</v>
      </c>
      <c r="L508" s="1" t="str">
        <f>IF(northwind_order_details[[#This Row],[Revenue]]&gt;1000,"High",IF(northwind_order_details[[#This Row],[Revenue]]&gt;300,"Medium","Low"))</f>
        <v>Low</v>
      </c>
      <c r="M5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09" spans="1:13" x14ac:dyDescent="0.25">
      <c r="A509">
        <v>10447</v>
      </c>
      <c r="B509">
        <v>19</v>
      </c>
      <c r="C509" s="6">
        <v>7.3</v>
      </c>
      <c r="D509">
        <v>40</v>
      </c>
      <c r="E509" s="6" t="s">
        <v>6</v>
      </c>
      <c r="F509" t="str">
        <f>_xlfn.XLOOKUP(northwind_order_details[[#This Row],[order_id]],northwind_orders[order_id],northwind_orders[ship_country])</f>
        <v>Brazil</v>
      </c>
      <c r="G509">
        <f>INDEX(northwind_orders[],MATCH(northwind_order_details[[#This Row],[order_id]], northwind_orders[order_id], 0), MATCH("employee_id", northwind_orders[#Headers], 0))</f>
        <v>4</v>
      </c>
      <c r="H509">
        <f>northwind_order_details[[#This Row],[unit_price]]*northwind_order_details[[#This Row],[quantity]]</f>
        <v>292</v>
      </c>
      <c r="I509" s="1">
        <f>northwind_order_details[[#This Row],[purchase amount]]*northwind_order_details[[#This Row],[discount]]</f>
        <v>0</v>
      </c>
      <c r="J509" s="1">
        <f>northwind_order_details[[#This Row],[purchase amount]]-northwind_order_details[[#This Row],[discount amount]]</f>
        <v>292</v>
      </c>
      <c r="K509" s="6" t="str">
        <f>IF(northwind_order_details[[#This Row],[discount amount]]&gt;0,"Yes","No")</f>
        <v>No</v>
      </c>
      <c r="L509" s="1" t="str">
        <f>IF(northwind_order_details[[#This Row],[Revenue]]&gt;1000,"High",IF(northwind_order_details[[#This Row],[Revenue]]&gt;300,"Medium","Low"))</f>
        <v>Low</v>
      </c>
      <c r="M5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0" spans="1:13" x14ac:dyDescent="0.25">
      <c r="A510">
        <v>10447</v>
      </c>
      <c r="B510">
        <v>65</v>
      </c>
      <c r="C510" s="6">
        <v>16.8</v>
      </c>
      <c r="D510">
        <v>35</v>
      </c>
      <c r="E510" s="6" t="s">
        <v>6</v>
      </c>
      <c r="F510" t="str">
        <f>_xlfn.XLOOKUP(northwind_order_details[[#This Row],[order_id]],northwind_orders[order_id],northwind_orders[ship_country])</f>
        <v>Brazil</v>
      </c>
      <c r="G510">
        <f>INDEX(northwind_orders[],MATCH(northwind_order_details[[#This Row],[order_id]], northwind_orders[order_id], 0), MATCH("employee_id", northwind_orders[#Headers], 0))</f>
        <v>4</v>
      </c>
      <c r="H510">
        <f>northwind_order_details[[#This Row],[unit_price]]*northwind_order_details[[#This Row],[quantity]]</f>
        <v>588</v>
      </c>
      <c r="I510" s="1">
        <f>northwind_order_details[[#This Row],[purchase amount]]*northwind_order_details[[#This Row],[discount]]</f>
        <v>0</v>
      </c>
      <c r="J510" s="1">
        <f>northwind_order_details[[#This Row],[purchase amount]]-northwind_order_details[[#This Row],[discount amount]]</f>
        <v>588</v>
      </c>
      <c r="K510" s="6" t="str">
        <f>IF(northwind_order_details[[#This Row],[discount amount]]&gt;0,"Yes","No")</f>
        <v>No</v>
      </c>
      <c r="L510" s="1" t="str">
        <f>IF(northwind_order_details[[#This Row],[Revenue]]&gt;1000,"High",IF(northwind_order_details[[#This Row],[Revenue]]&gt;300,"Medium","Low"))</f>
        <v>Medium</v>
      </c>
      <c r="M5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1" spans="1:13" x14ac:dyDescent="0.25">
      <c r="A511">
        <v>10447</v>
      </c>
      <c r="B511">
        <v>71</v>
      </c>
      <c r="C511" s="6">
        <v>17.2</v>
      </c>
      <c r="D511">
        <v>2</v>
      </c>
      <c r="E511" s="6" t="s">
        <v>6</v>
      </c>
      <c r="F511" t="str">
        <f>_xlfn.XLOOKUP(northwind_order_details[[#This Row],[order_id]],northwind_orders[order_id],northwind_orders[ship_country])</f>
        <v>Brazil</v>
      </c>
      <c r="G511">
        <f>INDEX(northwind_orders[],MATCH(northwind_order_details[[#This Row],[order_id]], northwind_orders[order_id], 0), MATCH("employee_id", northwind_orders[#Headers], 0))</f>
        <v>4</v>
      </c>
      <c r="H511">
        <f>northwind_order_details[[#This Row],[unit_price]]*northwind_order_details[[#This Row],[quantity]]</f>
        <v>34.4</v>
      </c>
      <c r="I511" s="1">
        <f>northwind_order_details[[#This Row],[purchase amount]]*northwind_order_details[[#This Row],[discount]]</f>
        <v>0</v>
      </c>
      <c r="J511" s="1">
        <f>northwind_order_details[[#This Row],[purchase amount]]-northwind_order_details[[#This Row],[discount amount]]</f>
        <v>34.4</v>
      </c>
      <c r="K511" s="6" t="str">
        <f>IF(northwind_order_details[[#This Row],[discount amount]]&gt;0,"Yes","No")</f>
        <v>No</v>
      </c>
      <c r="L511" s="1" t="str">
        <f>IF(northwind_order_details[[#This Row],[Revenue]]&gt;1000,"High",IF(northwind_order_details[[#This Row],[Revenue]]&gt;300,"Medium","Low"))</f>
        <v>Low</v>
      </c>
      <c r="M5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2" spans="1:13" x14ac:dyDescent="0.25">
      <c r="A512">
        <v>10448</v>
      </c>
      <c r="B512">
        <v>26</v>
      </c>
      <c r="C512" s="6">
        <v>24.9</v>
      </c>
      <c r="D512">
        <v>6</v>
      </c>
      <c r="E512" s="6" t="s">
        <v>6</v>
      </c>
      <c r="F512" t="str">
        <f>_xlfn.XLOOKUP(northwind_order_details[[#This Row],[order_id]],northwind_orders[order_id],northwind_orders[ship_country])</f>
        <v>Argentina</v>
      </c>
      <c r="G512">
        <f>INDEX(northwind_orders[],MATCH(northwind_order_details[[#This Row],[order_id]], northwind_orders[order_id], 0), MATCH("employee_id", northwind_orders[#Headers], 0))</f>
        <v>4</v>
      </c>
      <c r="H512">
        <f>northwind_order_details[[#This Row],[unit_price]]*northwind_order_details[[#This Row],[quantity]]</f>
        <v>149.39999999999998</v>
      </c>
      <c r="I512" s="1">
        <f>northwind_order_details[[#This Row],[purchase amount]]*northwind_order_details[[#This Row],[discount]]</f>
        <v>0</v>
      </c>
      <c r="J512" s="1">
        <f>northwind_order_details[[#This Row],[purchase amount]]-northwind_order_details[[#This Row],[discount amount]]</f>
        <v>149.39999999999998</v>
      </c>
      <c r="K512" s="6" t="str">
        <f>IF(northwind_order_details[[#This Row],[discount amount]]&gt;0,"Yes","No")</f>
        <v>No</v>
      </c>
      <c r="L512" s="1" t="str">
        <f>IF(northwind_order_details[[#This Row],[Revenue]]&gt;1000,"High",IF(northwind_order_details[[#This Row],[Revenue]]&gt;300,"Medium","Low"))</f>
        <v>Low</v>
      </c>
      <c r="M5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3" spans="1:13" x14ac:dyDescent="0.25">
      <c r="A513">
        <v>10448</v>
      </c>
      <c r="B513">
        <v>40</v>
      </c>
      <c r="C513" s="6">
        <v>14.7</v>
      </c>
      <c r="D513">
        <v>20</v>
      </c>
      <c r="E513" s="6" t="s">
        <v>6</v>
      </c>
      <c r="F513" t="str">
        <f>_xlfn.XLOOKUP(northwind_order_details[[#This Row],[order_id]],northwind_orders[order_id],northwind_orders[ship_country])</f>
        <v>Argentina</v>
      </c>
      <c r="G513">
        <f>INDEX(northwind_orders[],MATCH(northwind_order_details[[#This Row],[order_id]], northwind_orders[order_id], 0), MATCH("employee_id", northwind_orders[#Headers], 0))</f>
        <v>4</v>
      </c>
      <c r="H513">
        <f>northwind_order_details[[#This Row],[unit_price]]*northwind_order_details[[#This Row],[quantity]]</f>
        <v>294</v>
      </c>
      <c r="I513" s="1">
        <f>northwind_order_details[[#This Row],[purchase amount]]*northwind_order_details[[#This Row],[discount]]</f>
        <v>0</v>
      </c>
      <c r="J513" s="1">
        <f>northwind_order_details[[#This Row],[purchase amount]]-northwind_order_details[[#This Row],[discount amount]]</f>
        <v>294</v>
      </c>
      <c r="K513" s="6" t="str">
        <f>IF(northwind_order_details[[#This Row],[discount amount]]&gt;0,"Yes","No")</f>
        <v>No</v>
      </c>
      <c r="L513" s="1" t="str">
        <f>IF(northwind_order_details[[#This Row],[Revenue]]&gt;1000,"High",IF(northwind_order_details[[#This Row],[Revenue]]&gt;300,"Medium","Low"))</f>
        <v>Low</v>
      </c>
      <c r="M5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4" spans="1:13" x14ac:dyDescent="0.25">
      <c r="A514">
        <v>10449</v>
      </c>
      <c r="B514">
        <v>10</v>
      </c>
      <c r="C514" s="6">
        <v>24.8</v>
      </c>
      <c r="D514">
        <v>14</v>
      </c>
      <c r="E514" s="6" t="s">
        <v>6</v>
      </c>
      <c r="F514" t="str">
        <f>_xlfn.XLOOKUP(northwind_order_details[[#This Row],[order_id]],northwind_orders[order_id],northwind_orders[ship_country])</f>
        <v>France</v>
      </c>
      <c r="G514">
        <f>INDEX(northwind_orders[],MATCH(northwind_order_details[[#This Row],[order_id]], northwind_orders[order_id], 0), MATCH("employee_id", northwind_orders[#Headers], 0))</f>
        <v>3</v>
      </c>
      <c r="H514">
        <f>northwind_order_details[[#This Row],[unit_price]]*northwind_order_details[[#This Row],[quantity]]</f>
        <v>347.2</v>
      </c>
      <c r="I514" s="1">
        <f>northwind_order_details[[#This Row],[purchase amount]]*northwind_order_details[[#This Row],[discount]]</f>
        <v>0</v>
      </c>
      <c r="J514" s="1">
        <f>northwind_order_details[[#This Row],[purchase amount]]-northwind_order_details[[#This Row],[discount amount]]</f>
        <v>347.2</v>
      </c>
      <c r="K514" s="6" t="str">
        <f>IF(northwind_order_details[[#This Row],[discount amount]]&gt;0,"Yes","No")</f>
        <v>No</v>
      </c>
      <c r="L514" s="1" t="str">
        <f>IF(northwind_order_details[[#This Row],[Revenue]]&gt;1000,"High",IF(northwind_order_details[[#This Row],[Revenue]]&gt;300,"Medium","Low"))</f>
        <v>Medium</v>
      </c>
      <c r="M5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5" spans="1:13" x14ac:dyDescent="0.25">
      <c r="A515">
        <v>10449</v>
      </c>
      <c r="B515">
        <v>52</v>
      </c>
      <c r="C515" s="6">
        <v>5.6</v>
      </c>
      <c r="D515">
        <v>20</v>
      </c>
      <c r="E515" s="6" t="s">
        <v>6</v>
      </c>
      <c r="F515" t="str">
        <f>_xlfn.XLOOKUP(northwind_order_details[[#This Row],[order_id]],northwind_orders[order_id],northwind_orders[ship_country])</f>
        <v>France</v>
      </c>
      <c r="G515">
        <f>INDEX(northwind_orders[],MATCH(northwind_order_details[[#This Row],[order_id]], northwind_orders[order_id], 0), MATCH("employee_id", northwind_orders[#Headers], 0))</f>
        <v>3</v>
      </c>
      <c r="H515">
        <f>northwind_order_details[[#This Row],[unit_price]]*northwind_order_details[[#This Row],[quantity]]</f>
        <v>112</v>
      </c>
      <c r="I515" s="1">
        <f>northwind_order_details[[#This Row],[purchase amount]]*northwind_order_details[[#This Row],[discount]]</f>
        <v>0</v>
      </c>
      <c r="J515" s="1">
        <f>northwind_order_details[[#This Row],[purchase amount]]-northwind_order_details[[#This Row],[discount amount]]</f>
        <v>112</v>
      </c>
      <c r="K515" s="6" t="str">
        <f>IF(northwind_order_details[[#This Row],[discount amount]]&gt;0,"Yes","No")</f>
        <v>No</v>
      </c>
      <c r="L515" s="1" t="str">
        <f>IF(northwind_order_details[[#This Row],[Revenue]]&gt;1000,"High",IF(northwind_order_details[[#This Row],[Revenue]]&gt;300,"Medium","Low"))</f>
        <v>Low</v>
      </c>
      <c r="M5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6" spans="1:13" x14ac:dyDescent="0.25">
      <c r="A516">
        <v>10449</v>
      </c>
      <c r="B516">
        <v>62</v>
      </c>
      <c r="C516" s="6">
        <v>39.4</v>
      </c>
      <c r="D516">
        <v>35</v>
      </c>
      <c r="E516" s="6" t="s">
        <v>6</v>
      </c>
      <c r="F516" t="str">
        <f>_xlfn.XLOOKUP(northwind_order_details[[#This Row],[order_id]],northwind_orders[order_id],northwind_orders[ship_country])</f>
        <v>France</v>
      </c>
      <c r="G516">
        <f>INDEX(northwind_orders[],MATCH(northwind_order_details[[#This Row],[order_id]], northwind_orders[order_id], 0), MATCH("employee_id", northwind_orders[#Headers], 0))</f>
        <v>3</v>
      </c>
      <c r="H516">
        <f>northwind_order_details[[#This Row],[unit_price]]*northwind_order_details[[#This Row],[quantity]]</f>
        <v>1379</v>
      </c>
      <c r="I516" s="1">
        <f>northwind_order_details[[#This Row],[purchase amount]]*northwind_order_details[[#This Row],[discount]]</f>
        <v>0</v>
      </c>
      <c r="J516" s="1">
        <f>northwind_order_details[[#This Row],[purchase amount]]-northwind_order_details[[#This Row],[discount amount]]</f>
        <v>1379</v>
      </c>
      <c r="K516" s="6" t="str">
        <f>IF(northwind_order_details[[#This Row],[discount amount]]&gt;0,"Yes","No")</f>
        <v>No</v>
      </c>
      <c r="L516" s="1" t="str">
        <f>IF(northwind_order_details[[#This Row],[Revenue]]&gt;1000,"High",IF(northwind_order_details[[#This Row],[Revenue]]&gt;300,"Medium","Low"))</f>
        <v>High</v>
      </c>
      <c r="M5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7" spans="1:13" x14ac:dyDescent="0.25">
      <c r="A517">
        <v>10450</v>
      </c>
      <c r="B517">
        <v>10</v>
      </c>
      <c r="C517" s="6">
        <v>24.8</v>
      </c>
      <c r="D517">
        <v>20</v>
      </c>
      <c r="E517" s="6">
        <v>0.2</v>
      </c>
      <c r="F517" t="str">
        <f>_xlfn.XLOOKUP(northwind_order_details[[#This Row],[order_id]],northwind_orders[order_id],northwind_orders[ship_country])</f>
        <v>France</v>
      </c>
      <c r="G517">
        <f>INDEX(northwind_orders[],MATCH(northwind_order_details[[#This Row],[order_id]], northwind_orders[order_id], 0), MATCH("employee_id", northwind_orders[#Headers], 0))</f>
        <v>8</v>
      </c>
      <c r="H517">
        <f>northwind_order_details[[#This Row],[unit_price]]*northwind_order_details[[#This Row],[quantity]]</f>
        <v>496</v>
      </c>
      <c r="I517" s="1">
        <f>northwind_order_details[[#This Row],[purchase amount]]*northwind_order_details[[#This Row],[discount]]</f>
        <v>99.2</v>
      </c>
      <c r="J517" s="1">
        <f>northwind_order_details[[#This Row],[purchase amount]]-northwind_order_details[[#This Row],[discount amount]]</f>
        <v>396.8</v>
      </c>
      <c r="K517" s="6" t="str">
        <f>IF(northwind_order_details[[#This Row],[discount amount]]&gt;0,"Yes","No")</f>
        <v>Yes</v>
      </c>
      <c r="L517" s="1" t="str">
        <f>IF(northwind_order_details[[#This Row],[Revenue]]&gt;1000,"High",IF(northwind_order_details[[#This Row],[Revenue]]&gt;300,"Medium","Low"))</f>
        <v>Medium</v>
      </c>
      <c r="M5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8" spans="1:13" x14ac:dyDescent="0.25">
      <c r="A518">
        <v>10450</v>
      </c>
      <c r="B518">
        <v>54</v>
      </c>
      <c r="C518" s="6">
        <v>5.9</v>
      </c>
      <c r="D518">
        <v>6</v>
      </c>
      <c r="E518" s="6">
        <v>0.2</v>
      </c>
      <c r="F518" t="str">
        <f>_xlfn.XLOOKUP(northwind_order_details[[#This Row],[order_id]],northwind_orders[order_id],northwind_orders[ship_country])</f>
        <v>France</v>
      </c>
      <c r="G518">
        <f>INDEX(northwind_orders[],MATCH(northwind_order_details[[#This Row],[order_id]], northwind_orders[order_id], 0), MATCH("employee_id", northwind_orders[#Headers], 0))</f>
        <v>8</v>
      </c>
      <c r="H518">
        <f>northwind_order_details[[#This Row],[unit_price]]*northwind_order_details[[#This Row],[quantity]]</f>
        <v>35.400000000000006</v>
      </c>
      <c r="I518" s="1">
        <f>northwind_order_details[[#This Row],[purchase amount]]*northwind_order_details[[#This Row],[discount]]</f>
        <v>7.0800000000000018</v>
      </c>
      <c r="J518" s="1">
        <f>northwind_order_details[[#This Row],[purchase amount]]-northwind_order_details[[#This Row],[discount amount]]</f>
        <v>28.320000000000004</v>
      </c>
      <c r="K518" s="6" t="str">
        <f>IF(northwind_order_details[[#This Row],[discount amount]]&gt;0,"Yes","No")</f>
        <v>Yes</v>
      </c>
      <c r="L518" s="1" t="str">
        <f>IF(northwind_order_details[[#This Row],[Revenue]]&gt;1000,"High",IF(northwind_order_details[[#This Row],[Revenue]]&gt;300,"Medium","Low"))</f>
        <v>Low</v>
      </c>
      <c r="M5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19" spans="1:13" x14ac:dyDescent="0.25">
      <c r="A519">
        <v>10451</v>
      </c>
      <c r="B519">
        <v>55</v>
      </c>
      <c r="C519" s="6">
        <v>19.2</v>
      </c>
      <c r="D519">
        <v>120</v>
      </c>
      <c r="E519" s="6">
        <v>0.1</v>
      </c>
      <c r="F519" t="str">
        <f>_xlfn.XLOOKUP(northwind_order_details[[#This Row],[order_id]],northwind_orders[order_id],northwind_orders[ship_country])</f>
        <v>Germany</v>
      </c>
      <c r="G519">
        <f>INDEX(northwind_orders[],MATCH(northwind_order_details[[#This Row],[order_id]], northwind_orders[order_id], 0), MATCH("employee_id", northwind_orders[#Headers], 0))</f>
        <v>4</v>
      </c>
      <c r="H519">
        <f>northwind_order_details[[#This Row],[unit_price]]*northwind_order_details[[#This Row],[quantity]]</f>
        <v>2304</v>
      </c>
      <c r="I519" s="1">
        <f>northwind_order_details[[#This Row],[purchase amount]]*northwind_order_details[[#This Row],[discount]]</f>
        <v>230.4</v>
      </c>
      <c r="J519" s="1">
        <f>northwind_order_details[[#This Row],[purchase amount]]-northwind_order_details[[#This Row],[discount amount]]</f>
        <v>2073.6</v>
      </c>
      <c r="K519" s="6" t="str">
        <f>IF(northwind_order_details[[#This Row],[discount amount]]&gt;0,"Yes","No")</f>
        <v>Yes</v>
      </c>
      <c r="L519" s="1" t="str">
        <f>IF(northwind_order_details[[#This Row],[Revenue]]&gt;1000,"High",IF(northwind_order_details[[#This Row],[Revenue]]&gt;300,"Medium","Low"))</f>
        <v>High</v>
      </c>
      <c r="M5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0" spans="1:13" x14ac:dyDescent="0.25">
      <c r="A520">
        <v>10451</v>
      </c>
      <c r="B520">
        <v>64</v>
      </c>
      <c r="C520" s="6">
        <v>26.6</v>
      </c>
      <c r="D520">
        <v>35</v>
      </c>
      <c r="E520" s="6">
        <v>0.1</v>
      </c>
      <c r="F520" t="str">
        <f>_xlfn.XLOOKUP(northwind_order_details[[#This Row],[order_id]],northwind_orders[order_id],northwind_orders[ship_country])</f>
        <v>Germany</v>
      </c>
      <c r="G520">
        <f>INDEX(northwind_orders[],MATCH(northwind_order_details[[#This Row],[order_id]], northwind_orders[order_id], 0), MATCH("employee_id", northwind_orders[#Headers], 0))</f>
        <v>4</v>
      </c>
      <c r="H520">
        <f>northwind_order_details[[#This Row],[unit_price]]*northwind_order_details[[#This Row],[quantity]]</f>
        <v>931</v>
      </c>
      <c r="I520" s="1">
        <f>northwind_order_details[[#This Row],[purchase amount]]*northwind_order_details[[#This Row],[discount]]</f>
        <v>93.100000000000009</v>
      </c>
      <c r="J520" s="1">
        <f>northwind_order_details[[#This Row],[purchase amount]]-northwind_order_details[[#This Row],[discount amount]]</f>
        <v>837.9</v>
      </c>
      <c r="K520" s="6" t="str">
        <f>IF(northwind_order_details[[#This Row],[discount amount]]&gt;0,"Yes","No")</f>
        <v>Yes</v>
      </c>
      <c r="L520" s="1" t="str">
        <f>IF(northwind_order_details[[#This Row],[Revenue]]&gt;1000,"High",IF(northwind_order_details[[#This Row],[Revenue]]&gt;300,"Medium","Low"))</f>
        <v>Medium</v>
      </c>
      <c r="M5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1" spans="1:13" x14ac:dyDescent="0.25">
      <c r="A521">
        <v>10451</v>
      </c>
      <c r="B521">
        <v>65</v>
      </c>
      <c r="C521" s="6">
        <v>16.8</v>
      </c>
      <c r="D521">
        <v>28</v>
      </c>
      <c r="E521" s="6">
        <v>0.1</v>
      </c>
      <c r="F521" t="str">
        <f>_xlfn.XLOOKUP(northwind_order_details[[#This Row],[order_id]],northwind_orders[order_id],northwind_orders[ship_country])</f>
        <v>Germany</v>
      </c>
      <c r="G521">
        <f>INDEX(northwind_orders[],MATCH(northwind_order_details[[#This Row],[order_id]], northwind_orders[order_id], 0), MATCH("employee_id", northwind_orders[#Headers], 0))</f>
        <v>4</v>
      </c>
      <c r="H521">
        <f>northwind_order_details[[#This Row],[unit_price]]*northwind_order_details[[#This Row],[quantity]]</f>
        <v>470.40000000000003</v>
      </c>
      <c r="I521" s="1">
        <f>northwind_order_details[[#This Row],[purchase amount]]*northwind_order_details[[#This Row],[discount]]</f>
        <v>47.040000000000006</v>
      </c>
      <c r="J521" s="1">
        <f>northwind_order_details[[#This Row],[purchase amount]]-northwind_order_details[[#This Row],[discount amount]]</f>
        <v>423.36</v>
      </c>
      <c r="K521" s="6" t="str">
        <f>IF(northwind_order_details[[#This Row],[discount amount]]&gt;0,"Yes","No")</f>
        <v>Yes</v>
      </c>
      <c r="L521" s="1" t="str">
        <f>IF(northwind_order_details[[#This Row],[Revenue]]&gt;1000,"High",IF(northwind_order_details[[#This Row],[Revenue]]&gt;300,"Medium","Low"))</f>
        <v>Medium</v>
      </c>
      <c r="M5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2" spans="1:13" x14ac:dyDescent="0.25">
      <c r="A522">
        <v>10451</v>
      </c>
      <c r="B522">
        <v>77</v>
      </c>
      <c r="C522" s="6">
        <v>10.4</v>
      </c>
      <c r="D522">
        <v>55</v>
      </c>
      <c r="E522" s="6">
        <v>0.1</v>
      </c>
      <c r="F522" t="str">
        <f>_xlfn.XLOOKUP(northwind_order_details[[#This Row],[order_id]],northwind_orders[order_id],northwind_orders[ship_country])</f>
        <v>Germany</v>
      </c>
      <c r="G522">
        <f>INDEX(northwind_orders[],MATCH(northwind_order_details[[#This Row],[order_id]], northwind_orders[order_id], 0), MATCH("employee_id", northwind_orders[#Headers], 0))</f>
        <v>4</v>
      </c>
      <c r="H522">
        <f>northwind_order_details[[#This Row],[unit_price]]*northwind_order_details[[#This Row],[quantity]]</f>
        <v>572</v>
      </c>
      <c r="I522" s="1">
        <f>northwind_order_details[[#This Row],[purchase amount]]*northwind_order_details[[#This Row],[discount]]</f>
        <v>57.2</v>
      </c>
      <c r="J522" s="1">
        <f>northwind_order_details[[#This Row],[purchase amount]]-northwind_order_details[[#This Row],[discount amount]]</f>
        <v>514.79999999999995</v>
      </c>
      <c r="K522" s="6" t="str">
        <f>IF(northwind_order_details[[#This Row],[discount amount]]&gt;0,"Yes","No")</f>
        <v>Yes</v>
      </c>
      <c r="L522" s="1" t="str">
        <f>IF(northwind_order_details[[#This Row],[Revenue]]&gt;1000,"High",IF(northwind_order_details[[#This Row],[Revenue]]&gt;300,"Medium","Low"))</f>
        <v>Medium</v>
      </c>
      <c r="M5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3" spans="1:13" x14ac:dyDescent="0.25">
      <c r="A523">
        <v>10452</v>
      </c>
      <c r="B523">
        <v>28</v>
      </c>
      <c r="C523" s="6">
        <v>36.4</v>
      </c>
      <c r="D523">
        <v>15</v>
      </c>
      <c r="E523" s="6" t="s">
        <v>6</v>
      </c>
      <c r="F523" t="str">
        <f>_xlfn.XLOOKUP(northwind_order_details[[#This Row],[order_id]],northwind_orders[order_id],northwind_orders[ship_country])</f>
        <v>USA</v>
      </c>
      <c r="G523">
        <f>INDEX(northwind_orders[],MATCH(northwind_order_details[[#This Row],[order_id]], northwind_orders[order_id], 0), MATCH("employee_id", northwind_orders[#Headers], 0))</f>
        <v>8</v>
      </c>
      <c r="H523">
        <f>northwind_order_details[[#This Row],[unit_price]]*northwind_order_details[[#This Row],[quantity]]</f>
        <v>546</v>
      </c>
      <c r="I523" s="1">
        <f>northwind_order_details[[#This Row],[purchase amount]]*northwind_order_details[[#This Row],[discount]]</f>
        <v>0</v>
      </c>
      <c r="J523" s="1">
        <f>northwind_order_details[[#This Row],[purchase amount]]-northwind_order_details[[#This Row],[discount amount]]</f>
        <v>546</v>
      </c>
      <c r="K523" s="6" t="str">
        <f>IF(northwind_order_details[[#This Row],[discount amount]]&gt;0,"Yes","No")</f>
        <v>No</v>
      </c>
      <c r="L523" s="1" t="str">
        <f>IF(northwind_order_details[[#This Row],[Revenue]]&gt;1000,"High",IF(northwind_order_details[[#This Row],[Revenue]]&gt;300,"Medium","Low"))</f>
        <v>Medium</v>
      </c>
      <c r="M5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4" spans="1:13" x14ac:dyDescent="0.25">
      <c r="A524">
        <v>10452</v>
      </c>
      <c r="B524">
        <v>44</v>
      </c>
      <c r="C524" s="6">
        <v>15.5</v>
      </c>
      <c r="D524">
        <v>100</v>
      </c>
      <c r="E524" s="6">
        <v>0.05</v>
      </c>
      <c r="F524" t="str">
        <f>_xlfn.XLOOKUP(northwind_order_details[[#This Row],[order_id]],northwind_orders[order_id],northwind_orders[ship_country])</f>
        <v>USA</v>
      </c>
      <c r="G524">
        <f>INDEX(northwind_orders[],MATCH(northwind_order_details[[#This Row],[order_id]], northwind_orders[order_id], 0), MATCH("employee_id", northwind_orders[#Headers], 0))</f>
        <v>8</v>
      </c>
      <c r="H524">
        <f>northwind_order_details[[#This Row],[unit_price]]*northwind_order_details[[#This Row],[quantity]]</f>
        <v>1550</v>
      </c>
      <c r="I524" s="1">
        <f>northwind_order_details[[#This Row],[purchase amount]]*northwind_order_details[[#This Row],[discount]]</f>
        <v>77.5</v>
      </c>
      <c r="J524" s="1">
        <f>northwind_order_details[[#This Row],[purchase amount]]-northwind_order_details[[#This Row],[discount amount]]</f>
        <v>1472.5</v>
      </c>
      <c r="K524" s="6" t="str">
        <f>IF(northwind_order_details[[#This Row],[discount amount]]&gt;0,"Yes","No")</f>
        <v>Yes</v>
      </c>
      <c r="L524" s="1" t="str">
        <f>IF(northwind_order_details[[#This Row],[Revenue]]&gt;1000,"High",IF(northwind_order_details[[#This Row],[Revenue]]&gt;300,"Medium","Low"))</f>
        <v>High</v>
      </c>
      <c r="M5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5" spans="1:13" x14ac:dyDescent="0.25">
      <c r="A525">
        <v>10453</v>
      </c>
      <c r="B525">
        <v>48</v>
      </c>
      <c r="C525" s="6">
        <v>10.199999999999999</v>
      </c>
      <c r="D525">
        <v>15</v>
      </c>
      <c r="E525" s="6">
        <v>0.1</v>
      </c>
      <c r="F525" t="str">
        <f>_xlfn.XLOOKUP(northwind_order_details[[#This Row],[order_id]],northwind_orders[order_id],northwind_orders[ship_country])</f>
        <v>UK</v>
      </c>
      <c r="G525">
        <f>INDEX(northwind_orders[],MATCH(northwind_order_details[[#This Row],[order_id]], northwind_orders[order_id], 0), MATCH("employee_id", northwind_orders[#Headers], 0))</f>
        <v>1</v>
      </c>
      <c r="H525">
        <f>northwind_order_details[[#This Row],[unit_price]]*northwind_order_details[[#This Row],[quantity]]</f>
        <v>153</v>
      </c>
      <c r="I525" s="1">
        <f>northwind_order_details[[#This Row],[purchase amount]]*northwind_order_details[[#This Row],[discount]]</f>
        <v>15.3</v>
      </c>
      <c r="J525" s="1">
        <f>northwind_order_details[[#This Row],[purchase amount]]-northwind_order_details[[#This Row],[discount amount]]</f>
        <v>137.69999999999999</v>
      </c>
      <c r="K525" s="6" t="str">
        <f>IF(northwind_order_details[[#This Row],[discount amount]]&gt;0,"Yes","No")</f>
        <v>Yes</v>
      </c>
      <c r="L525" s="1" t="str">
        <f>IF(northwind_order_details[[#This Row],[Revenue]]&gt;1000,"High",IF(northwind_order_details[[#This Row],[Revenue]]&gt;300,"Medium","Low"))</f>
        <v>Low</v>
      </c>
      <c r="M5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6" spans="1:13" x14ac:dyDescent="0.25">
      <c r="A526">
        <v>10453</v>
      </c>
      <c r="B526">
        <v>70</v>
      </c>
      <c r="C526" s="6" t="s">
        <v>13</v>
      </c>
      <c r="D526">
        <v>25</v>
      </c>
      <c r="E526" s="6">
        <v>0.1</v>
      </c>
      <c r="F526" t="str">
        <f>_xlfn.XLOOKUP(northwind_order_details[[#This Row],[order_id]],northwind_orders[order_id],northwind_orders[ship_country])</f>
        <v>UK</v>
      </c>
      <c r="G526">
        <f>INDEX(northwind_orders[],MATCH(northwind_order_details[[#This Row],[order_id]], northwind_orders[order_id], 0), MATCH("employee_id", northwind_orders[#Headers], 0))</f>
        <v>1</v>
      </c>
      <c r="H526">
        <f>northwind_order_details[[#This Row],[unit_price]]*northwind_order_details[[#This Row],[quantity]]</f>
        <v>300</v>
      </c>
      <c r="I526" s="1">
        <f>northwind_order_details[[#This Row],[purchase amount]]*northwind_order_details[[#This Row],[discount]]</f>
        <v>30</v>
      </c>
      <c r="J526" s="1">
        <f>northwind_order_details[[#This Row],[purchase amount]]-northwind_order_details[[#This Row],[discount amount]]</f>
        <v>270</v>
      </c>
      <c r="K526" s="6" t="str">
        <f>IF(northwind_order_details[[#This Row],[discount amount]]&gt;0,"Yes","No")</f>
        <v>Yes</v>
      </c>
      <c r="L526" s="1" t="str">
        <f>IF(northwind_order_details[[#This Row],[Revenue]]&gt;1000,"High",IF(northwind_order_details[[#This Row],[Revenue]]&gt;300,"Medium","Low"))</f>
        <v>Low</v>
      </c>
      <c r="M5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7" spans="1:13" x14ac:dyDescent="0.25">
      <c r="A527">
        <v>10454</v>
      </c>
      <c r="B527">
        <v>16</v>
      </c>
      <c r="C527" s="6">
        <v>13.9</v>
      </c>
      <c r="D527">
        <v>20</v>
      </c>
      <c r="E527" s="6">
        <v>0.2</v>
      </c>
      <c r="F527" t="str">
        <f>_xlfn.XLOOKUP(northwind_order_details[[#This Row],[order_id]],northwind_orders[order_id],northwind_orders[ship_country])</f>
        <v>France</v>
      </c>
      <c r="G527">
        <f>INDEX(northwind_orders[],MATCH(northwind_order_details[[#This Row],[order_id]], northwind_orders[order_id], 0), MATCH("employee_id", northwind_orders[#Headers], 0))</f>
        <v>4</v>
      </c>
      <c r="H527">
        <f>northwind_order_details[[#This Row],[unit_price]]*northwind_order_details[[#This Row],[quantity]]</f>
        <v>278</v>
      </c>
      <c r="I527" s="1">
        <f>northwind_order_details[[#This Row],[purchase amount]]*northwind_order_details[[#This Row],[discount]]</f>
        <v>55.6</v>
      </c>
      <c r="J527" s="1">
        <f>northwind_order_details[[#This Row],[purchase amount]]-northwind_order_details[[#This Row],[discount amount]]</f>
        <v>222.4</v>
      </c>
      <c r="K527" s="6" t="str">
        <f>IF(northwind_order_details[[#This Row],[discount amount]]&gt;0,"Yes","No")</f>
        <v>Yes</v>
      </c>
      <c r="L527" s="1" t="str">
        <f>IF(northwind_order_details[[#This Row],[Revenue]]&gt;1000,"High",IF(northwind_order_details[[#This Row],[Revenue]]&gt;300,"Medium","Low"))</f>
        <v>Low</v>
      </c>
      <c r="M5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8" spans="1:13" x14ac:dyDescent="0.25">
      <c r="A528">
        <v>10454</v>
      </c>
      <c r="B528">
        <v>33</v>
      </c>
      <c r="C528" s="6" t="s">
        <v>7</v>
      </c>
      <c r="D528">
        <v>20</v>
      </c>
      <c r="E528" s="6">
        <v>0.2</v>
      </c>
      <c r="F528" t="str">
        <f>_xlfn.XLOOKUP(northwind_order_details[[#This Row],[order_id]],northwind_orders[order_id],northwind_orders[ship_country])</f>
        <v>France</v>
      </c>
      <c r="G528">
        <f>INDEX(northwind_orders[],MATCH(northwind_order_details[[#This Row],[order_id]], northwind_orders[order_id], 0), MATCH("employee_id", northwind_orders[#Headers], 0))</f>
        <v>4</v>
      </c>
      <c r="H528">
        <f>northwind_order_details[[#This Row],[unit_price]]*northwind_order_details[[#This Row],[quantity]]</f>
        <v>40</v>
      </c>
      <c r="I528" s="1">
        <f>northwind_order_details[[#This Row],[purchase amount]]*northwind_order_details[[#This Row],[discount]]</f>
        <v>8</v>
      </c>
      <c r="J528" s="1">
        <f>northwind_order_details[[#This Row],[purchase amount]]-northwind_order_details[[#This Row],[discount amount]]</f>
        <v>32</v>
      </c>
      <c r="K528" s="6" t="str">
        <f>IF(northwind_order_details[[#This Row],[discount amount]]&gt;0,"Yes","No")</f>
        <v>Yes</v>
      </c>
      <c r="L528" s="1" t="str">
        <f>IF(northwind_order_details[[#This Row],[Revenue]]&gt;1000,"High",IF(northwind_order_details[[#This Row],[Revenue]]&gt;300,"Medium","Low"))</f>
        <v>Low</v>
      </c>
      <c r="M5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29" spans="1:13" x14ac:dyDescent="0.25">
      <c r="A529">
        <v>10454</v>
      </c>
      <c r="B529">
        <v>46</v>
      </c>
      <c r="C529" s="6">
        <v>9.6</v>
      </c>
      <c r="D529">
        <v>10</v>
      </c>
      <c r="E529" s="6">
        <v>0.2</v>
      </c>
      <c r="F529" t="str">
        <f>_xlfn.XLOOKUP(northwind_order_details[[#This Row],[order_id]],northwind_orders[order_id],northwind_orders[ship_country])</f>
        <v>France</v>
      </c>
      <c r="G529">
        <f>INDEX(northwind_orders[],MATCH(northwind_order_details[[#This Row],[order_id]], northwind_orders[order_id], 0), MATCH("employee_id", northwind_orders[#Headers], 0))</f>
        <v>4</v>
      </c>
      <c r="H529">
        <f>northwind_order_details[[#This Row],[unit_price]]*northwind_order_details[[#This Row],[quantity]]</f>
        <v>96</v>
      </c>
      <c r="I529" s="1">
        <f>northwind_order_details[[#This Row],[purchase amount]]*northwind_order_details[[#This Row],[discount]]</f>
        <v>19.200000000000003</v>
      </c>
      <c r="J529" s="1">
        <f>northwind_order_details[[#This Row],[purchase amount]]-northwind_order_details[[#This Row],[discount amount]]</f>
        <v>76.8</v>
      </c>
      <c r="K529" s="6" t="str">
        <f>IF(northwind_order_details[[#This Row],[discount amount]]&gt;0,"Yes","No")</f>
        <v>Yes</v>
      </c>
      <c r="L529" s="1" t="str">
        <f>IF(northwind_order_details[[#This Row],[Revenue]]&gt;1000,"High",IF(northwind_order_details[[#This Row],[Revenue]]&gt;300,"Medium","Low"))</f>
        <v>Low</v>
      </c>
      <c r="M5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0" spans="1:13" x14ac:dyDescent="0.25">
      <c r="A530">
        <v>10455</v>
      </c>
      <c r="B530">
        <v>39</v>
      </c>
      <c r="C530" s="6">
        <v>14.4</v>
      </c>
      <c r="D530">
        <v>20</v>
      </c>
      <c r="E530" s="6" t="s">
        <v>6</v>
      </c>
      <c r="F530" t="str">
        <f>_xlfn.XLOOKUP(northwind_order_details[[#This Row],[order_id]],northwind_orders[order_id],northwind_orders[ship_country])</f>
        <v>Finland</v>
      </c>
      <c r="G530">
        <f>INDEX(northwind_orders[],MATCH(northwind_order_details[[#This Row],[order_id]], northwind_orders[order_id], 0), MATCH("employee_id", northwind_orders[#Headers], 0))</f>
        <v>8</v>
      </c>
      <c r="H530">
        <f>northwind_order_details[[#This Row],[unit_price]]*northwind_order_details[[#This Row],[quantity]]</f>
        <v>288</v>
      </c>
      <c r="I530" s="1">
        <f>northwind_order_details[[#This Row],[purchase amount]]*northwind_order_details[[#This Row],[discount]]</f>
        <v>0</v>
      </c>
      <c r="J530" s="1">
        <f>northwind_order_details[[#This Row],[purchase amount]]-northwind_order_details[[#This Row],[discount amount]]</f>
        <v>288</v>
      </c>
      <c r="K530" s="6" t="str">
        <f>IF(northwind_order_details[[#This Row],[discount amount]]&gt;0,"Yes","No")</f>
        <v>No</v>
      </c>
      <c r="L530" s="1" t="str">
        <f>IF(northwind_order_details[[#This Row],[Revenue]]&gt;1000,"High",IF(northwind_order_details[[#This Row],[Revenue]]&gt;300,"Medium","Low"))</f>
        <v>Low</v>
      </c>
      <c r="M5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1" spans="1:13" x14ac:dyDescent="0.25">
      <c r="A531">
        <v>10455</v>
      </c>
      <c r="B531">
        <v>53</v>
      </c>
      <c r="C531" s="6">
        <v>26.2</v>
      </c>
      <c r="D531">
        <v>50</v>
      </c>
      <c r="E531" s="6" t="s">
        <v>6</v>
      </c>
      <c r="F531" t="str">
        <f>_xlfn.XLOOKUP(northwind_order_details[[#This Row],[order_id]],northwind_orders[order_id],northwind_orders[ship_country])</f>
        <v>Finland</v>
      </c>
      <c r="G531">
        <f>INDEX(northwind_orders[],MATCH(northwind_order_details[[#This Row],[order_id]], northwind_orders[order_id], 0), MATCH("employee_id", northwind_orders[#Headers], 0))</f>
        <v>8</v>
      </c>
      <c r="H531">
        <f>northwind_order_details[[#This Row],[unit_price]]*northwind_order_details[[#This Row],[quantity]]</f>
        <v>1310</v>
      </c>
      <c r="I531" s="1">
        <f>northwind_order_details[[#This Row],[purchase amount]]*northwind_order_details[[#This Row],[discount]]</f>
        <v>0</v>
      </c>
      <c r="J531" s="1">
        <f>northwind_order_details[[#This Row],[purchase amount]]-northwind_order_details[[#This Row],[discount amount]]</f>
        <v>1310</v>
      </c>
      <c r="K531" s="6" t="str">
        <f>IF(northwind_order_details[[#This Row],[discount amount]]&gt;0,"Yes","No")</f>
        <v>No</v>
      </c>
      <c r="L531" s="1" t="str">
        <f>IF(northwind_order_details[[#This Row],[Revenue]]&gt;1000,"High",IF(northwind_order_details[[#This Row],[Revenue]]&gt;300,"Medium","Low"))</f>
        <v>High</v>
      </c>
      <c r="M5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2" spans="1:13" x14ac:dyDescent="0.25">
      <c r="A532">
        <v>10455</v>
      </c>
      <c r="B532">
        <v>61</v>
      </c>
      <c r="C532" s="6">
        <v>22.8</v>
      </c>
      <c r="D532">
        <v>25</v>
      </c>
      <c r="E532" s="6" t="s">
        <v>6</v>
      </c>
      <c r="F532" t="str">
        <f>_xlfn.XLOOKUP(northwind_order_details[[#This Row],[order_id]],northwind_orders[order_id],northwind_orders[ship_country])</f>
        <v>Finland</v>
      </c>
      <c r="G532">
        <f>INDEX(northwind_orders[],MATCH(northwind_order_details[[#This Row],[order_id]], northwind_orders[order_id], 0), MATCH("employee_id", northwind_orders[#Headers], 0))</f>
        <v>8</v>
      </c>
      <c r="H532">
        <f>northwind_order_details[[#This Row],[unit_price]]*northwind_order_details[[#This Row],[quantity]]</f>
        <v>570</v>
      </c>
      <c r="I532" s="1">
        <f>northwind_order_details[[#This Row],[purchase amount]]*northwind_order_details[[#This Row],[discount]]</f>
        <v>0</v>
      </c>
      <c r="J532" s="1">
        <f>northwind_order_details[[#This Row],[purchase amount]]-northwind_order_details[[#This Row],[discount amount]]</f>
        <v>570</v>
      </c>
      <c r="K532" s="6" t="str">
        <f>IF(northwind_order_details[[#This Row],[discount amount]]&gt;0,"Yes","No")</f>
        <v>No</v>
      </c>
      <c r="L532" s="1" t="str">
        <f>IF(northwind_order_details[[#This Row],[Revenue]]&gt;1000,"High",IF(northwind_order_details[[#This Row],[Revenue]]&gt;300,"Medium","Low"))</f>
        <v>Medium</v>
      </c>
      <c r="M5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3" spans="1:13" x14ac:dyDescent="0.25">
      <c r="A533">
        <v>10455</v>
      </c>
      <c r="B533">
        <v>71</v>
      </c>
      <c r="C533" s="6">
        <v>17.2</v>
      </c>
      <c r="D533">
        <v>30</v>
      </c>
      <c r="E533" s="6" t="s">
        <v>6</v>
      </c>
      <c r="F533" t="str">
        <f>_xlfn.XLOOKUP(northwind_order_details[[#This Row],[order_id]],northwind_orders[order_id],northwind_orders[ship_country])</f>
        <v>Finland</v>
      </c>
      <c r="G533">
        <f>INDEX(northwind_orders[],MATCH(northwind_order_details[[#This Row],[order_id]], northwind_orders[order_id], 0), MATCH("employee_id", northwind_orders[#Headers], 0))</f>
        <v>8</v>
      </c>
      <c r="H533">
        <f>northwind_order_details[[#This Row],[unit_price]]*northwind_order_details[[#This Row],[quantity]]</f>
        <v>516</v>
      </c>
      <c r="I533" s="1">
        <f>northwind_order_details[[#This Row],[purchase amount]]*northwind_order_details[[#This Row],[discount]]</f>
        <v>0</v>
      </c>
      <c r="J533" s="1">
        <f>northwind_order_details[[#This Row],[purchase amount]]-northwind_order_details[[#This Row],[discount amount]]</f>
        <v>516</v>
      </c>
      <c r="K533" s="6" t="str">
        <f>IF(northwind_order_details[[#This Row],[discount amount]]&gt;0,"Yes","No")</f>
        <v>No</v>
      </c>
      <c r="L533" s="1" t="str">
        <f>IF(northwind_order_details[[#This Row],[Revenue]]&gt;1000,"High",IF(northwind_order_details[[#This Row],[Revenue]]&gt;300,"Medium","Low"))</f>
        <v>Medium</v>
      </c>
      <c r="M5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4" spans="1:13" x14ac:dyDescent="0.25">
      <c r="A534">
        <v>10456</v>
      </c>
      <c r="B534">
        <v>21</v>
      </c>
      <c r="C534" s="6" t="s">
        <v>10</v>
      </c>
      <c r="D534">
        <v>40</v>
      </c>
      <c r="E534" s="6">
        <v>0.15</v>
      </c>
      <c r="F534" t="str">
        <f>_xlfn.XLOOKUP(northwind_order_details[[#This Row],[order_id]],northwind_orders[order_id],northwind_orders[ship_country])</f>
        <v>Germany</v>
      </c>
      <c r="G534">
        <f>INDEX(northwind_orders[],MATCH(northwind_order_details[[#This Row],[order_id]], northwind_orders[order_id], 0), MATCH("employee_id", northwind_orders[#Headers], 0))</f>
        <v>8</v>
      </c>
      <c r="H534">
        <f>northwind_order_details[[#This Row],[unit_price]]*northwind_order_details[[#This Row],[quantity]]</f>
        <v>320</v>
      </c>
      <c r="I534" s="1">
        <f>northwind_order_details[[#This Row],[purchase amount]]*northwind_order_details[[#This Row],[discount]]</f>
        <v>48</v>
      </c>
      <c r="J534" s="1">
        <f>northwind_order_details[[#This Row],[purchase amount]]-northwind_order_details[[#This Row],[discount amount]]</f>
        <v>272</v>
      </c>
      <c r="K534" s="6" t="str">
        <f>IF(northwind_order_details[[#This Row],[discount amount]]&gt;0,"Yes","No")</f>
        <v>Yes</v>
      </c>
      <c r="L534" s="1" t="str">
        <f>IF(northwind_order_details[[#This Row],[Revenue]]&gt;1000,"High",IF(northwind_order_details[[#This Row],[Revenue]]&gt;300,"Medium","Low"))</f>
        <v>Low</v>
      </c>
      <c r="M5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5" spans="1:13" x14ac:dyDescent="0.25">
      <c r="A535">
        <v>10456</v>
      </c>
      <c r="B535">
        <v>49</v>
      </c>
      <c r="C535" s="6" t="s">
        <v>9</v>
      </c>
      <c r="D535">
        <v>21</v>
      </c>
      <c r="E535" s="6">
        <v>0.15</v>
      </c>
      <c r="F535" t="str">
        <f>_xlfn.XLOOKUP(northwind_order_details[[#This Row],[order_id]],northwind_orders[order_id],northwind_orders[ship_country])</f>
        <v>Germany</v>
      </c>
      <c r="G535">
        <f>INDEX(northwind_orders[],MATCH(northwind_order_details[[#This Row],[order_id]], northwind_orders[order_id], 0), MATCH("employee_id", northwind_orders[#Headers], 0))</f>
        <v>8</v>
      </c>
      <c r="H535">
        <f>northwind_order_details[[#This Row],[unit_price]]*northwind_order_details[[#This Row],[quantity]]</f>
        <v>336</v>
      </c>
      <c r="I535" s="1">
        <f>northwind_order_details[[#This Row],[purchase amount]]*northwind_order_details[[#This Row],[discount]]</f>
        <v>50.4</v>
      </c>
      <c r="J535" s="1">
        <f>northwind_order_details[[#This Row],[purchase amount]]-northwind_order_details[[#This Row],[discount amount]]</f>
        <v>285.60000000000002</v>
      </c>
      <c r="K535" s="6" t="str">
        <f>IF(northwind_order_details[[#This Row],[discount amount]]&gt;0,"Yes","No")</f>
        <v>Yes</v>
      </c>
      <c r="L535" s="1" t="str">
        <f>IF(northwind_order_details[[#This Row],[Revenue]]&gt;1000,"High",IF(northwind_order_details[[#This Row],[Revenue]]&gt;300,"Medium","Low"))</f>
        <v>Low</v>
      </c>
      <c r="M5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6" spans="1:13" x14ac:dyDescent="0.25">
      <c r="A536">
        <v>10457</v>
      </c>
      <c r="B536">
        <v>59</v>
      </c>
      <c r="C536" s="6" t="s">
        <v>11</v>
      </c>
      <c r="D536">
        <v>36</v>
      </c>
      <c r="E536" s="6" t="s">
        <v>6</v>
      </c>
      <c r="F536" t="str">
        <f>_xlfn.XLOOKUP(northwind_order_details[[#This Row],[order_id]],northwind_orders[order_id],northwind_orders[ship_country])</f>
        <v>Germany</v>
      </c>
      <c r="G536">
        <f>INDEX(northwind_orders[],MATCH(northwind_order_details[[#This Row],[order_id]], northwind_orders[order_id], 0), MATCH("employee_id", northwind_orders[#Headers], 0))</f>
        <v>2</v>
      </c>
      <c r="H536">
        <f>northwind_order_details[[#This Row],[unit_price]]*northwind_order_details[[#This Row],[quantity]]</f>
        <v>1584</v>
      </c>
      <c r="I536" s="1">
        <f>northwind_order_details[[#This Row],[purchase amount]]*northwind_order_details[[#This Row],[discount]]</f>
        <v>0</v>
      </c>
      <c r="J536" s="1">
        <f>northwind_order_details[[#This Row],[purchase amount]]-northwind_order_details[[#This Row],[discount amount]]</f>
        <v>1584</v>
      </c>
      <c r="K536" s="6" t="str">
        <f>IF(northwind_order_details[[#This Row],[discount amount]]&gt;0,"Yes","No")</f>
        <v>No</v>
      </c>
      <c r="L536" s="1" t="str">
        <f>IF(northwind_order_details[[#This Row],[Revenue]]&gt;1000,"High",IF(northwind_order_details[[#This Row],[Revenue]]&gt;300,"Medium","Low"))</f>
        <v>High</v>
      </c>
      <c r="M5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7" spans="1:13" x14ac:dyDescent="0.25">
      <c r="A537">
        <v>10458</v>
      </c>
      <c r="B537">
        <v>26</v>
      </c>
      <c r="C537" s="6">
        <v>24.9</v>
      </c>
      <c r="D537">
        <v>30</v>
      </c>
      <c r="E537" s="6" t="s">
        <v>6</v>
      </c>
      <c r="F537" t="str">
        <f>_xlfn.XLOOKUP(northwind_order_details[[#This Row],[order_id]],northwind_orders[order_id],northwind_orders[ship_country])</f>
        <v>Belgium</v>
      </c>
      <c r="G537">
        <f>INDEX(northwind_orders[],MATCH(northwind_order_details[[#This Row],[order_id]], northwind_orders[order_id], 0), MATCH("employee_id", northwind_orders[#Headers], 0))</f>
        <v>7</v>
      </c>
      <c r="H537">
        <f>northwind_order_details[[#This Row],[unit_price]]*northwind_order_details[[#This Row],[quantity]]</f>
        <v>747</v>
      </c>
      <c r="I537" s="1">
        <f>northwind_order_details[[#This Row],[purchase amount]]*northwind_order_details[[#This Row],[discount]]</f>
        <v>0</v>
      </c>
      <c r="J537" s="1">
        <f>northwind_order_details[[#This Row],[purchase amount]]-northwind_order_details[[#This Row],[discount amount]]</f>
        <v>747</v>
      </c>
      <c r="K537" s="6" t="str">
        <f>IF(northwind_order_details[[#This Row],[discount amount]]&gt;0,"Yes","No")</f>
        <v>No</v>
      </c>
      <c r="L537" s="1" t="str">
        <f>IF(northwind_order_details[[#This Row],[Revenue]]&gt;1000,"High",IF(northwind_order_details[[#This Row],[Revenue]]&gt;300,"Medium","Low"))</f>
        <v>Medium</v>
      </c>
      <c r="M5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8" spans="1:13" x14ac:dyDescent="0.25">
      <c r="A538">
        <v>10458</v>
      </c>
      <c r="B538">
        <v>28</v>
      </c>
      <c r="C538" s="6">
        <v>36.4</v>
      </c>
      <c r="D538">
        <v>30</v>
      </c>
      <c r="E538" s="6" t="s">
        <v>6</v>
      </c>
      <c r="F538" t="str">
        <f>_xlfn.XLOOKUP(northwind_order_details[[#This Row],[order_id]],northwind_orders[order_id],northwind_orders[ship_country])</f>
        <v>Belgium</v>
      </c>
      <c r="G538">
        <f>INDEX(northwind_orders[],MATCH(northwind_order_details[[#This Row],[order_id]], northwind_orders[order_id], 0), MATCH("employee_id", northwind_orders[#Headers], 0))</f>
        <v>7</v>
      </c>
      <c r="H538">
        <f>northwind_order_details[[#This Row],[unit_price]]*northwind_order_details[[#This Row],[quantity]]</f>
        <v>1092</v>
      </c>
      <c r="I538" s="1">
        <f>northwind_order_details[[#This Row],[purchase amount]]*northwind_order_details[[#This Row],[discount]]</f>
        <v>0</v>
      </c>
      <c r="J538" s="1">
        <f>northwind_order_details[[#This Row],[purchase amount]]-northwind_order_details[[#This Row],[discount amount]]</f>
        <v>1092</v>
      </c>
      <c r="K538" s="6" t="str">
        <f>IF(northwind_order_details[[#This Row],[discount amount]]&gt;0,"Yes","No")</f>
        <v>No</v>
      </c>
      <c r="L538" s="1" t="str">
        <f>IF(northwind_order_details[[#This Row],[Revenue]]&gt;1000,"High",IF(northwind_order_details[[#This Row],[Revenue]]&gt;300,"Medium","Low"))</f>
        <v>High</v>
      </c>
      <c r="M5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39" spans="1:13" x14ac:dyDescent="0.25">
      <c r="A539">
        <v>10458</v>
      </c>
      <c r="B539">
        <v>43</v>
      </c>
      <c r="C539" s="6">
        <v>36.799999999999997</v>
      </c>
      <c r="D539">
        <v>20</v>
      </c>
      <c r="E539" s="6" t="s">
        <v>6</v>
      </c>
      <c r="F539" t="str">
        <f>_xlfn.XLOOKUP(northwind_order_details[[#This Row],[order_id]],northwind_orders[order_id],northwind_orders[ship_country])</f>
        <v>Belgium</v>
      </c>
      <c r="G539">
        <f>INDEX(northwind_orders[],MATCH(northwind_order_details[[#This Row],[order_id]], northwind_orders[order_id], 0), MATCH("employee_id", northwind_orders[#Headers], 0))</f>
        <v>7</v>
      </c>
      <c r="H539">
        <f>northwind_order_details[[#This Row],[unit_price]]*northwind_order_details[[#This Row],[quantity]]</f>
        <v>736</v>
      </c>
      <c r="I539" s="1">
        <f>northwind_order_details[[#This Row],[purchase amount]]*northwind_order_details[[#This Row],[discount]]</f>
        <v>0</v>
      </c>
      <c r="J539" s="1">
        <f>northwind_order_details[[#This Row],[purchase amount]]-northwind_order_details[[#This Row],[discount amount]]</f>
        <v>736</v>
      </c>
      <c r="K539" s="6" t="str">
        <f>IF(northwind_order_details[[#This Row],[discount amount]]&gt;0,"Yes","No")</f>
        <v>No</v>
      </c>
      <c r="L539" s="1" t="str">
        <f>IF(northwind_order_details[[#This Row],[Revenue]]&gt;1000,"High",IF(northwind_order_details[[#This Row],[Revenue]]&gt;300,"Medium","Low"))</f>
        <v>Medium</v>
      </c>
      <c r="M5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0" spans="1:13" x14ac:dyDescent="0.25">
      <c r="A540">
        <v>10458</v>
      </c>
      <c r="B540">
        <v>56</v>
      </c>
      <c r="C540" s="6">
        <v>30.4</v>
      </c>
      <c r="D540">
        <v>15</v>
      </c>
      <c r="E540" s="6" t="s">
        <v>6</v>
      </c>
      <c r="F540" t="str">
        <f>_xlfn.XLOOKUP(northwind_order_details[[#This Row],[order_id]],northwind_orders[order_id],northwind_orders[ship_country])</f>
        <v>Belgium</v>
      </c>
      <c r="G540">
        <f>INDEX(northwind_orders[],MATCH(northwind_order_details[[#This Row],[order_id]], northwind_orders[order_id], 0), MATCH("employee_id", northwind_orders[#Headers], 0))</f>
        <v>7</v>
      </c>
      <c r="H540">
        <f>northwind_order_details[[#This Row],[unit_price]]*northwind_order_details[[#This Row],[quantity]]</f>
        <v>456</v>
      </c>
      <c r="I540" s="1">
        <f>northwind_order_details[[#This Row],[purchase amount]]*northwind_order_details[[#This Row],[discount]]</f>
        <v>0</v>
      </c>
      <c r="J540" s="1">
        <f>northwind_order_details[[#This Row],[purchase amount]]-northwind_order_details[[#This Row],[discount amount]]</f>
        <v>456</v>
      </c>
      <c r="K540" s="6" t="str">
        <f>IF(northwind_order_details[[#This Row],[discount amount]]&gt;0,"Yes","No")</f>
        <v>No</v>
      </c>
      <c r="L540" s="1" t="str">
        <f>IF(northwind_order_details[[#This Row],[Revenue]]&gt;1000,"High",IF(northwind_order_details[[#This Row],[Revenue]]&gt;300,"Medium","Low"))</f>
        <v>Medium</v>
      </c>
      <c r="M5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1" spans="1:13" x14ac:dyDescent="0.25">
      <c r="A541">
        <v>10458</v>
      </c>
      <c r="B541">
        <v>71</v>
      </c>
      <c r="C541" s="6">
        <v>17.2</v>
      </c>
      <c r="D541">
        <v>50</v>
      </c>
      <c r="E541" s="6" t="s">
        <v>6</v>
      </c>
      <c r="F541" t="str">
        <f>_xlfn.XLOOKUP(northwind_order_details[[#This Row],[order_id]],northwind_orders[order_id],northwind_orders[ship_country])</f>
        <v>Belgium</v>
      </c>
      <c r="G541">
        <f>INDEX(northwind_orders[],MATCH(northwind_order_details[[#This Row],[order_id]], northwind_orders[order_id], 0), MATCH("employee_id", northwind_orders[#Headers], 0))</f>
        <v>7</v>
      </c>
      <c r="H541">
        <f>northwind_order_details[[#This Row],[unit_price]]*northwind_order_details[[#This Row],[quantity]]</f>
        <v>860</v>
      </c>
      <c r="I541" s="1">
        <f>northwind_order_details[[#This Row],[purchase amount]]*northwind_order_details[[#This Row],[discount]]</f>
        <v>0</v>
      </c>
      <c r="J541" s="1">
        <f>northwind_order_details[[#This Row],[purchase amount]]-northwind_order_details[[#This Row],[discount amount]]</f>
        <v>860</v>
      </c>
      <c r="K541" s="6" t="str">
        <f>IF(northwind_order_details[[#This Row],[discount amount]]&gt;0,"Yes","No")</f>
        <v>No</v>
      </c>
      <c r="L541" s="1" t="str">
        <f>IF(northwind_order_details[[#This Row],[Revenue]]&gt;1000,"High",IF(northwind_order_details[[#This Row],[Revenue]]&gt;300,"Medium","Low"))</f>
        <v>Medium</v>
      </c>
      <c r="M5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2" spans="1:13" x14ac:dyDescent="0.25">
      <c r="A542">
        <v>10459</v>
      </c>
      <c r="B542">
        <v>7</v>
      </c>
      <c r="C542" s="6" t="s">
        <v>14</v>
      </c>
      <c r="D542">
        <v>16</v>
      </c>
      <c r="E542" s="6">
        <v>0.05</v>
      </c>
      <c r="F542" t="str">
        <f>_xlfn.XLOOKUP(northwind_order_details[[#This Row],[order_id]],northwind_orders[order_id],northwind_orders[ship_country])</f>
        <v>France</v>
      </c>
      <c r="G542">
        <f>INDEX(northwind_orders[],MATCH(northwind_order_details[[#This Row],[order_id]], northwind_orders[order_id], 0), MATCH("employee_id", northwind_orders[#Headers], 0))</f>
        <v>4</v>
      </c>
      <c r="H542">
        <f>northwind_order_details[[#This Row],[unit_price]]*northwind_order_details[[#This Row],[quantity]]</f>
        <v>384</v>
      </c>
      <c r="I542" s="1">
        <f>northwind_order_details[[#This Row],[purchase amount]]*northwind_order_details[[#This Row],[discount]]</f>
        <v>19.200000000000003</v>
      </c>
      <c r="J542" s="1">
        <f>northwind_order_details[[#This Row],[purchase amount]]-northwind_order_details[[#This Row],[discount amount]]</f>
        <v>364.8</v>
      </c>
      <c r="K542" s="6" t="str">
        <f>IF(northwind_order_details[[#This Row],[discount amount]]&gt;0,"Yes","No")</f>
        <v>Yes</v>
      </c>
      <c r="L542" s="1" t="str">
        <f>IF(northwind_order_details[[#This Row],[Revenue]]&gt;1000,"High",IF(northwind_order_details[[#This Row],[Revenue]]&gt;300,"Medium","Low"))</f>
        <v>Medium</v>
      </c>
      <c r="M5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3" spans="1:13" x14ac:dyDescent="0.25">
      <c r="A543">
        <v>10459</v>
      </c>
      <c r="B543">
        <v>46</v>
      </c>
      <c r="C543" s="6">
        <v>9.6</v>
      </c>
      <c r="D543">
        <v>20</v>
      </c>
      <c r="E543" s="6">
        <v>0.05</v>
      </c>
      <c r="F543" t="str">
        <f>_xlfn.XLOOKUP(northwind_order_details[[#This Row],[order_id]],northwind_orders[order_id],northwind_orders[ship_country])</f>
        <v>France</v>
      </c>
      <c r="G543">
        <f>INDEX(northwind_orders[],MATCH(northwind_order_details[[#This Row],[order_id]], northwind_orders[order_id], 0), MATCH("employee_id", northwind_orders[#Headers], 0))</f>
        <v>4</v>
      </c>
      <c r="H543">
        <f>northwind_order_details[[#This Row],[unit_price]]*northwind_order_details[[#This Row],[quantity]]</f>
        <v>192</v>
      </c>
      <c r="I543" s="1">
        <f>northwind_order_details[[#This Row],[purchase amount]]*northwind_order_details[[#This Row],[discount]]</f>
        <v>9.6000000000000014</v>
      </c>
      <c r="J543" s="1">
        <f>northwind_order_details[[#This Row],[purchase amount]]-northwind_order_details[[#This Row],[discount amount]]</f>
        <v>182.4</v>
      </c>
      <c r="K543" s="6" t="str">
        <f>IF(northwind_order_details[[#This Row],[discount amount]]&gt;0,"Yes","No")</f>
        <v>Yes</v>
      </c>
      <c r="L543" s="1" t="str">
        <f>IF(northwind_order_details[[#This Row],[Revenue]]&gt;1000,"High",IF(northwind_order_details[[#This Row],[Revenue]]&gt;300,"Medium","Low"))</f>
        <v>Low</v>
      </c>
      <c r="M5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4" spans="1:13" x14ac:dyDescent="0.25">
      <c r="A544">
        <v>10459</v>
      </c>
      <c r="B544">
        <v>72</v>
      </c>
      <c r="C544" s="6">
        <v>27.8</v>
      </c>
      <c r="D544">
        <v>40</v>
      </c>
      <c r="E544" s="6" t="s">
        <v>6</v>
      </c>
      <c r="F544" t="str">
        <f>_xlfn.XLOOKUP(northwind_order_details[[#This Row],[order_id]],northwind_orders[order_id],northwind_orders[ship_country])</f>
        <v>France</v>
      </c>
      <c r="G544">
        <f>INDEX(northwind_orders[],MATCH(northwind_order_details[[#This Row],[order_id]], northwind_orders[order_id], 0), MATCH("employee_id", northwind_orders[#Headers], 0))</f>
        <v>4</v>
      </c>
      <c r="H544">
        <f>northwind_order_details[[#This Row],[unit_price]]*northwind_order_details[[#This Row],[quantity]]</f>
        <v>1112</v>
      </c>
      <c r="I544" s="1">
        <f>northwind_order_details[[#This Row],[purchase amount]]*northwind_order_details[[#This Row],[discount]]</f>
        <v>0</v>
      </c>
      <c r="J544" s="1">
        <f>northwind_order_details[[#This Row],[purchase amount]]-northwind_order_details[[#This Row],[discount amount]]</f>
        <v>1112</v>
      </c>
      <c r="K544" s="6" t="str">
        <f>IF(northwind_order_details[[#This Row],[discount amount]]&gt;0,"Yes","No")</f>
        <v>No</v>
      </c>
      <c r="L544" s="1" t="str">
        <f>IF(northwind_order_details[[#This Row],[Revenue]]&gt;1000,"High",IF(northwind_order_details[[#This Row],[Revenue]]&gt;300,"Medium","Low"))</f>
        <v>High</v>
      </c>
      <c r="M5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5" spans="1:13" x14ac:dyDescent="0.25">
      <c r="A545">
        <v>10460</v>
      </c>
      <c r="B545">
        <v>68</v>
      </c>
      <c r="C545" s="6" t="s">
        <v>8</v>
      </c>
      <c r="D545">
        <v>21</v>
      </c>
      <c r="E545" s="6">
        <v>0.25</v>
      </c>
      <c r="F545" t="str">
        <f>_xlfn.XLOOKUP(northwind_order_details[[#This Row],[order_id]],northwind_orders[order_id],northwind_orders[ship_country])</f>
        <v>Sweden</v>
      </c>
      <c r="G545">
        <f>INDEX(northwind_orders[],MATCH(northwind_order_details[[#This Row],[order_id]], northwind_orders[order_id], 0), MATCH("employee_id", northwind_orders[#Headers], 0))</f>
        <v>8</v>
      </c>
      <c r="H545">
        <f>northwind_order_details[[#This Row],[unit_price]]*northwind_order_details[[#This Row],[quantity]]</f>
        <v>210</v>
      </c>
      <c r="I545" s="1">
        <f>northwind_order_details[[#This Row],[purchase amount]]*northwind_order_details[[#This Row],[discount]]</f>
        <v>52.5</v>
      </c>
      <c r="J545" s="1">
        <f>northwind_order_details[[#This Row],[purchase amount]]-northwind_order_details[[#This Row],[discount amount]]</f>
        <v>157.5</v>
      </c>
      <c r="K545" s="6" t="str">
        <f>IF(northwind_order_details[[#This Row],[discount amount]]&gt;0,"Yes","No")</f>
        <v>Yes</v>
      </c>
      <c r="L545" s="1" t="str">
        <f>IF(northwind_order_details[[#This Row],[Revenue]]&gt;1000,"High",IF(northwind_order_details[[#This Row],[Revenue]]&gt;300,"Medium","Low"))</f>
        <v>Low</v>
      </c>
      <c r="M5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6" spans="1:13" x14ac:dyDescent="0.25">
      <c r="A546">
        <v>10460</v>
      </c>
      <c r="B546">
        <v>75</v>
      </c>
      <c r="C546" s="6">
        <v>6.2</v>
      </c>
      <c r="D546">
        <v>4</v>
      </c>
      <c r="E546" s="6">
        <v>0.25</v>
      </c>
      <c r="F546" t="str">
        <f>_xlfn.XLOOKUP(northwind_order_details[[#This Row],[order_id]],northwind_orders[order_id],northwind_orders[ship_country])</f>
        <v>Sweden</v>
      </c>
      <c r="G546">
        <f>INDEX(northwind_orders[],MATCH(northwind_order_details[[#This Row],[order_id]], northwind_orders[order_id], 0), MATCH("employee_id", northwind_orders[#Headers], 0))</f>
        <v>8</v>
      </c>
      <c r="H546">
        <f>northwind_order_details[[#This Row],[unit_price]]*northwind_order_details[[#This Row],[quantity]]</f>
        <v>24.8</v>
      </c>
      <c r="I546" s="1">
        <f>northwind_order_details[[#This Row],[purchase amount]]*northwind_order_details[[#This Row],[discount]]</f>
        <v>6.2</v>
      </c>
      <c r="J546" s="1">
        <f>northwind_order_details[[#This Row],[purchase amount]]-northwind_order_details[[#This Row],[discount amount]]</f>
        <v>18.600000000000001</v>
      </c>
      <c r="K546" s="6" t="str">
        <f>IF(northwind_order_details[[#This Row],[discount amount]]&gt;0,"Yes","No")</f>
        <v>Yes</v>
      </c>
      <c r="L546" s="1" t="str">
        <f>IF(northwind_order_details[[#This Row],[Revenue]]&gt;1000,"High",IF(northwind_order_details[[#This Row],[Revenue]]&gt;300,"Medium","Low"))</f>
        <v>Low</v>
      </c>
      <c r="M5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7" spans="1:13" x14ac:dyDescent="0.25">
      <c r="A547">
        <v>10461</v>
      </c>
      <c r="B547">
        <v>21</v>
      </c>
      <c r="C547" s="6" t="s">
        <v>10</v>
      </c>
      <c r="D547">
        <v>40</v>
      </c>
      <c r="E547" s="6">
        <v>0.25</v>
      </c>
      <c r="F547" t="str">
        <f>_xlfn.XLOOKUP(northwind_order_details[[#This Row],[order_id]],northwind_orders[order_id],northwind_orders[ship_country])</f>
        <v>Venezuela</v>
      </c>
      <c r="G547">
        <f>INDEX(northwind_orders[],MATCH(northwind_order_details[[#This Row],[order_id]], northwind_orders[order_id], 0), MATCH("employee_id", northwind_orders[#Headers], 0))</f>
        <v>1</v>
      </c>
      <c r="H547">
        <f>northwind_order_details[[#This Row],[unit_price]]*northwind_order_details[[#This Row],[quantity]]</f>
        <v>320</v>
      </c>
      <c r="I547" s="1">
        <f>northwind_order_details[[#This Row],[purchase amount]]*northwind_order_details[[#This Row],[discount]]</f>
        <v>80</v>
      </c>
      <c r="J547" s="1">
        <f>northwind_order_details[[#This Row],[purchase amount]]-northwind_order_details[[#This Row],[discount amount]]</f>
        <v>240</v>
      </c>
      <c r="K547" s="6" t="str">
        <f>IF(northwind_order_details[[#This Row],[discount amount]]&gt;0,"Yes","No")</f>
        <v>Yes</v>
      </c>
      <c r="L547" s="1" t="str">
        <f>IF(northwind_order_details[[#This Row],[Revenue]]&gt;1000,"High",IF(northwind_order_details[[#This Row],[Revenue]]&gt;300,"Medium","Low"))</f>
        <v>Low</v>
      </c>
      <c r="M5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8" spans="1:13" x14ac:dyDescent="0.25">
      <c r="A548">
        <v>10461</v>
      </c>
      <c r="B548">
        <v>30</v>
      </c>
      <c r="C548" s="6">
        <v>20.7</v>
      </c>
      <c r="D548">
        <v>28</v>
      </c>
      <c r="E548" s="6">
        <v>0.25</v>
      </c>
      <c r="F548" t="str">
        <f>_xlfn.XLOOKUP(northwind_order_details[[#This Row],[order_id]],northwind_orders[order_id],northwind_orders[ship_country])</f>
        <v>Venezuela</v>
      </c>
      <c r="G548">
        <f>INDEX(northwind_orders[],MATCH(northwind_order_details[[#This Row],[order_id]], northwind_orders[order_id], 0), MATCH("employee_id", northwind_orders[#Headers], 0))</f>
        <v>1</v>
      </c>
      <c r="H548">
        <f>northwind_order_details[[#This Row],[unit_price]]*northwind_order_details[[#This Row],[quantity]]</f>
        <v>579.6</v>
      </c>
      <c r="I548" s="1">
        <f>northwind_order_details[[#This Row],[purchase amount]]*northwind_order_details[[#This Row],[discount]]</f>
        <v>144.9</v>
      </c>
      <c r="J548" s="1">
        <f>northwind_order_details[[#This Row],[purchase amount]]-northwind_order_details[[#This Row],[discount amount]]</f>
        <v>434.70000000000005</v>
      </c>
      <c r="K548" s="6" t="str">
        <f>IF(northwind_order_details[[#This Row],[discount amount]]&gt;0,"Yes","No")</f>
        <v>Yes</v>
      </c>
      <c r="L548" s="1" t="str">
        <f>IF(northwind_order_details[[#This Row],[Revenue]]&gt;1000,"High",IF(northwind_order_details[[#This Row],[Revenue]]&gt;300,"Medium","Low"))</f>
        <v>Medium</v>
      </c>
      <c r="M5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49" spans="1:13" x14ac:dyDescent="0.25">
      <c r="A549">
        <v>10461</v>
      </c>
      <c r="B549">
        <v>55</v>
      </c>
      <c r="C549" s="6">
        <v>19.2</v>
      </c>
      <c r="D549">
        <v>60</v>
      </c>
      <c r="E549" s="6">
        <v>0.25</v>
      </c>
      <c r="F549" t="str">
        <f>_xlfn.XLOOKUP(northwind_order_details[[#This Row],[order_id]],northwind_orders[order_id],northwind_orders[ship_country])</f>
        <v>Venezuela</v>
      </c>
      <c r="G549">
        <f>INDEX(northwind_orders[],MATCH(northwind_order_details[[#This Row],[order_id]], northwind_orders[order_id], 0), MATCH("employee_id", northwind_orders[#Headers], 0))</f>
        <v>1</v>
      </c>
      <c r="H549">
        <f>northwind_order_details[[#This Row],[unit_price]]*northwind_order_details[[#This Row],[quantity]]</f>
        <v>1152</v>
      </c>
      <c r="I549" s="1">
        <f>northwind_order_details[[#This Row],[purchase amount]]*northwind_order_details[[#This Row],[discount]]</f>
        <v>288</v>
      </c>
      <c r="J549" s="1">
        <f>northwind_order_details[[#This Row],[purchase amount]]-northwind_order_details[[#This Row],[discount amount]]</f>
        <v>864</v>
      </c>
      <c r="K549" s="6" t="str">
        <f>IF(northwind_order_details[[#This Row],[discount amount]]&gt;0,"Yes","No")</f>
        <v>Yes</v>
      </c>
      <c r="L549" s="1" t="str">
        <f>IF(northwind_order_details[[#This Row],[Revenue]]&gt;1000,"High",IF(northwind_order_details[[#This Row],[Revenue]]&gt;300,"Medium","Low"))</f>
        <v>Medium</v>
      </c>
      <c r="M5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0" spans="1:13" x14ac:dyDescent="0.25">
      <c r="A550">
        <v>10462</v>
      </c>
      <c r="B550">
        <v>13</v>
      </c>
      <c r="C550" s="6">
        <v>4.8</v>
      </c>
      <c r="D550">
        <v>1</v>
      </c>
      <c r="E550" s="6" t="s">
        <v>6</v>
      </c>
      <c r="F550" t="str">
        <f>_xlfn.XLOOKUP(northwind_order_details[[#This Row],[order_id]],northwind_orders[order_id],northwind_orders[ship_country])</f>
        <v>UK</v>
      </c>
      <c r="G550">
        <f>INDEX(northwind_orders[],MATCH(northwind_order_details[[#This Row],[order_id]], northwind_orders[order_id], 0), MATCH("employee_id", northwind_orders[#Headers], 0))</f>
        <v>2</v>
      </c>
      <c r="H550">
        <f>northwind_order_details[[#This Row],[unit_price]]*northwind_order_details[[#This Row],[quantity]]</f>
        <v>4.8</v>
      </c>
      <c r="I550" s="1">
        <f>northwind_order_details[[#This Row],[purchase amount]]*northwind_order_details[[#This Row],[discount]]</f>
        <v>0</v>
      </c>
      <c r="J550" s="1">
        <f>northwind_order_details[[#This Row],[purchase amount]]-northwind_order_details[[#This Row],[discount amount]]</f>
        <v>4.8</v>
      </c>
      <c r="K550" s="6" t="str">
        <f>IF(northwind_order_details[[#This Row],[discount amount]]&gt;0,"Yes","No")</f>
        <v>No</v>
      </c>
      <c r="L550" s="1" t="str">
        <f>IF(northwind_order_details[[#This Row],[Revenue]]&gt;1000,"High",IF(northwind_order_details[[#This Row],[Revenue]]&gt;300,"Medium","Low"))</f>
        <v>Low</v>
      </c>
      <c r="M5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1" spans="1:13" x14ac:dyDescent="0.25">
      <c r="A551">
        <v>10462</v>
      </c>
      <c r="B551">
        <v>23</v>
      </c>
      <c r="C551" s="6">
        <v>7.2</v>
      </c>
      <c r="D551">
        <v>21</v>
      </c>
      <c r="E551" s="6" t="s">
        <v>6</v>
      </c>
      <c r="F551" t="str">
        <f>_xlfn.XLOOKUP(northwind_order_details[[#This Row],[order_id]],northwind_orders[order_id],northwind_orders[ship_country])</f>
        <v>UK</v>
      </c>
      <c r="G551">
        <f>INDEX(northwind_orders[],MATCH(northwind_order_details[[#This Row],[order_id]], northwind_orders[order_id], 0), MATCH("employee_id", northwind_orders[#Headers], 0))</f>
        <v>2</v>
      </c>
      <c r="H551">
        <f>northwind_order_details[[#This Row],[unit_price]]*northwind_order_details[[#This Row],[quantity]]</f>
        <v>151.20000000000002</v>
      </c>
      <c r="I551" s="1">
        <f>northwind_order_details[[#This Row],[purchase amount]]*northwind_order_details[[#This Row],[discount]]</f>
        <v>0</v>
      </c>
      <c r="J551" s="1">
        <f>northwind_order_details[[#This Row],[purchase amount]]-northwind_order_details[[#This Row],[discount amount]]</f>
        <v>151.20000000000002</v>
      </c>
      <c r="K551" s="6" t="str">
        <f>IF(northwind_order_details[[#This Row],[discount amount]]&gt;0,"Yes","No")</f>
        <v>No</v>
      </c>
      <c r="L551" s="1" t="str">
        <f>IF(northwind_order_details[[#This Row],[Revenue]]&gt;1000,"High",IF(northwind_order_details[[#This Row],[Revenue]]&gt;300,"Medium","Low"))</f>
        <v>Low</v>
      </c>
      <c r="M5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2" spans="1:13" x14ac:dyDescent="0.25">
      <c r="A552">
        <v>10463</v>
      </c>
      <c r="B552">
        <v>19</v>
      </c>
      <c r="C552" s="6">
        <v>7.3</v>
      </c>
      <c r="D552">
        <v>21</v>
      </c>
      <c r="E552" s="6" t="s">
        <v>6</v>
      </c>
      <c r="F552" t="str">
        <f>_xlfn.XLOOKUP(northwind_order_details[[#This Row],[order_id]],northwind_orders[order_id],northwind_orders[ship_country])</f>
        <v>Belgium</v>
      </c>
      <c r="G552">
        <f>INDEX(northwind_orders[],MATCH(northwind_order_details[[#This Row],[order_id]], northwind_orders[order_id], 0), MATCH("employee_id", northwind_orders[#Headers], 0))</f>
        <v>5</v>
      </c>
      <c r="H552">
        <f>northwind_order_details[[#This Row],[unit_price]]*northwind_order_details[[#This Row],[quantity]]</f>
        <v>153.29999999999998</v>
      </c>
      <c r="I552" s="1">
        <f>northwind_order_details[[#This Row],[purchase amount]]*northwind_order_details[[#This Row],[discount]]</f>
        <v>0</v>
      </c>
      <c r="J552" s="1">
        <f>northwind_order_details[[#This Row],[purchase amount]]-northwind_order_details[[#This Row],[discount amount]]</f>
        <v>153.29999999999998</v>
      </c>
      <c r="K552" s="6" t="str">
        <f>IF(northwind_order_details[[#This Row],[discount amount]]&gt;0,"Yes","No")</f>
        <v>No</v>
      </c>
      <c r="L552" s="1" t="str">
        <f>IF(northwind_order_details[[#This Row],[Revenue]]&gt;1000,"High",IF(northwind_order_details[[#This Row],[Revenue]]&gt;300,"Medium","Low"))</f>
        <v>Low</v>
      </c>
      <c r="M5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3" spans="1:13" x14ac:dyDescent="0.25">
      <c r="A553">
        <v>10463</v>
      </c>
      <c r="B553">
        <v>42</v>
      </c>
      <c r="C553" s="6">
        <v>11.2</v>
      </c>
      <c r="D553">
        <v>50</v>
      </c>
      <c r="E553" s="6" t="s">
        <v>6</v>
      </c>
      <c r="F553" t="str">
        <f>_xlfn.XLOOKUP(northwind_order_details[[#This Row],[order_id]],northwind_orders[order_id],northwind_orders[ship_country])</f>
        <v>Belgium</v>
      </c>
      <c r="G553">
        <f>INDEX(northwind_orders[],MATCH(northwind_order_details[[#This Row],[order_id]], northwind_orders[order_id], 0), MATCH("employee_id", northwind_orders[#Headers], 0))</f>
        <v>5</v>
      </c>
      <c r="H553">
        <f>northwind_order_details[[#This Row],[unit_price]]*northwind_order_details[[#This Row],[quantity]]</f>
        <v>560</v>
      </c>
      <c r="I553" s="1">
        <f>northwind_order_details[[#This Row],[purchase amount]]*northwind_order_details[[#This Row],[discount]]</f>
        <v>0</v>
      </c>
      <c r="J553" s="1">
        <f>northwind_order_details[[#This Row],[purchase amount]]-northwind_order_details[[#This Row],[discount amount]]</f>
        <v>560</v>
      </c>
      <c r="K553" s="6" t="str">
        <f>IF(northwind_order_details[[#This Row],[discount amount]]&gt;0,"Yes","No")</f>
        <v>No</v>
      </c>
      <c r="L553" s="1" t="str">
        <f>IF(northwind_order_details[[#This Row],[Revenue]]&gt;1000,"High",IF(northwind_order_details[[#This Row],[Revenue]]&gt;300,"Medium","Low"))</f>
        <v>Medium</v>
      </c>
      <c r="M5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4" spans="1:13" x14ac:dyDescent="0.25">
      <c r="A554">
        <v>10464</v>
      </c>
      <c r="B554">
        <v>4</v>
      </c>
      <c r="C554" s="6">
        <v>17.600000000000001</v>
      </c>
      <c r="D554">
        <v>16</v>
      </c>
      <c r="E554" s="6">
        <v>0.2</v>
      </c>
      <c r="F554" t="str">
        <f>_xlfn.XLOOKUP(northwind_order_details[[#This Row],[order_id]],northwind_orders[order_id],northwind_orders[ship_country])</f>
        <v>Portugal</v>
      </c>
      <c r="G554">
        <f>INDEX(northwind_orders[],MATCH(northwind_order_details[[#This Row],[order_id]], northwind_orders[order_id], 0), MATCH("employee_id", northwind_orders[#Headers], 0))</f>
        <v>4</v>
      </c>
      <c r="H554">
        <f>northwind_order_details[[#This Row],[unit_price]]*northwind_order_details[[#This Row],[quantity]]</f>
        <v>281.60000000000002</v>
      </c>
      <c r="I554" s="1">
        <f>northwind_order_details[[#This Row],[purchase amount]]*northwind_order_details[[#This Row],[discount]]</f>
        <v>56.320000000000007</v>
      </c>
      <c r="J554" s="1">
        <f>northwind_order_details[[#This Row],[purchase amount]]-northwind_order_details[[#This Row],[discount amount]]</f>
        <v>225.28000000000003</v>
      </c>
      <c r="K554" s="6" t="str">
        <f>IF(northwind_order_details[[#This Row],[discount amount]]&gt;0,"Yes","No")</f>
        <v>Yes</v>
      </c>
      <c r="L554" s="1" t="str">
        <f>IF(northwind_order_details[[#This Row],[Revenue]]&gt;1000,"High",IF(northwind_order_details[[#This Row],[Revenue]]&gt;300,"Medium","Low"))</f>
        <v>Low</v>
      </c>
      <c r="M5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5" spans="1:13" x14ac:dyDescent="0.25">
      <c r="A555">
        <v>10464</v>
      </c>
      <c r="B555">
        <v>43</v>
      </c>
      <c r="C555" s="6">
        <v>36.799999999999997</v>
      </c>
      <c r="D555">
        <v>3</v>
      </c>
      <c r="E555" s="6" t="s">
        <v>6</v>
      </c>
      <c r="F555" t="str">
        <f>_xlfn.XLOOKUP(northwind_order_details[[#This Row],[order_id]],northwind_orders[order_id],northwind_orders[ship_country])</f>
        <v>Portugal</v>
      </c>
      <c r="G555">
        <f>INDEX(northwind_orders[],MATCH(northwind_order_details[[#This Row],[order_id]], northwind_orders[order_id], 0), MATCH("employee_id", northwind_orders[#Headers], 0))</f>
        <v>4</v>
      </c>
      <c r="H555">
        <f>northwind_order_details[[#This Row],[unit_price]]*northwind_order_details[[#This Row],[quantity]]</f>
        <v>110.39999999999999</v>
      </c>
      <c r="I555" s="1">
        <f>northwind_order_details[[#This Row],[purchase amount]]*northwind_order_details[[#This Row],[discount]]</f>
        <v>0</v>
      </c>
      <c r="J555" s="1">
        <f>northwind_order_details[[#This Row],[purchase amount]]-northwind_order_details[[#This Row],[discount amount]]</f>
        <v>110.39999999999999</v>
      </c>
      <c r="K555" s="6" t="str">
        <f>IF(northwind_order_details[[#This Row],[discount amount]]&gt;0,"Yes","No")</f>
        <v>No</v>
      </c>
      <c r="L555" s="1" t="str">
        <f>IF(northwind_order_details[[#This Row],[Revenue]]&gt;1000,"High",IF(northwind_order_details[[#This Row],[Revenue]]&gt;300,"Medium","Low"))</f>
        <v>Low</v>
      </c>
      <c r="M5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6" spans="1:13" x14ac:dyDescent="0.25">
      <c r="A556">
        <v>10464</v>
      </c>
      <c r="B556">
        <v>56</v>
      </c>
      <c r="C556" s="6">
        <v>30.4</v>
      </c>
      <c r="D556">
        <v>30</v>
      </c>
      <c r="E556" s="6">
        <v>0.2</v>
      </c>
      <c r="F556" t="str">
        <f>_xlfn.XLOOKUP(northwind_order_details[[#This Row],[order_id]],northwind_orders[order_id],northwind_orders[ship_country])</f>
        <v>Portugal</v>
      </c>
      <c r="G556">
        <f>INDEX(northwind_orders[],MATCH(northwind_order_details[[#This Row],[order_id]], northwind_orders[order_id], 0), MATCH("employee_id", northwind_orders[#Headers], 0))</f>
        <v>4</v>
      </c>
      <c r="H556">
        <f>northwind_order_details[[#This Row],[unit_price]]*northwind_order_details[[#This Row],[quantity]]</f>
        <v>912</v>
      </c>
      <c r="I556" s="1">
        <f>northwind_order_details[[#This Row],[purchase amount]]*northwind_order_details[[#This Row],[discount]]</f>
        <v>182.4</v>
      </c>
      <c r="J556" s="1">
        <f>northwind_order_details[[#This Row],[purchase amount]]-northwind_order_details[[#This Row],[discount amount]]</f>
        <v>729.6</v>
      </c>
      <c r="K556" s="6" t="str">
        <f>IF(northwind_order_details[[#This Row],[discount amount]]&gt;0,"Yes","No")</f>
        <v>Yes</v>
      </c>
      <c r="L556" s="1" t="str">
        <f>IF(northwind_order_details[[#This Row],[Revenue]]&gt;1000,"High",IF(northwind_order_details[[#This Row],[Revenue]]&gt;300,"Medium","Low"))</f>
        <v>Medium</v>
      </c>
      <c r="M5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7" spans="1:13" x14ac:dyDescent="0.25">
      <c r="A557">
        <v>10464</v>
      </c>
      <c r="B557">
        <v>60</v>
      </c>
      <c r="C557" s="6">
        <v>27.2</v>
      </c>
      <c r="D557">
        <v>20</v>
      </c>
      <c r="E557" s="6" t="s">
        <v>6</v>
      </c>
      <c r="F557" t="str">
        <f>_xlfn.XLOOKUP(northwind_order_details[[#This Row],[order_id]],northwind_orders[order_id],northwind_orders[ship_country])</f>
        <v>Portugal</v>
      </c>
      <c r="G557">
        <f>INDEX(northwind_orders[],MATCH(northwind_order_details[[#This Row],[order_id]], northwind_orders[order_id], 0), MATCH("employee_id", northwind_orders[#Headers], 0))</f>
        <v>4</v>
      </c>
      <c r="H557">
        <f>northwind_order_details[[#This Row],[unit_price]]*northwind_order_details[[#This Row],[quantity]]</f>
        <v>544</v>
      </c>
      <c r="I557" s="1">
        <f>northwind_order_details[[#This Row],[purchase amount]]*northwind_order_details[[#This Row],[discount]]</f>
        <v>0</v>
      </c>
      <c r="J557" s="1">
        <f>northwind_order_details[[#This Row],[purchase amount]]-northwind_order_details[[#This Row],[discount amount]]</f>
        <v>544</v>
      </c>
      <c r="K557" s="6" t="str">
        <f>IF(northwind_order_details[[#This Row],[discount amount]]&gt;0,"Yes","No")</f>
        <v>No</v>
      </c>
      <c r="L557" s="1" t="str">
        <f>IF(northwind_order_details[[#This Row],[Revenue]]&gt;1000,"High",IF(northwind_order_details[[#This Row],[Revenue]]&gt;300,"Medium","Low"))</f>
        <v>Medium</v>
      </c>
      <c r="M5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8" spans="1:13" x14ac:dyDescent="0.25">
      <c r="A558">
        <v>10465</v>
      </c>
      <c r="B558">
        <v>24</v>
      </c>
      <c r="C558" s="6">
        <v>3.6</v>
      </c>
      <c r="D558">
        <v>25</v>
      </c>
      <c r="E558" s="6" t="s">
        <v>6</v>
      </c>
      <c r="F558" t="str">
        <f>_xlfn.XLOOKUP(northwind_order_details[[#This Row],[order_id]],northwind_orders[order_id],northwind_orders[ship_country])</f>
        <v>Denmark</v>
      </c>
      <c r="G558">
        <f>INDEX(northwind_orders[],MATCH(northwind_order_details[[#This Row],[order_id]], northwind_orders[order_id], 0), MATCH("employee_id", northwind_orders[#Headers], 0))</f>
        <v>1</v>
      </c>
      <c r="H558">
        <f>northwind_order_details[[#This Row],[unit_price]]*northwind_order_details[[#This Row],[quantity]]</f>
        <v>90</v>
      </c>
      <c r="I558" s="1">
        <f>northwind_order_details[[#This Row],[purchase amount]]*northwind_order_details[[#This Row],[discount]]</f>
        <v>0</v>
      </c>
      <c r="J558" s="1">
        <f>northwind_order_details[[#This Row],[purchase amount]]-northwind_order_details[[#This Row],[discount amount]]</f>
        <v>90</v>
      </c>
      <c r="K558" s="6" t="str">
        <f>IF(northwind_order_details[[#This Row],[discount amount]]&gt;0,"Yes","No")</f>
        <v>No</v>
      </c>
      <c r="L558" s="1" t="str">
        <f>IF(northwind_order_details[[#This Row],[Revenue]]&gt;1000,"High",IF(northwind_order_details[[#This Row],[Revenue]]&gt;300,"Medium","Low"))</f>
        <v>Low</v>
      </c>
      <c r="M5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59" spans="1:13" x14ac:dyDescent="0.25">
      <c r="A559">
        <v>10465</v>
      </c>
      <c r="B559">
        <v>29</v>
      </c>
      <c r="C559" s="6" t="s">
        <v>15</v>
      </c>
      <c r="D559">
        <v>18</v>
      </c>
      <c r="E559" s="6">
        <v>0.1</v>
      </c>
      <c r="F559" t="str">
        <f>_xlfn.XLOOKUP(northwind_order_details[[#This Row],[order_id]],northwind_orders[order_id],northwind_orders[ship_country])</f>
        <v>Denmark</v>
      </c>
      <c r="G559">
        <f>INDEX(northwind_orders[],MATCH(northwind_order_details[[#This Row],[order_id]], northwind_orders[order_id], 0), MATCH("employee_id", northwind_orders[#Headers], 0))</f>
        <v>1</v>
      </c>
      <c r="H559">
        <f>northwind_order_details[[#This Row],[unit_price]]*northwind_order_details[[#This Row],[quantity]]</f>
        <v>1782</v>
      </c>
      <c r="I559" s="1">
        <f>northwind_order_details[[#This Row],[purchase amount]]*northwind_order_details[[#This Row],[discount]]</f>
        <v>178.20000000000002</v>
      </c>
      <c r="J559" s="1">
        <f>northwind_order_details[[#This Row],[purchase amount]]-northwind_order_details[[#This Row],[discount amount]]</f>
        <v>1603.8</v>
      </c>
      <c r="K559" s="6" t="str">
        <f>IF(northwind_order_details[[#This Row],[discount amount]]&gt;0,"Yes","No")</f>
        <v>Yes</v>
      </c>
      <c r="L559" s="1" t="str">
        <f>IF(northwind_order_details[[#This Row],[Revenue]]&gt;1000,"High",IF(northwind_order_details[[#This Row],[Revenue]]&gt;300,"Medium","Low"))</f>
        <v>High</v>
      </c>
      <c r="M5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0" spans="1:13" x14ac:dyDescent="0.25">
      <c r="A560">
        <v>10465</v>
      </c>
      <c r="B560">
        <v>40</v>
      </c>
      <c r="C560" s="6">
        <v>14.7</v>
      </c>
      <c r="D560">
        <v>20</v>
      </c>
      <c r="E560" s="6" t="s">
        <v>6</v>
      </c>
      <c r="F560" t="str">
        <f>_xlfn.XLOOKUP(northwind_order_details[[#This Row],[order_id]],northwind_orders[order_id],northwind_orders[ship_country])</f>
        <v>Denmark</v>
      </c>
      <c r="G560">
        <f>INDEX(northwind_orders[],MATCH(northwind_order_details[[#This Row],[order_id]], northwind_orders[order_id], 0), MATCH("employee_id", northwind_orders[#Headers], 0))</f>
        <v>1</v>
      </c>
      <c r="H560">
        <f>northwind_order_details[[#This Row],[unit_price]]*northwind_order_details[[#This Row],[quantity]]</f>
        <v>294</v>
      </c>
      <c r="I560" s="1">
        <f>northwind_order_details[[#This Row],[purchase amount]]*northwind_order_details[[#This Row],[discount]]</f>
        <v>0</v>
      </c>
      <c r="J560" s="1">
        <f>northwind_order_details[[#This Row],[purchase amount]]-northwind_order_details[[#This Row],[discount amount]]</f>
        <v>294</v>
      </c>
      <c r="K560" s="6" t="str">
        <f>IF(northwind_order_details[[#This Row],[discount amount]]&gt;0,"Yes","No")</f>
        <v>No</v>
      </c>
      <c r="L560" s="1" t="str">
        <f>IF(northwind_order_details[[#This Row],[Revenue]]&gt;1000,"High",IF(northwind_order_details[[#This Row],[Revenue]]&gt;300,"Medium","Low"))</f>
        <v>Low</v>
      </c>
      <c r="M5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1" spans="1:13" x14ac:dyDescent="0.25">
      <c r="A561">
        <v>10465</v>
      </c>
      <c r="B561">
        <v>45</v>
      </c>
      <c r="C561" s="6">
        <v>7.6</v>
      </c>
      <c r="D561">
        <v>30</v>
      </c>
      <c r="E561" s="6">
        <v>0.1</v>
      </c>
      <c r="F561" t="str">
        <f>_xlfn.XLOOKUP(northwind_order_details[[#This Row],[order_id]],northwind_orders[order_id],northwind_orders[ship_country])</f>
        <v>Denmark</v>
      </c>
      <c r="G561">
        <f>INDEX(northwind_orders[],MATCH(northwind_order_details[[#This Row],[order_id]], northwind_orders[order_id], 0), MATCH("employee_id", northwind_orders[#Headers], 0))</f>
        <v>1</v>
      </c>
      <c r="H561">
        <f>northwind_order_details[[#This Row],[unit_price]]*northwind_order_details[[#This Row],[quantity]]</f>
        <v>228</v>
      </c>
      <c r="I561" s="1">
        <f>northwind_order_details[[#This Row],[purchase amount]]*northwind_order_details[[#This Row],[discount]]</f>
        <v>22.8</v>
      </c>
      <c r="J561" s="1">
        <f>northwind_order_details[[#This Row],[purchase amount]]-northwind_order_details[[#This Row],[discount amount]]</f>
        <v>205.2</v>
      </c>
      <c r="K561" s="6" t="str">
        <f>IF(northwind_order_details[[#This Row],[discount amount]]&gt;0,"Yes","No")</f>
        <v>Yes</v>
      </c>
      <c r="L561" s="1" t="str">
        <f>IF(northwind_order_details[[#This Row],[Revenue]]&gt;1000,"High",IF(northwind_order_details[[#This Row],[Revenue]]&gt;300,"Medium","Low"))</f>
        <v>Low</v>
      </c>
      <c r="M5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2" spans="1:13" x14ac:dyDescent="0.25">
      <c r="A562">
        <v>10465</v>
      </c>
      <c r="B562">
        <v>50</v>
      </c>
      <c r="C562" s="6" t="s">
        <v>19</v>
      </c>
      <c r="D562">
        <v>25</v>
      </c>
      <c r="E562" s="6" t="s">
        <v>6</v>
      </c>
      <c r="F562" t="str">
        <f>_xlfn.XLOOKUP(northwind_order_details[[#This Row],[order_id]],northwind_orders[order_id],northwind_orders[ship_country])</f>
        <v>Denmark</v>
      </c>
      <c r="G562">
        <f>INDEX(northwind_orders[],MATCH(northwind_order_details[[#This Row],[order_id]], northwind_orders[order_id], 0), MATCH("employee_id", northwind_orders[#Headers], 0))</f>
        <v>1</v>
      </c>
      <c r="H562">
        <f>northwind_order_details[[#This Row],[unit_price]]*northwind_order_details[[#This Row],[quantity]]</f>
        <v>325</v>
      </c>
      <c r="I562" s="1">
        <f>northwind_order_details[[#This Row],[purchase amount]]*northwind_order_details[[#This Row],[discount]]</f>
        <v>0</v>
      </c>
      <c r="J562" s="1">
        <f>northwind_order_details[[#This Row],[purchase amount]]-northwind_order_details[[#This Row],[discount amount]]</f>
        <v>325</v>
      </c>
      <c r="K562" s="6" t="str">
        <f>IF(northwind_order_details[[#This Row],[discount amount]]&gt;0,"Yes","No")</f>
        <v>No</v>
      </c>
      <c r="L562" s="1" t="str">
        <f>IF(northwind_order_details[[#This Row],[Revenue]]&gt;1000,"High",IF(northwind_order_details[[#This Row],[Revenue]]&gt;300,"Medium","Low"))</f>
        <v>Medium</v>
      </c>
      <c r="M5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3" spans="1:13" x14ac:dyDescent="0.25">
      <c r="A563">
        <v>10466</v>
      </c>
      <c r="B563">
        <v>11</v>
      </c>
      <c r="C563" s="6">
        <v>16.8</v>
      </c>
      <c r="D563">
        <v>10</v>
      </c>
      <c r="E563" s="6" t="s">
        <v>6</v>
      </c>
      <c r="F563" t="str">
        <f>_xlfn.XLOOKUP(northwind_order_details[[#This Row],[order_id]],northwind_orders[order_id],northwind_orders[ship_country])</f>
        <v>Brazil</v>
      </c>
      <c r="G563">
        <f>INDEX(northwind_orders[],MATCH(northwind_order_details[[#This Row],[order_id]], northwind_orders[order_id], 0), MATCH("employee_id", northwind_orders[#Headers], 0))</f>
        <v>4</v>
      </c>
      <c r="H563">
        <f>northwind_order_details[[#This Row],[unit_price]]*northwind_order_details[[#This Row],[quantity]]</f>
        <v>168</v>
      </c>
      <c r="I563" s="1">
        <f>northwind_order_details[[#This Row],[purchase amount]]*northwind_order_details[[#This Row],[discount]]</f>
        <v>0</v>
      </c>
      <c r="J563" s="1">
        <f>northwind_order_details[[#This Row],[purchase amount]]-northwind_order_details[[#This Row],[discount amount]]</f>
        <v>168</v>
      </c>
      <c r="K563" s="6" t="str">
        <f>IF(northwind_order_details[[#This Row],[discount amount]]&gt;0,"Yes","No")</f>
        <v>No</v>
      </c>
      <c r="L563" s="1" t="str">
        <f>IF(northwind_order_details[[#This Row],[Revenue]]&gt;1000,"High",IF(northwind_order_details[[#This Row],[Revenue]]&gt;300,"Medium","Low"))</f>
        <v>Low</v>
      </c>
      <c r="M5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4" spans="1:13" x14ac:dyDescent="0.25">
      <c r="A564">
        <v>10466</v>
      </c>
      <c r="B564">
        <v>46</v>
      </c>
      <c r="C564" s="6">
        <v>9.6</v>
      </c>
      <c r="D564">
        <v>5</v>
      </c>
      <c r="E564" s="6" t="s">
        <v>6</v>
      </c>
      <c r="F564" t="str">
        <f>_xlfn.XLOOKUP(northwind_order_details[[#This Row],[order_id]],northwind_orders[order_id],northwind_orders[ship_country])</f>
        <v>Brazil</v>
      </c>
      <c r="G564">
        <f>INDEX(northwind_orders[],MATCH(northwind_order_details[[#This Row],[order_id]], northwind_orders[order_id], 0), MATCH("employee_id", northwind_orders[#Headers], 0))</f>
        <v>4</v>
      </c>
      <c r="H564">
        <f>northwind_order_details[[#This Row],[unit_price]]*northwind_order_details[[#This Row],[quantity]]</f>
        <v>48</v>
      </c>
      <c r="I564" s="1">
        <f>northwind_order_details[[#This Row],[purchase amount]]*northwind_order_details[[#This Row],[discount]]</f>
        <v>0</v>
      </c>
      <c r="J564" s="1">
        <f>northwind_order_details[[#This Row],[purchase amount]]-northwind_order_details[[#This Row],[discount amount]]</f>
        <v>48</v>
      </c>
      <c r="K564" s="6" t="str">
        <f>IF(northwind_order_details[[#This Row],[discount amount]]&gt;0,"Yes","No")</f>
        <v>No</v>
      </c>
      <c r="L564" s="1" t="str">
        <f>IF(northwind_order_details[[#This Row],[Revenue]]&gt;1000,"High",IF(northwind_order_details[[#This Row],[Revenue]]&gt;300,"Medium","Low"))</f>
        <v>Low</v>
      </c>
      <c r="M5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5" spans="1:13" x14ac:dyDescent="0.25">
      <c r="A565">
        <v>10467</v>
      </c>
      <c r="B565">
        <v>24</v>
      </c>
      <c r="C565" s="6">
        <v>3.6</v>
      </c>
      <c r="D565">
        <v>28</v>
      </c>
      <c r="E565" s="6" t="s">
        <v>6</v>
      </c>
      <c r="F565" t="str">
        <f>_xlfn.XLOOKUP(northwind_order_details[[#This Row],[order_id]],northwind_orders[order_id],northwind_orders[ship_country])</f>
        <v>Italy</v>
      </c>
      <c r="G565">
        <f>INDEX(northwind_orders[],MATCH(northwind_order_details[[#This Row],[order_id]], northwind_orders[order_id], 0), MATCH("employee_id", northwind_orders[#Headers], 0))</f>
        <v>8</v>
      </c>
      <c r="H565">
        <f>northwind_order_details[[#This Row],[unit_price]]*northwind_order_details[[#This Row],[quantity]]</f>
        <v>100.8</v>
      </c>
      <c r="I565" s="1">
        <f>northwind_order_details[[#This Row],[purchase amount]]*northwind_order_details[[#This Row],[discount]]</f>
        <v>0</v>
      </c>
      <c r="J565" s="1">
        <f>northwind_order_details[[#This Row],[purchase amount]]-northwind_order_details[[#This Row],[discount amount]]</f>
        <v>100.8</v>
      </c>
      <c r="K565" s="6" t="str">
        <f>IF(northwind_order_details[[#This Row],[discount amount]]&gt;0,"Yes","No")</f>
        <v>No</v>
      </c>
      <c r="L565" s="1" t="str">
        <f>IF(northwind_order_details[[#This Row],[Revenue]]&gt;1000,"High",IF(northwind_order_details[[#This Row],[Revenue]]&gt;300,"Medium","Low"))</f>
        <v>Low</v>
      </c>
      <c r="M5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6" spans="1:13" x14ac:dyDescent="0.25">
      <c r="A566">
        <v>10467</v>
      </c>
      <c r="B566">
        <v>25</v>
      </c>
      <c r="C566" s="6">
        <v>11.2</v>
      </c>
      <c r="D566">
        <v>12</v>
      </c>
      <c r="E566" s="6" t="s">
        <v>6</v>
      </c>
      <c r="F566" t="str">
        <f>_xlfn.XLOOKUP(northwind_order_details[[#This Row],[order_id]],northwind_orders[order_id],northwind_orders[ship_country])</f>
        <v>Italy</v>
      </c>
      <c r="G566">
        <f>INDEX(northwind_orders[],MATCH(northwind_order_details[[#This Row],[order_id]], northwind_orders[order_id], 0), MATCH("employee_id", northwind_orders[#Headers], 0))</f>
        <v>8</v>
      </c>
      <c r="H566">
        <f>northwind_order_details[[#This Row],[unit_price]]*northwind_order_details[[#This Row],[quantity]]</f>
        <v>134.39999999999998</v>
      </c>
      <c r="I566" s="1">
        <f>northwind_order_details[[#This Row],[purchase amount]]*northwind_order_details[[#This Row],[discount]]</f>
        <v>0</v>
      </c>
      <c r="J566" s="1">
        <f>northwind_order_details[[#This Row],[purchase amount]]-northwind_order_details[[#This Row],[discount amount]]</f>
        <v>134.39999999999998</v>
      </c>
      <c r="K566" s="6" t="str">
        <f>IF(northwind_order_details[[#This Row],[discount amount]]&gt;0,"Yes","No")</f>
        <v>No</v>
      </c>
      <c r="L566" s="1" t="str">
        <f>IF(northwind_order_details[[#This Row],[Revenue]]&gt;1000,"High",IF(northwind_order_details[[#This Row],[Revenue]]&gt;300,"Medium","Low"))</f>
        <v>Low</v>
      </c>
      <c r="M5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7" spans="1:13" x14ac:dyDescent="0.25">
      <c r="A567">
        <v>10468</v>
      </c>
      <c r="B567">
        <v>30</v>
      </c>
      <c r="C567" s="6">
        <v>20.7</v>
      </c>
      <c r="D567">
        <v>8</v>
      </c>
      <c r="E567" s="6" t="s">
        <v>6</v>
      </c>
      <c r="F567" t="str">
        <f>_xlfn.XLOOKUP(northwind_order_details[[#This Row],[order_id]],northwind_orders[order_id],northwind_orders[ship_country])</f>
        <v>Germany</v>
      </c>
      <c r="G567">
        <f>INDEX(northwind_orders[],MATCH(northwind_order_details[[#This Row],[order_id]], northwind_orders[order_id], 0), MATCH("employee_id", northwind_orders[#Headers], 0))</f>
        <v>3</v>
      </c>
      <c r="H567">
        <f>northwind_order_details[[#This Row],[unit_price]]*northwind_order_details[[#This Row],[quantity]]</f>
        <v>165.6</v>
      </c>
      <c r="I567" s="1">
        <f>northwind_order_details[[#This Row],[purchase amount]]*northwind_order_details[[#This Row],[discount]]</f>
        <v>0</v>
      </c>
      <c r="J567" s="1">
        <f>northwind_order_details[[#This Row],[purchase amount]]-northwind_order_details[[#This Row],[discount amount]]</f>
        <v>165.6</v>
      </c>
      <c r="K567" s="6" t="str">
        <f>IF(northwind_order_details[[#This Row],[discount amount]]&gt;0,"Yes","No")</f>
        <v>No</v>
      </c>
      <c r="L567" s="1" t="str">
        <f>IF(northwind_order_details[[#This Row],[Revenue]]&gt;1000,"High",IF(northwind_order_details[[#This Row],[Revenue]]&gt;300,"Medium","Low"))</f>
        <v>Low</v>
      </c>
      <c r="M5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8" spans="1:13" x14ac:dyDescent="0.25">
      <c r="A568">
        <v>10468</v>
      </c>
      <c r="B568">
        <v>43</v>
      </c>
      <c r="C568" s="6">
        <v>36.799999999999997</v>
      </c>
      <c r="D568">
        <v>15</v>
      </c>
      <c r="E568" s="6" t="s">
        <v>6</v>
      </c>
      <c r="F568" t="str">
        <f>_xlfn.XLOOKUP(northwind_order_details[[#This Row],[order_id]],northwind_orders[order_id],northwind_orders[ship_country])</f>
        <v>Germany</v>
      </c>
      <c r="G568">
        <f>INDEX(northwind_orders[],MATCH(northwind_order_details[[#This Row],[order_id]], northwind_orders[order_id], 0), MATCH("employee_id", northwind_orders[#Headers], 0))</f>
        <v>3</v>
      </c>
      <c r="H568">
        <f>northwind_order_details[[#This Row],[unit_price]]*northwind_order_details[[#This Row],[quantity]]</f>
        <v>552</v>
      </c>
      <c r="I568" s="1">
        <f>northwind_order_details[[#This Row],[purchase amount]]*northwind_order_details[[#This Row],[discount]]</f>
        <v>0</v>
      </c>
      <c r="J568" s="1">
        <f>northwind_order_details[[#This Row],[purchase amount]]-northwind_order_details[[#This Row],[discount amount]]</f>
        <v>552</v>
      </c>
      <c r="K568" s="6" t="str">
        <f>IF(northwind_order_details[[#This Row],[discount amount]]&gt;0,"Yes","No")</f>
        <v>No</v>
      </c>
      <c r="L568" s="1" t="str">
        <f>IF(northwind_order_details[[#This Row],[Revenue]]&gt;1000,"High",IF(northwind_order_details[[#This Row],[Revenue]]&gt;300,"Medium","Low"))</f>
        <v>Medium</v>
      </c>
      <c r="M5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69" spans="1:13" x14ac:dyDescent="0.25">
      <c r="A569">
        <v>10469</v>
      </c>
      <c r="B569">
        <v>2</v>
      </c>
      <c r="C569" s="6">
        <v>15.2</v>
      </c>
      <c r="D569">
        <v>40</v>
      </c>
      <c r="E569" s="6">
        <v>0.15</v>
      </c>
      <c r="F569" t="str">
        <f>_xlfn.XLOOKUP(northwind_order_details[[#This Row],[order_id]],northwind_orders[order_id],northwind_orders[ship_country])</f>
        <v>USA</v>
      </c>
      <c r="G569">
        <f>INDEX(northwind_orders[],MATCH(northwind_order_details[[#This Row],[order_id]], northwind_orders[order_id], 0), MATCH("employee_id", northwind_orders[#Headers], 0))</f>
        <v>1</v>
      </c>
      <c r="H569">
        <f>northwind_order_details[[#This Row],[unit_price]]*northwind_order_details[[#This Row],[quantity]]</f>
        <v>608</v>
      </c>
      <c r="I569" s="1">
        <f>northwind_order_details[[#This Row],[purchase amount]]*northwind_order_details[[#This Row],[discount]]</f>
        <v>91.2</v>
      </c>
      <c r="J569" s="1">
        <f>northwind_order_details[[#This Row],[purchase amount]]-northwind_order_details[[#This Row],[discount amount]]</f>
        <v>516.79999999999995</v>
      </c>
      <c r="K569" s="6" t="str">
        <f>IF(northwind_order_details[[#This Row],[discount amount]]&gt;0,"Yes","No")</f>
        <v>Yes</v>
      </c>
      <c r="L569" s="1" t="str">
        <f>IF(northwind_order_details[[#This Row],[Revenue]]&gt;1000,"High",IF(northwind_order_details[[#This Row],[Revenue]]&gt;300,"Medium","Low"))</f>
        <v>Medium</v>
      </c>
      <c r="M5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0" spans="1:13" x14ac:dyDescent="0.25">
      <c r="A570">
        <v>10469</v>
      </c>
      <c r="B570">
        <v>16</v>
      </c>
      <c r="C570" s="6">
        <v>13.9</v>
      </c>
      <c r="D570">
        <v>35</v>
      </c>
      <c r="E570" s="6">
        <v>0.15</v>
      </c>
      <c r="F570" t="str">
        <f>_xlfn.XLOOKUP(northwind_order_details[[#This Row],[order_id]],northwind_orders[order_id],northwind_orders[ship_country])</f>
        <v>USA</v>
      </c>
      <c r="G570">
        <f>INDEX(northwind_orders[],MATCH(northwind_order_details[[#This Row],[order_id]], northwind_orders[order_id], 0), MATCH("employee_id", northwind_orders[#Headers], 0))</f>
        <v>1</v>
      </c>
      <c r="H570">
        <f>northwind_order_details[[#This Row],[unit_price]]*northwind_order_details[[#This Row],[quantity]]</f>
        <v>486.5</v>
      </c>
      <c r="I570" s="1">
        <f>northwind_order_details[[#This Row],[purchase amount]]*northwind_order_details[[#This Row],[discount]]</f>
        <v>72.974999999999994</v>
      </c>
      <c r="J570" s="1">
        <f>northwind_order_details[[#This Row],[purchase amount]]-northwind_order_details[[#This Row],[discount amount]]</f>
        <v>413.52499999999998</v>
      </c>
      <c r="K570" s="6" t="str">
        <f>IF(northwind_order_details[[#This Row],[discount amount]]&gt;0,"Yes","No")</f>
        <v>Yes</v>
      </c>
      <c r="L570" s="1" t="str">
        <f>IF(northwind_order_details[[#This Row],[Revenue]]&gt;1000,"High",IF(northwind_order_details[[#This Row],[Revenue]]&gt;300,"Medium","Low"))</f>
        <v>Medium</v>
      </c>
      <c r="M5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1" spans="1:13" x14ac:dyDescent="0.25">
      <c r="A571">
        <v>10469</v>
      </c>
      <c r="B571">
        <v>44</v>
      </c>
      <c r="C571" s="6">
        <v>15.5</v>
      </c>
      <c r="D571">
        <v>2</v>
      </c>
      <c r="E571" s="6">
        <v>0.15</v>
      </c>
      <c r="F571" t="str">
        <f>_xlfn.XLOOKUP(northwind_order_details[[#This Row],[order_id]],northwind_orders[order_id],northwind_orders[ship_country])</f>
        <v>USA</v>
      </c>
      <c r="G571">
        <f>INDEX(northwind_orders[],MATCH(northwind_order_details[[#This Row],[order_id]], northwind_orders[order_id], 0), MATCH("employee_id", northwind_orders[#Headers], 0))</f>
        <v>1</v>
      </c>
      <c r="H571">
        <f>northwind_order_details[[#This Row],[unit_price]]*northwind_order_details[[#This Row],[quantity]]</f>
        <v>31</v>
      </c>
      <c r="I571" s="1">
        <f>northwind_order_details[[#This Row],[purchase amount]]*northwind_order_details[[#This Row],[discount]]</f>
        <v>4.6499999999999995</v>
      </c>
      <c r="J571" s="1">
        <f>northwind_order_details[[#This Row],[purchase amount]]-northwind_order_details[[#This Row],[discount amount]]</f>
        <v>26.35</v>
      </c>
      <c r="K571" s="6" t="str">
        <f>IF(northwind_order_details[[#This Row],[discount amount]]&gt;0,"Yes","No")</f>
        <v>Yes</v>
      </c>
      <c r="L571" s="1" t="str">
        <f>IF(northwind_order_details[[#This Row],[Revenue]]&gt;1000,"High",IF(northwind_order_details[[#This Row],[Revenue]]&gt;300,"Medium","Low"))</f>
        <v>Low</v>
      </c>
      <c r="M5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2" spans="1:13" x14ac:dyDescent="0.25">
      <c r="A572">
        <v>10470</v>
      </c>
      <c r="B572">
        <v>18</v>
      </c>
      <c r="C572" s="6" t="s">
        <v>16</v>
      </c>
      <c r="D572">
        <v>30</v>
      </c>
      <c r="E572" s="6" t="s">
        <v>6</v>
      </c>
      <c r="F572" t="str">
        <f>_xlfn.XLOOKUP(northwind_order_details[[#This Row],[order_id]],northwind_orders[order_id],northwind_orders[ship_country])</f>
        <v>France</v>
      </c>
      <c r="G572">
        <f>INDEX(northwind_orders[],MATCH(northwind_order_details[[#This Row],[order_id]], northwind_orders[order_id], 0), MATCH("employee_id", northwind_orders[#Headers], 0))</f>
        <v>4</v>
      </c>
      <c r="H572">
        <f>northwind_order_details[[#This Row],[unit_price]]*northwind_order_details[[#This Row],[quantity]]</f>
        <v>1500</v>
      </c>
      <c r="I572" s="1">
        <f>northwind_order_details[[#This Row],[purchase amount]]*northwind_order_details[[#This Row],[discount]]</f>
        <v>0</v>
      </c>
      <c r="J572" s="1">
        <f>northwind_order_details[[#This Row],[purchase amount]]-northwind_order_details[[#This Row],[discount amount]]</f>
        <v>1500</v>
      </c>
      <c r="K572" s="6" t="str">
        <f>IF(northwind_order_details[[#This Row],[discount amount]]&gt;0,"Yes","No")</f>
        <v>No</v>
      </c>
      <c r="L572" s="1" t="str">
        <f>IF(northwind_order_details[[#This Row],[Revenue]]&gt;1000,"High",IF(northwind_order_details[[#This Row],[Revenue]]&gt;300,"Medium","Low"))</f>
        <v>High</v>
      </c>
      <c r="M5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3" spans="1:13" x14ac:dyDescent="0.25">
      <c r="A573">
        <v>10470</v>
      </c>
      <c r="B573">
        <v>23</v>
      </c>
      <c r="C573" s="6">
        <v>7.2</v>
      </c>
      <c r="D573">
        <v>15</v>
      </c>
      <c r="E573" s="6" t="s">
        <v>6</v>
      </c>
      <c r="F573" t="str">
        <f>_xlfn.XLOOKUP(northwind_order_details[[#This Row],[order_id]],northwind_orders[order_id],northwind_orders[ship_country])</f>
        <v>France</v>
      </c>
      <c r="G573">
        <f>INDEX(northwind_orders[],MATCH(northwind_order_details[[#This Row],[order_id]], northwind_orders[order_id], 0), MATCH("employee_id", northwind_orders[#Headers], 0))</f>
        <v>4</v>
      </c>
      <c r="H573">
        <f>northwind_order_details[[#This Row],[unit_price]]*northwind_order_details[[#This Row],[quantity]]</f>
        <v>108</v>
      </c>
      <c r="I573" s="1">
        <f>northwind_order_details[[#This Row],[purchase amount]]*northwind_order_details[[#This Row],[discount]]</f>
        <v>0</v>
      </c>
      <c r="J573" s="1">
        <f>northwind_order_details[[#This Row],[purchase amount]]-northwind_order_details[[#This Row],[discount amount]]</f>
        <v>108</v>
      </c>
      <c r="K573" s="6" t="str">
        <f>IF(northwind_order_details[[#This Row],[discount amount]]&gt;0,"Yes","No")</f>
        <v>No</v>
      </c>
      <c r="L573" s="1" t="str">
        <f>IF(northwind_order_details[[#This Row],[Revenue]]&gt;1000,"High",IF(northwind_order_details[[#This Row],[Revenue]]&gt;300,"Medium","Low"))</f>
        <v>Low</v>
      </c>
      <c r="M5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4" spans="1:13" x14ac:dyDescent="0.25">
      <c r="A574">
        <v>10470</v>
      </c>
      <c r="B574">
        <v>64</v>
      </c>
      <c r="C574" s="6">
        <v>26.6</v>
      </c>
      <c r="D574">
        <v>8</v>
      </c>
      <c r="E574" s="6" t="s">
        <v>6</v>
      </c>
      <c r="F574" t="str">
        <f>_xlfn.XLOOKUP(northwind_order_details[[#This Row],[order_id]],northwind_orders[order_id],northwind_orders[ship_country])</f>
        <v>France</v>
      </c>
      <c r="G574">
        <f>INDEX(northwind_orders[],MATCH(northwind_order_details[[#This Row],[order_id]], northwind_orders[order_id], 0), MATCH("employee_id", northwind_orders[#Headers], 0))</f>
        <v>4</v>
      </c>
      <c r="H574">
        <f>northwind_order_details[[#This Row],[unit_price]]*northwind_order_details[[#This Row],[quantity]]</f>
        <v>212.8</v>
      </c>
      <c r="I574" s="1">
        <f>northwind_order_details[[#This Row],[purchase amount]]*northwind_order_details[[#This Row],[discount]]</f>
        <v>0</v>
      </c>
      <c r="J574" s="1">
        <f>northwind_order_details[[#This Row],[purchase amount]]-northwind_order_details[[#This Row],[discount amount]]</f>
        <v>212.8</v>
      </c>
      <c r="K574" s="6" t="str">
        <f>IF(northwind_order_details[[#This Row],[discount amount]]&gt;0,"Yes","No")</f>
        <v>No</v>
      </c>
      <c r="L574" s="1" t="str">
        <f>IF(northwind_order_details[[#This Row],[Revenue]]&gt;1000,"High",IF(northwind_order_details[[#This Row],[Revenue]]&gt;300,"Medium","Low"))</f>
        <v>Low</v>
      </c>
      <c r="M5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5" spans="1:13" x14ac:dyDescent="0.25">
      <c r="A575">
        <v>10471</v>
      </c>
      <c r="B575">
        <v>7</v>
      </c>
      <c r="C575" s="6" t="s">
        <v>14</v>
      </c>
      <c r="D575">
        <v>30</v>
      </c>
      <c r="E575" s="6" t="s">
        <v>6</v>
      </c>
      <c r="F575" t="str">
        <f>_xlfn.XLOOKUP(northwind_order_details[[#This Row],[order_id]],northwind_orders[order_id],northwind_orders[ship_country])</f>
        <v>UK</v>
      </c>
      <c r="G575">
        <f>INDEX(northwind_orders[],MATCH(northwind_order_details[[#This Row],[order_id]], northwind_orders[order_id], 0), MATCH("employee_id", northwind_orders[#Headers], 0))</f>
        <v>2</v>
      </c>
      <c r="H575">
        <f>northwind_order_details[[#This Row],[unit_price]]*northwind_order_details[[#This Row],[quantity]]</f>
        <v>720</v>
      </c>
      <c r="I575" s="1">
        <f>northwind_order_details[[#This Row],[purchase amount]]*northwind_order_details[[#This Row],[discount]]</f>
        <v>0</v>
      </c>
      <c r="J575" s="1">
        <f>northwind_order_details[[#This Row],[purchase amount]]-northwind_order_details[[#This Row],[discount amount]]</f>
        <v>720</v>
      </c>
      <c r="K575" s="6" t="str">
        <f>IF(northwind_order_details[[#This Row],[discount amount]]&gt;0,"Yes","No")</f>
        <v>No</v>
      </c>
      <c r="L575" s="1" t="str">
        <f>IF(northwind_order_details[[#This Row],[Revenue]]&gt;1000,"High",IF(northwind_order_details[[#This Row],[Revenue]]&gt;300,"Medium","Low"))</f>
        <v>Medium</v>
      </c>
      <c r="M5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6" spans="1:13" x14ac:dyDescent="0.25">
      <c r="A576">
        <v>10471</v>
      </c>
      <c r="B576">
        <v>56</v>
      </c>
      <c r="C576" s="6">
        <v>30.4</v>
      </c>
      <c r="D576">
        <v>20</v>
      </c>
      <c r="E576" s="6" t="s">
        <v>6</v>
      </c>
      <c r="F576" t="str">
        <f>_xlfn.XLOOKUP(northwind_order_details[[#This Row],[order_id]],northwind_orders[order_id],northwind_orders[ship_country])</f>
        <v>UK</v>
      </c>
      <c r="G576">
        <f>INDEX(northwind_orders[],MATCH(northwind_order_details[[#This Row],[order_id]], northwind_orders[order_id], 0), MATCH("employee_id", northwind_orders[#Headers], 0))</f>
        <v>2</v>
      </c>
      <c r="H576">
        <f>northwind_order_details[[#This Row],[unit_price]]*northwind_order_details[[#This Row],[quantity]]</f>
        <v>608</v>
      </c>
      <c r="I576" s="1">
        <f>northwind_order_details[[#This Row],[purchase amount]]*northwind_order_details[[#This Row],[discount]]</f>
        <v>0</v>
      </c>
      <c r="J576" s="1">
        <f>northwind_order_details[[#This Row],[purchase amount]]-northwind_order_details[[#This Row],[discount amount]]</f>
        <v>608</v>
      </c>
      <c r="K576" s="6" t="str">
        <f>IF(northwind_order_details[[#This Row],[discount amount]]&gt;0,"Yes","No")</f>
        <v>No</v>
      </c>
      <c r="L576" s="1" t="str">
        <f>IF(northwind_order_details[[#This Row],[Revenue]]&gt;1000,"High",IF(northwind_order_details[[#This Row],[Revenue]]&gt;300,"Medium","Low"))</f>
        <v>Medium</v>
      </c>
      <c r="M5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7" spans="1:13" x14ac:dyDescent="0.25">
      <c r="A577">
        <v>10472</v>
      </c>
      <c r="B577">
        <v>24</v>
      </c>
      <c r="C577" s="6">
        <v>3.6</v>
      </c>
      <c r="D577">
        <v>80</v>
      </c>
      <c r="E577" s="6">
        <v>0.05</v>
      </c>
      <c r="F577" t="str">
        <f>_xlfn.XLOOKUP(northwind_order_details[[#This Row],[order_id]],northwind_orders[order_id],northwind_orders[ship_country])</f>
        <v>UK</v>
      </c>
      <c r="G577">
        <f>INDEX(northwind_orders[],MATCH(northwind_order_details[[#This Row],[order_id]], northwind_orders[order_id], 0), MATCH("employee_id", northwind_orders[#Headers], 0))</f>
        <v>8</v>
      </c>
      <c r="H577">
        <f>northwind_order_details[[#This Row],[unit_price]]*northwind_order_details[[#This Row],[quantity]]</f>
        <v>288</v>
      </c>
      <c r="I577" s="1">
        <f>northwind_order_details[[#This Row],[purchase amount]]*northwind_order_details[[#This Row],[discount]]</f>
        <v>14.4</v>
      </c>
      <c r="J577" s="1">
        <f>northwind_order_details[[#This Row],[purchase amount]]-northwind_order_details[[#This Row],[discount amount]]</f>
        <v>273.60000000000002</v>
      </c>
      <c r="K577" s="6" t="str">
        <f>IF(northwind_order_details[[#This Row],[discount amount]]&gt;0,"Yes","No")</f>
        <v>Yes</v>
      </c>
      <c r="L577" s="1" t="str">
        <f>IF(northwind_order_details[[#This Row],[Revenue]]&gt;1000,"High",IF(northwind_order_details[[#This Row],[Revenue]]&gt;300,"Medium","Low"))</f>
        <v>Low</v>
      </c>
      <c r="M5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8" spans="1:13" x14ac:dyDescent="0.25">
      <c r="A578">
        <v>10472</v>
      </c>
      <c r="B578">
        <v>51</v>
      </c>
      <c r="C578" s="6">
        <v>42.4</v>
      </c>
      <c r="D578">
        <v>18</v>
      </c>
      <c r="E578" s="6" t="s">
        <v>6</v>
      </c>
      <c r="F578" t="str">
        <f>_xlfn.XLOOKUP(northwind_order_details[[#This Row],[order_id]],northwind_orders[order_id],northwind_orders[ship_country])</f>
        <v>UK</v>
      </c>
      <c r="G578">
        <f>INDEX(northwind_orders[],MATCH(northwind_order_details[[#This Row],[order_id]], northwind_orders[order_id], 0), MATCH("employee_id", northwind_orders[#Headers], 0))</f>
        <v>8</v>
      </c>
      <c r="H578">
        <f>northwind_order_details[[#This Row],[unit_price]]*northwind_order_details[[#This Row],[quantity]]</f>
        <v>763.19999999999993</v>
      </c>
      <c r="I578" s="1">
        <f>northwind_order_details[[#This Row],[purchase amount]]*northwind_order_details[[#This Row],[discount]]</f>
        <v>0</v>
      </c>
      <c r="J578" s="1">
        <f>northwind_order_details[[#This Row],[purchase amount]]-northwind_order_details[[#This Row],[discount amount]]</f>
        <v>763.19999999999993</v>
      </c>
      <c r="K578" s="6" t="str">
        <f>IF(northwind_order_details[[#This Row],[discount amount]]&gt;0,"Yes","No")</f>
        <v>No</v>
      </c>
      <c r="L578" s="1" t="str">
        <f>IF(northwind_order_details[[#This Row],[Revenue]]&gt;1000,"High",IF(northwind_order_details[[#This Row],[Revenue]]&gt;300,"Medium","Low"))</f>
        <v>Medium</v>
      </c>
      <c r="M5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79" spans="1:13" x14ac:dyDescent="0.25">
      <c r="A579">
        <v>10473</v>
      </c>
      <c r="B579">
        <v>33</v>
      </c>
      <c r="C579" s="6" t="s">
        <v>7</v>
      </c>
      <c r="D579">
        <v>12</v>
      </c>
      <c r="E579" s="6" t="s">
        <v>6</v>
      </c>
      <c r="F579" t="str">
        <f>_xlfn.XLOOKUP(northwind_order_details[[#This Row],[order_id]],northwind_orders[order_id],northwind_orders[ship_country])</f>
        <v>UK</v>
      </c>
      <c r="G579">
        <f>INDEX(northwind_orders[],MATCH(northwind_order_details[[#This Row],[order_id]], northwind_orders[order_id], 0), MATCH("employee_id", northwind_orders[#Headers], 0))</f>
        <v>1</v>
      </c>
      <c r="H579">
        <f>northwind_order_details[[#This Row],[unit_price]]*northwind_order_details[[#This Row],[quantity]]</f>
        <v>24</v>
      </c>
      <c r="I579" s="1">
        <f>northwind_order_details[[#This Row],[purchase amount]]*northwind_order_details[[#This Row],[discount]]</f>
        <v>0</v>
      </c>
      <c r="J579" s="1">
        <f>northwind_order_details[[#This Row],[purchase amount]]-northwind_order_details[[#This Row],[discount amount]]</f>
        <v>24</v>
      </c>
      <c r="K579" s="6" t="str">
        <f>IF(northwind_order_details[[#This Row],[discount amount]]&gt;0,"Yes","No")</f>
        <v>No</v>
      </c>
      <c r="L579" s="1" t="str">
        <f>IF(northwind_order_details[[#This Row],[Revenue]]&gt;1000,"High",IF(northwind_order_details[[#This Row],[Revenue]]&gt;300,"Medium","Low"))</f>
        <v>Low</v>
      </c>
      <c r="M5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0" spans="1:13" x14ac:dyDescent="0.25">
      <c r="A580">
        <v>10473</v>
      </c>
      <c r="B580">
        <v>71</v>
      </c>
      <c r="C580" s="6">
        <v>17.2</v>
      </c>
      <c r="D580">
        <v>12</v>
      </c>
      <c r="E580" s="6" t="s">
        <v>6</v>
      </c>
      <c r="F580" t="str">
        <f>_xlfn.XLOOKUP(northwind_order_details[[#This Row],[order_id]],northwind_orders[order_id],northwind_orders[ship_country])</f>
        <v>UK</v>
      </c>
      <c r="G580">
        <f>INDEX(northwind_orders[],MATCH(northwind_order_details[[#This Row],[order_id]], northwind_orders[order_id], 0), MATCH("employee_id", northwind_orders[#Headers], 0))</f>
        <v>1</v>
      </c>
      <c r="H580">
        <f>northwind_order_details[[#This Row],[unit_price]]*northwind_order_details[[#This Row],[quantity]]</f>
        <v>206.39999999999998</v>
      </c>
      <c r="I580" s="1">
        <f>northwind_order_details[[#This Row],[purchase amount]]*northwind_order_details[[#This Row],[discount]]</f>
        <v>0</v>
      </c>
      <c r="J580" s="1">
        <f>northwind_order_details[[#This Row],[purchase amount]]-northwind_order_details[[#This Row],[discount amount]]</f>
        <v>206.39999999999998</v>
      </c>
      <c r="K580" s="6" t="str">
        <f>IF(northwind_order_details[[#This Row],[discount amount]]&gt;0,"Yes","No")</f>
        <v>No</v>
      </c>
      <c r="L580" s="1" t="str">
        <f>IF(northwind_order_details[[#This Row],[Revenue]]&gt;1000,"High",IF(northwind_order_details[[#This Row],[Revenue]]&gt;300,"Medium","Low"))</f>
        <v>Low</v>
      </c>
      <c r="M5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1" spans="1:13" x14ac:dyDescent="0.25">
      <c r="A581">
        <v>10474</v>
      </c>
      <c r="B581">
        <v>14</v>
      </c>
      <c r="C581" s="6">
        <v>18.600000000000001</v>
      </c>
      <c r="D581">
        <v>12</v>
      </c>
      <c r="E581" s="6" t="s">
        <v>6</v>
      </c>
      <c r="F581" t="str">
        <f>_xlfn.XLOOKUP(northwind_order_details[[#This Row],[order_id]],northwind_orders[order_id],northwind_orders[ship_country])</f>
        <v>Mexico</v>
      </c>
      <c r="G581">
        <f>INDEX(northwind_orders[],MATCH(northwind_order_details[[#This Row],[order_id]], northwind_orders[order_id], 0), MATCH("employee_id", northwind_orders[#Headers], 0))</f>
        <v>5</v>
      </c>
      <c r="H581">
        <f>northwind_order_details[[#This Row],[unit_price]]*northwind_order_details[[#This Row],[quantity]]</f>
        <v>223.20000000000002</v>
      </c>
      <c r="I581" s="1">
        <f>northwind_order_details[[#This Row],[purchase amount]]*northwind_order_details[[#This Row],[discount]]</f>
        <v>0</v>
      </c>
      <c r="J581" s="1">
        <f>northwind_order_details[[#This Row],[purchase amount]]-northwind_order_details[[#This Row],[discount amount]]</f>
        <v>223.20000000000002</v>
      </c>
      <c r="K581" s="6" t="str">
        <f>IF(northwind_order_details[[#This Row],[discount amount]]&gt;0,"Yes","No")</f>
        <v>No</v>
      </c>
      <c r="L581" s="1" t="str">
        <f>IF(northwind_order_details[[#This Row],[Revenue]]&gt;1000,"High",IF(northwind_order_details[[#This Row],[Revenue]]&gt;300,"Medium","Low"))</f>
        <v>Low</v>
      </c>
      <c r="M5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2" spans="1:13" x14ac:dyDescent="0.25">
      <c r="A582">
        <v>10474</v>
      </c>
      <c r="B582">
        <v>28</v>
      </c>
      <c r="C582" s="6">
        <v>36.4</v>
      </c>
      <c r="D582">
        <v>18</v>
      </c>
      <c r="E582" s="6" t="s">
        <v>6</v>
      </c>
      <c r="F582" t="str">
        <f>_xlfn.XLOOKUP(northwind_order_details[[#This Row],[order_id]],northwind_orders[order_id],northwind_orders[ship_country])</f>
        <v>Mexico</v>
      </c>
      <c r="G582">
        <f>INDEX(northwind_orders[],MATCH(northwind_order_details[[#This Row],[order_id]], northwind_orders[order_id], 0), MATCH("employee_id", northwind_orders[#Headers], 0))</f>
        <v>5</v>
      </c>
      <c r="H582">
        <f>northwind_order_details[[#This Row],[unit_price]]*northwind_order_details[[#This Row],[quantity]]</f>
        <v>655.19999999999993</v>
      </c>
      <c r="I582" s="1">
        <f>northwind_order_details[[#This Row],[purchase amount]]*northwind_order_details[[#This Row],[discount]]</f>
        <v>0</v>
      </c>
      <c r="J582" s="1">
        <f>northwind_order_details[[#This Row],[purchase amount]]-northwind_order_details[[#This Row],[discount amount]]</f>
        <v>655.19999999999993</v>
      </c>
      <c r="K582" s="6" t="str">
        <f>IF(northwind_order_details[[#This Row],[discount amount]]&gt;0,"Yes","No")</f>
        <v>No</v>
      </c>
      <c r="L582" s="1" t="str">
        <f>IF(northwind_order_details[[#This Row],[Revenue]]&gt;1000,"High",IF(northwind_order_details[[#This Row],[Revenue]]&gt;300,"Medium","Low"))</f>
        <v>Medium</v>
      </c>
      <c r="M5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3" spans="1:13" x14ac:dyDescent="0.25">
      <c r="A583">
        <v>10474</v>
      </c>
      <c r="B583">
        <v>40</v>
      </c>
      <c r="C583" s="6">
        <v>14.7</v>
      </c>
      <c r="D583">
        <v>21</v>
      </c>
      <c r="E583" s="6" t="s">
        <v>6</v>
      </c>
      <c r="F583" t="str">
        <f>_xlfn.XLOOKUP(northwind_order_details[[#This Row],[order_id]],northwind_orders[order_id],northwind_orders[ship_country])</f>
        <v>Mexico</v>
      </c>
      <c r="G583">
        <f>INDEX(northwind_orders[],MATCH(northwind_order_details[[#This Row],[order_id]], northwind_orders[order_id], 0), MATCH("employee_id", northwind_orders[#Headers], 0))</f>
        <v>5</v>
      </c>
      <c r="H583">
        <f>northwind_order_details[[#This Row],[unit_price]]*northwind_order_details[[#This Row],[quantity]]</f>
        <v>308.7</v>
      </c>
      <c r="I583" s="1">
        <f>northwind_order_details[[#This Row],[purchase amount]]*northwind_order_details[[#This Row],[discount]]</f>
        <v>0</v>
      </c>
      <c r="J583" s="1">
        <f>northwind_order_details[[#This Row],[purchase amount]]-northwind_order_details[[#This Row],[discount amount]]</f>
        <v>308.7</v>
      </c>
      <c r="K583" s="6" t="str">
        <f>IF(northwind_order_details[[#This Row],[discount amount]]&gt;0,"Yes","No")</f>
        <v>No</v>
      </c>
      <c r="L583" s="1" t="str">
        <f>IF(northwind_order_details[[#This Row],[Revenue]]&gt;1000,"High",IF(northwind_order_details[[#This Row],[Revenue]]&gt;300,"Medium","Low"))</f>
        <v>Medium</v>
      </c>
      <c r="M5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4" spans="1:13" x14ac:dyDescent="0.25">
      <c r="A584">
        <v>10474</v>
      </c>
      <c r="B584">
        <v>75</v>
      </c>
      <c r="C584" s="6">
        <v>6.2</v>
      </c>
      <c r="D584">
        <v>10</v>
      </c>
      <c r="E584" s="6" t="s">
        <v>6</v>
      </c>
      <c r="F584" t="str">
        <f>_xlfn.XLOOKUP(northwind_order_details[[#This Row],[order_id]],northwind_orders[order_id],northwind_orders[ship_country])</f>
        <v>Mexico</v>
      </c>
      <c r="G584">
        <f>INDEX(northwind_orders[],MATCH(northwind_order_details[[#This Row],[order_id]], northwind_orders[order_id], 0), MATCH("employee_id", northwind_orders[#Headers], 0))</f>
        <v>5</v>
      </c>
      <c r="H584">
        <f>northwind_order_details[[#This Row],[unit_price]]*northwind_order_details[[#This Row],[quantity]]</f>
        <v>62</v>
      </c>
      <c r="I584" s="1">
        <f>northwind_order_details[[#This Row],[purchase amount]]*northwind_order_details[[#This Row],[discount]]</f>
        <v>0</v>
      </c>
      <c r="J584" s="1">
        <f>northwind_order_details[[#This Row],[purchase amount]]-northwind_order_details[[#This Row],[discount amount]]</f>
        <v>62</v>
      </c>
      <c r="K584" s="6" t="str">
        <f>IF(northwind_order_details[[#This Row],[discount amount]]&gt;0,"Yes","No")</f>
        <v>No</v>
      </c>
      <c r="L584" s="1" t="str">
        <f>IF(northwind_order_details[[#This Row],[Revenue]]&gt;1000,"High",IF(northwind_order_details[[#This Row],[Revenue]]&gt;300,"Medium","Low"))</f>
        <v>Low</v>
      </c>
      <c r="M5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5" spans="1:13" x14ac:dyDescent="0.25">
      <c r="A585">
        <v>10475</v>
      </c>
      <c r="B585">
        <v>31</v>
      </c>
      <c r="C585" s="6" t="s">
        <v>8</v>
      </c>
      <c r="D585">
        <v>35</v>
      </c>
      <c r="E585" s="6">
        <v>0.15</v>
      </c>
      <c r="F585" t="str">
        <f>_xlfn.XLOOKUP(northwind_order_details[[#This Row],[order_id]],northwind_orders[order_id],northwind_orders[ship_country])</f>
        <v>Belgium</v>
      </c>
      <c r="G585">
        <f>INDEX(northwind_orders[],MATCH(northwind_order_details[[#This Row],[order_id]], northwind_orders[order_id], 0), MATCH("employee_id", northwind_orders[#Headers], 0))</f>
        <v>9</v>
      </c>
      <c r="H585">
        <f>northwind_order_details[[#This Row],[unit_price]]*northwind_order_details[[#This Row],[quantity]]</f>
        <v>350</v>
      </c>
      <c r="I585" s="1">
        <f>northwind_order_details[[#This Row],[purchase amount]]*northwind_order_details[[#This Row],[discount]]</f>
        <v>52.5</v>
      </c>
      <c r="J585" s="1">
        <f>northwind_order_details[[#This Row],[purchase amount]]-northwind_order_details[[#This Row],[discount amount]]</f>
        <v>297.5</v>
      </c>
      <c r="K585" s="6" t="str">
        <f>IF(northwind_order_details[[#This Row],[discount amount]]&gt;0,"Yes","No")</f>
        <v>Yes</v>
      </c>
      <c r="L585" s="1" t="str">
        <f>IF(northwind_order_details[[#This Row],[Revenue]]&gt;1000,"High",IF(northwind_order_details[[#This Row],[Revenue]]&gt;300,"Medium","Low"))</f>
        <v>Low</v>
      </c>
      <c r="M5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6" spans="1:13" x14ac:dyDescent="0.25">
      <c r="A586">
        <v>10475</v>
      </c>
      <c r="B586">
        <v>66</v>
      </c>
      <c r="C586" s="6">
        <v>13.6</v>
      </c>
      <c r="D586">
        <v>60</v>
      </c>
      <c r="E586" s="6">
        <v>0.15</v>
      </c>
      <c r="F586" t="str">
        <f>_xlfn.XLOOKUP(northwind_order_details[[#This Row],[order_id]],northwind_orders[order_id],northwind_orders[ship_country])</f>
        <v>Belgium</v>
      </c>
      <c r="G586">
        <f>INDEX(northwind_orders[],MATCH(northwind_order_details[[#This Row],[order_id]], northwind_orders[order_id], 0), MATCH("employee_id", northwind_orders[#Headers], 0))</f>
        <v>9</v>
      </c>
      <c r="H586">
        <f>northwind_order_details[[#This Row],[unit_price]]*northwind_order_details[[#This Row],[quantity]]</f>
        <v>816</v>
      </c>
      <c r="I586" s="1">
        <f>northwind_order_details[[#This Row],[purchase amount]]*northwind_order_details[[#This Row],[discount]]</f>
        <v>122.39999999999999</v>
      </c>
      <c r="J586" s="1">
        <f>northwind_order_details[[#This Row],[purchase amount]]-northwind_order_details[[#This Row],[discount amount]]</f>
        <v>693.6</v>
      </c>
      <c r="K586" s="6" t="str">
        <f>IF(northwind_order_details[[#This Row],[discount amount]]&gt;0,"Yes","No")</f>
        <v>Yes</v>
      </c>
      <c r="L586" s="1" t="str">
        <f>IF(northwind_order_details[[#This Row],[Revenue]]&gt;1000,"High",IF(northwind_order_details[[#This Row],[Revenue]]&gt;300,"Medium","Low"))</f>
        <v>Medium</v>
      </c>
      <c r="M5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7" spans="1:13" x14ac:dyDescent="0.25">
      <c r="A587">
        <v>10475</v>
      </c>
      <c r="B587">
        <v>76</v>
      </c>
      <c r="C587" s="6">
        <v>14.4</v>
      </c>
      <c r="D587">
        <v>42</v>
      </c>
      <c r="E587" s="6">
        <v>0.15</v>
      </c>
      <c r="F587" t="str">
        <f>_xlfn.XLOOKUP(northwind_order_details[[#This Row],[order_id]],northwind_orders[order_id],northwind_orders[ship_country])</f>
        <v>Belgium</v>
      </c>
      <c r="G587">
        <f>INDEX(northwind_orders[],MATCH(northwind_order_details[[#This Row],[order_id]], northwind_orders[order_id], 0), MATCH("employee_id", northwind_orders[#Headers], 0))</f>
        <v>9</v>
      </c>
      <c r="H587">
        <f>northwind_order_details[[#This Row],[unit_price]]*northwind_order_details[[#This Row],[quantity]]</f>
        <v>604.80000000000007</v>
      </c>
      <c r="I587" s="1">
        <f>northwind_order_details[[#This Row],[purchase amount]]*northwind_order_details[[#This Row],[discount]]</f>
        <v>90.720000000000013</v>
      </c>
      <c r="J587" s="1">
        <f>northwind_order_details[[#This Row],[purchase amount]]-northwind_order_details[[#This Row],[discount amount]]</f>
        <v>514.08000000000004</v>
      </c>
      <c r="K587" s="6" t="str">
        <f>IF(northwind_order_details[[#This Row],[discount amount]]&gt;0,"Yes","No")</f>
        <v>Yes</v>
      </c>
      <c r="L587" s="1" t="str">
        <f>IF(northwind_order_details[[#This Row],[Revenue]]&gt;1000,"High",IF(northwind_order_details[[#This Row],[Revenue]]&gt;300,"Medium","Low"))</f>
        <v>Medium</v>
      </c>
      <c r="M5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8" spans="1:13" x14ac:dyDescent="0.25">
      <c r="A588">
        <v>10476</v>
      </c>
      <c r="B588">
        <v>55</v>
      </c>
      <c r="C588" s="6">
        <v>19.2</v>
      </c>
      <c r="D588">
        <v>2</v>
      </c>
      <c r="E588" s="6">
        <v>0.05</v>
      </c>
      <c r="F588" t="str">
        <f>_xlfn.XLOOKUP(northwind_order_details[[#This Row],[order_id]],northwind_orders[order_id],northwind_orders[ship_country])</f>
        <v>Venezuela</v>
      </c>
      <c r="G588">
        <f>INDEX(northwind_orders[],MATCH(northwind_order_details[[#This Row],[order_id]], northwind_orders[order_id], 0), MATCH("employee_id", northwind_orders[#Headers], 0))</f>
        <v>8</v>
      </c>
      <c r="H588">
        <f>northwind_order_details[[#This Row],[unit_price]]*northwind_order_details[[#This Row],[quantity]]</f>
        <v>38.4</v>
      </c>
      <c r="I588" s="1">
        <f>northwind_order_details[[#This Row],[purchase amount]]*northwind_order_details[[#This Row],[discount]]</f>
        <v>1.92</v>
      </c>
      <c r="J588" s="1">
        <f>northwind_order_details[[#This Row],[purchase amount]]-northwind_order_details[[#This Row],[discount amount]]</f>
        <v>36.479999999999997</v>
      </c>
      <c r="K588" s="6" t="str">
        <f>IF(northwind_order_details[[#This Row],[discount amount]]&gt;0,"Yes","No")</f>
        <v>Yes</v>
      </c>
      <c r="L588" s="1" t="str">
        <f>IF(northwind_order_details[[#This Row],[Revenue]]&gt;1000,"High",IF(northwind_order_details[[#This Row],[Revenue]]&gt;300,"Medium","Low"))</f>
        <v>Low</v>
      </c>
      <c r="M5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89" spans="1:13" x14ac:dyDescent="0.25">
      <c r="A589">
        <v>10476</v>
      </c>
      <c r="B589">
        <v>70</v>
      </c>
      <c r="C589" s="6" t="s">
        <v>13</v>
      </c>
      <c r="D589">
        <v>12</v>
      </c>
      <c r="E589" s="6" t="s">
        <v>6</v>
      </c>
      <c r="F589" t="str">
        <f>_xlfn.XLOOKUP(northwind_order_details[[#This Row],[order_id]],northwind_orders[order_id],northwind_orders[ship_country])</f>
        <v>Venezuela</v>
      </c>
      <c r="G589">
        <f>INDEX(northwind_orders[],MATCH(northwind_order_details[[#This Row],[order_id]], northwind_orders[order_id], 0), MATCH("employee_id", northwind_orders[#Headers], 0))</f>
        <v>8</v>
      </c>
      <c r="H589">
        <f>northwind_order_details[[#This Row],[unit_price]]*northwind_order_details[[#This Row],[quantity]]</f>
        <v>144</v>
      </c>
      <c r="I589" s="1">
        <f>northwind_order_details[[#This Row],[purchase amount]]*northwind_order_details[[#This Row],[discount]]</f>
        <v>0</v>
      </c>
      <c r="J589" s="1">
        <f>northwind_order_details[[#This Row],[purchase amount]]-northwind_order_details[[#This Row],[discount amount]]</f>
        <v>144</v>
      </c>
      <c r="K589" s="6" t="str">
        <f>IF(northwind_order_details[[#This Row],[discount amount]]&gt;0,"Yes","No")</f>
        <v>No</v>
      </c>
      <c r="L589" s="1" t="str">
        <f>IF(northwind_order_details[[#This Row],[Revenue]]&gt;1000,"High",IF(northwind_order_details[[#This Row],[Revenue]]&gt;300,"Medium","Low"))</f>
        <v>Low</v>
      </c>
      <c r="M5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0" spans="1:13" x14ac:dyDescent="0.25">
      <c r="A590">
        <v>10477</v>
      </c>
      <c r="B590">
        <v>1</v>
      </c>
      <c r="C590" s="6">
        <v>14.4</v>
      </c>
      <c r="D590">
        <v>15</v>
      </c>
      <c r="E590" s="6" t="s">
        <v>6</v>
      </c>
      <c r="F590" t="str">
        <f>_xlfn.XLOOKUP(northwind_order_details[[#This Row],[order_id]],northwind_orders[order_id],northwind_orders[ship_country])</f>
        <v>Portugal</v>
      </c>
      <c r="G590">
        <f>INDEX(northwind_orders[],MATCH(northwind_order_details[[#This Row],[order_id]], northwind_orders[order_id], 0), MATCH("employee_id", northwind_orders[#Headers], 0))</f>
        <v>5</v>
      </c>
      <c r="H590">
        <f>northwind_order_details[[#This Row],[unit_price]]*northwind_order_details[[#This Row],[quantity]]</f>
        <v>216</v>
      </c>
      <c r="I590" s="1">
        <f>northwind_order_details[[#This Row],[purchase amount]]*northwind_order_details[[#This Row],[discount]]</f>
        <v>0</v>
      </c>
      <c r="J590" s="1">
        <f>northwind_order_details[[#This Row],[purchase amount]]-northwind_order_details[[#This Row],[discount amount]]</f>
        <v>216</v>
      </c>
      <c r="K590" s="6" t="str">
        <f>IF(northwind_order_details[[#This Row],[discount amount]]&gt;0,"Yes","No")</f>
        <v>No</v>
      </c>
      <c r="L590" s="1" t="str">
        <f>IF(northwind_order_details[[#This Row],[Revenue]]&gt;1000,"High",IF(northwind_order_details[[#This Row],[Revenue]]&gt;300,"Medium","Low"))</f>
        <v>Low</v>
      </c>
      <c r="M5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1" spans="1:13" x14ac:dyDescent="0.25">
      <c r="A591">
        <v>10477</v>
      </c>
      <c r="B591">
        <v>21</v>
      </c>
      <c r="C591" s="6" t="s">
        <v>10</v>
      </c>
      <c r="D591">
        <v>21</v>
      </c>
      <c r="E591" s="6">
        <v>0.25</v>
      </c>
      <c r="F591" t="str">
        <f>_xlfn.XLOOKUP(northwind_order_details[[#This Row],[order_id]],northwind_orders[order_id],northwind_orders[ship_country])</f>
        <v>Portugal</v>
      </c>
      <c r="G591">
        <f>INDEX(northwind_orders[],MATCH(northwind_order_details[[#This Row],[order_id]], northwind_orders[order_id], 0), MATCH("employee_id", northwind_orders[#Headers], 0))</f>
        <v>5</v>
      </c>
      <c r="H591">
        <f>northwind_order_details[[#This Row],[unit_price]]*northwind_order_details[[#This Row],[quantity]]</f>
        <v>168</v>
      </c>
      <c r="I591" s="1">
        <f>northwind_order_details[[#This Row],[purchase amount]]*northwind_order_details[[#This Row],[discount]]</f>
        <v>42</v>
      </c>
      <c r="J591" s="1">
        <f>northwind_order_details[[#This Row],[purchase amount]]-northwind_order_details[[#This Row],[discount amount]]</f>
        <v>126</v>
      </c>
      <c r="K591" s="6" t="str">
        <f>IF(northwind_order_details[[#This Row],[discount amount]]&gt;0,"Yes","No")</f>
        <v>Yes</v>
      </c>
      <c r="L591" s="1" t="str">
        <f>IF(northwind_order_details[[#This Row],[Revenue]]&gt;1000,"High",IF(northwind_order_details[[#This Row],[Revenue]]&gt;300,"Medium","Low"))</f>
        <v>Low</v>
      </c>
      <c r="M5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2" spans="1:13" x14ac:dyDescent="0.25">
      <c r="A592">
        <v>10477</v>
      </c>
      <c r="B592">
        <v>39</v>
      </c>
      <c r="C592" s="6">
        <v>14.4</v>
      </c>
      <c r="D592">
        <v>20</v>
      </c>
      <c r="E592" s="6">
        <v>0.25</v>
      </c>
      <c r="F592" t="str">
        <f>_xlfn.XLOOKUP(northwind_order_details[[#This Row],[order_id]],northwind_orders[order_id],northwind_orders[ship_country])</f>
        <v>Portugal</v>
      </c>
      <c r="G592">
        <f>INDEX(northwind_orders[],MATCH(northwind_order_details[[#This Row],[order_id]], northwind_orders[order_id], 0), MATCH("employee_id", northwind_orders[#Headers], 0))</f>
        <v>5</v>
      </c>
      <c r="H592">
        <f>northwind_order_details[[#This Row],[unit_price]]*northwind_order_details[[#This Row],[quantity]]</f>
        <v>288</v>
      </c>
      <c r="I592" s="1">
        <f>northwind_order_details[[#This Row],[purchase amount]]*northwind_order_details[[#This Row],[discount]]</f>
        <v>72</v>
      </c>
      <c r="J592" s="1">
        <f>northwind_order_details[[#This Row],[purchase amount]]-northwind_order_details[[#This Row],[discount amount]]</f>
        <v>216</v>
      </c>
      <c r="K592" s="6" t="str">
        <f>IF(northwind_order_details[[#This Row],[discount amount]]&gt;0,"Yes","No")</f>
        <v>Yes</v>
      </c>
      <c r="L592" s="1" t="str">
        <f>IF(northwind_order_details[[#This Row],[Revenue]]&gt;1000,"High",IF(northwind_order_details[[#This Row],[Revenue]]&gt;300,"Medium","Low"))</f>
        <v>Low</v>
      </c>
      <c r="M5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3" spans="1:13" x14ac:dyDescent="0.25">
      <c r="A593">
        <v>10478</v>
      </c>
      <c r="B593">
        <v>10</v>
      </c>
      <c r="C593" s="6">
        <v>24.8</v>
      </c>
      <c r="D593">
        <v>20</v>
      </c>
      <c r="E593" s="6">
        <v>0.05</v>
      </c>
      <c r="F593" t="str">
        <f>_xlfn.XLOOKUP(northwind_order_details[[#This Row],[order_id]],northwind_orders[order_id],northwind_orders[ship_country])</f>
        <v>France</v>
      </c>
      <c r="G593">
        <f>INDEX(northwind_orders[],MATCH(northwind_order_details[[#This Row],[order_id]], northwind_orders[order_id], 0), MATCH("employee_id", northwind_orders[#Headers], 0))</f>
        <v>2</v>
      </c>
      <c r="H593">
        <f>northwind_order_details[[#This Row],[unit_price]]*northwind_order_details[[#This Row],[quantity]]</f>
        <v>496</v>
      </c>
      <c r="I593" s="1">
        <f>northwind_order_details[[#This Row],[purchase amount]]*northwind_order_details[[#This Row],[discount]]</f>
        <v>24.8</v>
      </c>
      <c r="J593" s="1">
        <f>northwind_order_details[[#This Row],[purchase amount]]-northwind_order_details[[#This Row],[discount amount]]</f>
        <v>471.2</v>
      </c>
      <c r="K593" s="6" t="str">
        <f>IF(northwind_order_details[[#This Row],[discount amount]]&gt;0,"Yes","No")</f>
        <v>Yes</v>
      </c>
      <c r="L593" s="1" t="str">
        <f>IF(northwind_order_details[[#This Row],[Revenue]]&gt;1000,"High",IF(northwind_order_details[[#This Row],[Revenue]]&gt;300,"Medium","Low"))</f>
        <v>Medium</v>
      </c>
      <c r="M5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4" spans="1:13" x14ac:dyDescent="0.25">
      <c r="A594">
        <v>10479</v>
      </c>
      <c r="B594">
        <v>38</v>
      </c>
      <c r="C594" s="6">
        <v>210.8</v>
      </c>
      <c r="D594">
        <v>30</v>
      </c>
      <c r="E594" s="6" t="s">
        <v>6</v>
      </c>
      <c r="F594" t="str">
        <f>_xlfn.XLOOKUP(northwind_order_details[[#This Row],[order_id]],northwind_orders[order_id],northwind_orders[ship_country])</f>
        <v>USA</v>
      </c>
      <c r="G594">
        <f>INDEX(northwind_orders[],MATCH(northwind_order_details[[#This Row],[order_id]], northwind_orders[order_id], 0), MATCH("employee_id", northwind_orders[#Headers], 0))</f>
        <v>3</v>
      </c>
      <c r="H594">
        <f>northwind_order_details[[#This Row],[unit_price]]*northwind_order_details[[#This Row],[quantity]]</f>
        <v>6324</v>
      </c>
      <c r="I594" s="1">
        <f>northwind_order_details[[#This Row],[purchase amount]]*northwind_order_details[[#This Row],[discount]]</f>
        <v>0</v>
      </c>
      <c r="J594" s="1">
        <f>northwind_order_details[[#This Row],[purchase amount]]-northwind_order_details[[#This Row],[discount amount]]</f>
        <v>6324</v>
      </c>
      <c r="K594" s="6" t="str">
        <f>IF(northwind_order_details[[#This Row],[discount amount]]&gt;0,"Yes","No")</f>
        <v>No</v>
      </c>
      <c r="L594" s="1" t="str">
        <f>IF(northwind_order_details[[#This Row],[Revenue]]&gt;1000,"High",IF(northwind_order_details[[#This Row],[Revenue]]&gt;300,"Medium","Low"))</f>
        <v>High</v>
      </c>
      <c r="M5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5" spans="1:13" x14ac:dyDescent="0.25">
      <c r="A595">
        <v>10479</v>
      </c>
      <c r="B595">
        <v>53</v>
      </c>
      <c r="C595" s="6">
        <v>26.2</v>
      </c>
      <c r="D595">
        <v>28</v>
      </c>
      <c r="E595" s="6" t="s">
        <v>6</v>
      </c>
      <c r="F595" t="str">
        <f>_xlfn.XLOOKUP(northwind_order_details[[#This Row],[order_id]],northwind_orders[order_id],northwind_orders[ship_country])</f>
        <v>USA</v>
      </c>
      <c r="G595">
        <f>INDEX(northwind_orders[],MATCH(northwind_order_details[[#This Row],[order_id]], northwind_orders[order_id], 0), MATCH("employee_id", northwind_orders[#Headers], 0))</f>
        <v>3</v>
      </c>
      <c r="H595">
        <f>northwind_order_details[[#This Row],[unit_price]]*northwind_order_details[[#This Row],[quantity]]</f>
        <v>733.6</v>
      </c>
      <c r="I595" s="1">
        <f>northwind_order_details[[#This Row],[purchase amount]]*northwind_order_details[[#This Row],[discount]]</f>
        <v>0</v>
      </c>
      <c r="J595" s="1">
        <f>northwind_order_details[[#This Row],[purchase amount]]-northwind_order_details[[#This Row],[discount amount]]</f>
        <v>733.6</v>
      </c>
      <c r="K595" s="6" t="str">
        <f>IF(northwind_order_details[[#This Row],[discount amount]]&gt;0,"Yes","No")</f>
        <v>No</v>
      </c>
      <c r="L595" s="1" t="str">
        <f>IF(northwind_order_details[[#This Row],[Revenue]]&gt;1000,"High",IF(northwind_order_details[[#This Row],[Revenue]]&gt;300,"Medium","Low"))</f>
        <v>Medium</v>
      </c>
      <c r="M5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6" spans="1:13" x14ac:dyDescent="0.25">
      <c r="A596">
        <v>10479</v>
      </c>
      <c r="B596">
        <v>59</v>
      </c>
      <c r="C596" s="6" t="s">
        <v>11</v>
      </c>
      <c r="D596">
        <v>60</v>
      </c>
      <c r="E596" s="6" t="s">
        <v>6</v>
      </c>
      <c r="F596" t="str">
        <f>_xlfn.XLOOKUP(northwind_order_details[[#This Row],[order_id]],northwind_orders[order_id],northwind_orders[ship_country])</f>
        <v>USA</v>
      </c>
      <c r="G596">
        <f>INDEX(northwind_orders[],MATCH(northwind_order_details[[#This Row],[order_id]], northwind_orders[order_id], 0), MATCH("employee_id", northwind_orders[#Headers], 0))</f>
        <v>3</v>
      </c>
      <c r="H596">
        <f>northwind_order_details[[#This Row],[unit_price]]*northwind_order_details[[#This Row],[quantity]]</f>
        <v>2640</v>
      </c>
      <c r="I596" s="1">
        <f>northwind_order_details[[#This Row],[purchase amount]]*northwind_order_details[[#This Row],[discount]]</f>
        <v>0</v>
      </c>
      <c r="J596" s="1">
        <f>northwind_order_details[[#This Row],[purchase amount]]-northwind_order_details[[#This Row],[discount amount]]</f>
        <v>2640</v>
      </c>
      <c r="K596" s="6" t="str">
        <f>IF(northwind_order_details[[#This Row],[discount amount]]&gt;0,"Yes","No")</f>
        <v>No</v>
      </c>
      <c r="L596" s="1" t="str">
        <f>IF(northwind_order_details[[#This Row],[Revenue]]&gt;1000,"High",IF(northwind_order_details[[#This Row],[Revenue]]&gt;300,"Medium","Low"))</f>
        <v>High</v>
      </c>
      <c r="M5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7" spans="1:13" x14ac:dyDescent="0.25">
      <c r="A597">
        <v>10479</v>
      </c>
      <c r="B597">
        <v>64</v>
      </c>
      <c r="C597" s="6">
        <v>26.6</v>
      </c>
      <c r="D597">
        <v>30</v>
      </c>
      <c r="E597" s="6" t="s">
        <v>6</v>
      </c>
      <c r="F597" t="str">
        <f>_xlfn.XLOOKUP(northwind_order_details[[#This Row],[order_id]],northwind_orders[order_id],northwind_orders[ship_country])</f>
        <v>USA</v>
      </c>
      <c r="G597">
        <f>INDEX(northwind_orders[],MATCH(northwind_order_details[[#This Row],[order_id]], northwind_orders[order_id], 0), MATCH("employee_id", northwind_orders[#Headers], 0))</f>
        <v>3</v>
      </c>
      <c r="H597">
        <f>northwind_order_details[[#This Row],[unit_price]]*northwind_order_details[[#This Row],[quantity]]</f>
        <v>798</v>
      </c>
      <c r="I597" s="1">
        <f>northwind_order_details[[#This Row],[purchase amount]]*northwind_order_details[[#This Row],[discount]]</f>
        <v>0</v>
      </c>
      <c r="J597" s="1">
        <f>northwind_order_details[[#This Row],[purchase amount]]-northwind_order_details[[#This Row],[discount amount]]</f>
        <v>798</v>
      </c>
      <c r="K597" s="6" t="str">
        <f>IF(northwind_order_details[[#This Row],[discount amount]]&gt;0,"Yes","No")</f>
        <v>No</v>
      </c>
      <c r="L597" s="1" t="str">
        <f>IF(northwind_order_details[[#This Row],[Revenue]]&gt;1000,"High",IF(northwind_order_details[[#This Row],[Revenue]]&gt;300,"Medium","Low"))</f>
        <v>Medium</v>
      </c>
      <c r="M5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8" spans="1:13" x14ac:dyDescent="0.25">
      <c r="A598">
        <v>10480</v>
      </c>
      <c r="B598">
        <v>47</v>
      </c>
      <c r="C598" s="6">
        <v>7.6</v>
      </c>
      <c r="D598">
        <v>30</v>
      </c>
      <c r="E598" s="6" t="s">
        <v>6</v>
      </c>
      <c r="F598" t="str">
        <f>_xlfn.XLOOKUP(northwind_order_details[[#This Row],[order_id]],northwind_orders[order_id],northwind_orders[ship_country])</f>
        <v>France</v>
      </c>
      <c r="G598">
        <f>INDEX(northwind_orders[],MATCH(northwind_order_details[[#This Row],[order_id]], northwind_orders[order_id], 0), MATCH("employee_id", northwind_orders[#Headers], 0))</f>
        <v>6</v>
      </c>
      <c r="H598">
        <f>northwind_order_details[[#This Row],[unit_price]]*northwind_order_details[[#This Row],[quantity]]</f>
        <v>228</v>
      </c>
      <c r="I598" s="1">
        <f>northwind_order_details[[#This Row],[purchase amount]]*northwind_order_details[[#This Row],[discount]]</f>
        <v>0</v>
      </c>
      <c r="J598" s="1">
        <f>northwind_order_details[[#This Row],[purchase amount]]-northwind_order_details[[#This Row],[discount amount]]</f>
        <v>228</v>
      </c>
      <c r="K598" s="6" t="str">
        <f>IF(northwind_order_details[[#This Row],[discount amount]]&gt;0,"Yes","No")</f>
        <v>No</v>
      </c>
      <c r="L598" s="1" t="str">
        <f>IF(northwind_order_details[[#This Row],[Revenue]]&gt;1000,"High",IF(northwind_order_details[[#This Row],[Revenue]]&gt;300,"Medium","Low"))</f>
        <v>Low</v>
      </c>
      <c r="M5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599" spans="1:13" x14ac:dyDescent="0.25">
      <c r="A599">
        <v>10480</v>
      </c>
      <c r="B599">
        <v>59</v>
      </c>
      <c r="C599" s="6" t="s">
        <v>11</v>
      </c>
      <c r="D599">
        <v>12</v>
      </c>
      <c r="E599" s="6" t="s">
        <v>6</v>
      </c>
      <c r="F599" t="str">
        <f>_xlfn.XLOOKUP(northwind_order_details[[#This Row],[order_id]],northwind_orders[order_id],northwind_orders[ship_country])</f>
        <v>France</v>
      </c>
      <c r="G599">
        <f>INDEX(northwind_orders[],MATCH(northwind_order_details[[#This Row],[order_id]], northwind_orders[order_id], 0), MATCH("employee_id", northwind_orders[#Headers], 0))</f>
        <v>6</v>
      </c>
      <c r="H599">
        <f>northwind_order_details[[#This Row],[unit_price]]*northwind_order_details[[#This Row],[quantity]]</f>
        <v>528</v>
      </c>
      <c r="I599" s="1">
        <f>northwind_order_details[[#This Row],[purchase amount]]*northwind_order_details[[#This Row],[discount]]</f>
        <v>0</v>
      </c>
      <c r="J599" s="1">
        <f>northwind_order_details[[#This Row],[purchase amount]]-northwind_order_details[[#This Row],[discount amount]]</f>
        <v>528</v>
      </c>
      <c r="K599" s="6" t="str">
        <f>IF(northwind_order_details[[#This Row],[discount amount]]&gt;0,"Yes","No")</f>
        <v>No</v>
      </c>
      <c r="L599" s="1" t="str">
        <f>IF(northwind_order_details[[#This Row],[Revenue]]&gt;1000,"High",IF(northwind_order_details[[#This Row],[Revenue]]&gt;300,"Medium","Low"))</f>
        <v>Medium</v>
      </c>
      <c r="M5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0" spans="1:13" x14ac:dyDescent="0.25">
      <c r="A600">
        <v>10481</v>
      </c>
      <c r="B600">
        <v>49</v>
      </c>
      <c r="C600" s="6" t="s">
        <v>9</v>
      </c>
      <c r="D600">
        <v>24</v>
      </c>
      <c r="E600" s="6" t="s">
        <v>6</v>
      </c>
      <c r="F600" t="str">
        <f>_xlfn.XLOOKUP(northwind_order_details[[#This Row],[order_id]],northwind_orders[order_id],northwind_orders[ship_country])</f>
        <v>Brazil</v>
      </c>
      <c r="G600">
        <f>INDEX(northwind_orders[],MATCH(northwind_order_details[[#This Row],[order_id]], northwind_orders[order_id], 0), MATCH("employee_id", northwind_orders[#Headers], 0))</f>
        <v>8</v>
      </c>
      <c r="H600">
        <f>northwind_order_details[[#This Row],[unit_price]]*northwind_order_details[[#This Row],[quantity]]</f>
        <v>384</v>
      </c>
      <c r="I600" s="1">
        <f>northwind_order_details[[#This Row],[purchase amount]]*northwind_order_details[[#This Row],[discount]]</f>
        <v>0</v>
      </c>
      <c r="J600" s="1">
        <f>northwind_order_details[[#This Row],[purchase amount]]-northwind_order_details[[#This Row],[discount amount]]</f>
        <v>384</v>
      </c>
      <c r="K600" s="6" t="str">
        <f>IF(northwind_order_details[[#This Row],[discount amount]]&gt;0,"Yes","No")</f>
        <v>No</v>
      </c>
      <c r="L600" s="1" t="str">
        <f>IF(northwind_order_details[[#This Row],[Revenue]]&gt;1000,"High",IF(northwind_order_details[[#This Row],[Revenue]]&gt;300,"Medium","Low"))</f>
        <v>Medium</v>
      </c>
      <c r="M6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1" spans="1:13" x14ac:dyDescent="0.25">
      <c r="A601">
        <v>10481</v>
      </c>
      <c r="B601">
        <v>60</v>
      </c>
      <c r="C601" s="6">
        <v>27.2</v>
      </c>
      <c r="D601">
        <v>40</v>
      </c>
      <c r="E601" s="6" t="s">
        <v>6</v>
      </c>
      <c r="F601" t="str">
        <f>_xlfn.XLOOKUP(northwind_order_details[[#This Row],[order_id]],northwind_orders[order_id],northwind_orders[ship_country])</f>
        <v>Brazil</v>
      </c>
      <c r="G601">
        <f>INDEX(northwind_orders[],MATCH(northwind_order_details[[#This Row],[order_id]], northwind_orders[order_id], 0), MATCH("employee_id", northwind_orders[#Headers], 0))</f>
        <v>8</v>
      </c>
      <c r="H601">
        <f>northwind_order_details[[#This Row],[unit_price]]*northwind_order_details[[#This Row],[quantity]]</f>
        <v>1088</v>
      </c>
      <c r="I601" s="1">
        <f>northwind_order_details[[#This Row],[purchase amount]]*northwind_order_details[[#This Row],[discount]]</f>
        <v>0</v>
      </c>
      <c r="J601" s="1">
        <f>northwind_order_details[[#This Row],[purchase amount]]-northwind_order_details[[#This Row],[discount amount]]</f>
        <v>1088</v>
      </c>
      <c r="K601" s="6" t="str">
        <f>IF(northwind_order_details[[#This Row],[discount amount]]&gt;0,"Yes","No")</f>
        <v>No</v>
      </c>
      <c r="L601" s="1" t="str">
        <f>IF(northwind_order_details[[#This Row],[Revenue]]&gt;1000,"High",IF(northwind_order_details[[#This Row],[Revenue]]&gt;300,"Medium","Low"))</f>
        <v>High</v>
      </c>
      <c r="M6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2" spans="1:13" x14ac:dyDescent="0.25">
      <c r="A602">
        <v>10482</v>
      </c>
      <c r="B602">
        <v>40</v>
      </c>
      <c r="C602" s="6">
        <v>14.7</v>
      </c>
      <c r="D602">
        <v>10</v>
      </c>
      <c r="E602" s="6" t="s">
        <v>6</v>
      </c>
      <c r="F602" t="str">
        <f>_xlfn.XLOOKUP(northwind_order_details[[#This Row],[order_id]],northwind_orders[order_id],northwind_orders[ship_country])</f>
        <v>USA</v>
      </c>
      <c r="G602">
        <f>INDEX(northwind_orders[],MATCH(northwind_order_details[[#This Row],[order_id]], northwind_orders[order_id], 0), MATCH("employee_id", northwind_orders[#Headers], 0))</f>
        <v>1</v>
      </c>
      <c r="H602">
        <f>northwind_order_details[[#This Row],[unit_price]]*northwind_order_details[[#This Row],[quantity]]</f>
        <v>147</v>
      </c>
      <c r="I602" s="1">
        <f>northwind_order_details[[#This Row],[purchase amount]]*northwind_order_details[[#This Row],[discount]]</f>
        <v>0</v>
      </c>
      <c r="J602" s="1">
        <f>northwind_order_details[[#This Row],[purchase amount]]-northwind_order_details[[#This Row],[discount amount]]</f>
        <v>147</v>
      </c>
      <c r="K602" s="6" t="str">
        <f>IF(northwind_order_details[[#This Row],[discount amount]]&gt;0,"Yes","No")</f>
        <v>No</v>
      </c>
      <c r="L602" s="1" t="str">
        <f>IF(northwind_order_details[[#This Row],[Revenue]]&gt;1000,"High",IF(northwind_order_details[[#This Row],[Revenue]]&gt;300,"Medium","Low"))</f>
        <v>Low</v>
      </c>
      <c r="M6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3" spans="1:13" x14ac:dyDescent="0.25">
      <c r="A603">
        <v>10483</v>
      </c>
      <c r="B603">
        <v>34</v>
      </c>
      <c r="C603" s="6">
        <v>11.2</v>
      </c>
      <c r="D603">
        <v>35</v>
      </c>
      <c r="E603" s="6">
        <v>0.05</v>
      </c>
      <c r="F603" t="str">
        <f>_xlfn.XLOOKUP(northwind_order_details[[#This Row],[order_id]],northwind_orders[order_id],northwind_orders[ship_country])</f>
        <v>USA</v>
      </c>
      <c r="G603">
        <f>INDEX(northwind_orders[],MATCH(northwind_order_details[[#This Row],[order_id]], northwind_orders[order_id], 0), MATCH("employee_id", northwind_orders[#Headers], 0))</f>
        <v>7</v>
      </c>
      <c r="H603">
        <f>northwind_order_details[[#This Row],[unit_price]]*northwind_order_details[[#This Row],[quantity]]</f>
        <v>392</v>
      </c>
      <c r="I603" s="1">
        <f>northwind_order_details[[#This Row],[purchase amount]]*northwind_order_details[[#This Row],[discount]]</f>
        <v>19.600000000000001</v>
      </c>
      <c r="J603" s="1">
        <f>northwind_order_details[[#This Row],[purchase amount]]-northwind_order_details[[#This Row],[discount amount]]</f>
        <v>372.4</v>
      </c>
      <c r="K603" s="6" t="str">
        <f>IF(northwind_order_details[[#This Row],[discount amount]]&gt;0,"Yes","No")</f>
        <v>Yes</v>
      </c>
      <c r="L603" s="1" t="str">
        <f>IF(northwind_order_details[[#This Row],[Revenue]]&gt;1000,"High",IF(northwind_order_details[[#This Row],[Revenue]]&gt;300,"Medium","Low"))</f>
        <v>Medium</v>
      </c>
      <c r="M6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4" spans="1:13" x14ac:dyDescent="0.25">
      <c r="A604">
        <v>10483</v>
      </c>
      <c r="B604">
        <v>77</v>
      </c>
      <c r="C604" s="6">
        <v>10.4</v>
      </c>
      <c r="D604">
        <v>30</v>
      </c>
      <c r="E604" s="6">
        <v>0.05</v>
      </c>
      <c r="F604" t="str">
        <f>_xlfn.XLOOKUP(northwind_order_details[[#This Row],[order_id]],northwind_orders[order_id],northwind_orders[ship_country])</f>
        <v>USA</v>
      </c>
      <c r="G604">
        <f>INDEX(northwind_orders[],MATCH(northwind_order_details[[#This Row],[order_id]], northwind_orders[order_id], 0), MATCH("employee_id", northwind_orders[#Headers], 0))</f>
        <v>7</v>
      </c>
      <c r="H604">
        <f>northwind_order_details[[#This Row],[unit_price]]*northwind_order_details[[#This Row],[quantity]]</f>
        <v>312</v>
      </c>
      <c r="I604" s="1">
        <f>northwind_order_details[[#This Row],[purchase amount]]*northwind_order_details[[#This Row],[discount]]</f>
        <v>15.600000000000001</v>
      </c>
      <c r="J604" s="1">
        <f>northwind_order_details[[#This Row],[purchase amount]]-northwind_order_details[[#This Row],[discount amount]]</f>
        <v>296.39999999999998</v>
      </c>
      <c r="K604" s="6" t="str">
        <f>IF(northwind_order_details[[#This Row],[discount amount]]&gt;0,"Yes","No")</f>
        <v>Yes</v>
      </c>
      <c r="L604" s="1" t="str">
        <f>IF(northwind_order_details[[#This Row],[Revenue]]&gt;1000,"High",IF(northwind_order_details[[#This Row],[Revenue]]&gt;300,"Medium","Low"))</f>
        <v>Low</v>
      </c>
      <c r="M6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5" spans="1:13" x14ac:dyDescent="0.25">
      <c r="A605">
        <v>10484</v>
      </c>
      <c r="B605">
        <v>21</v>
      </c>
      <c r="C605" s="6" t="s">
        <v>10</v>
      </c>
      <c r="D605">
        <v>14</v>
      </c>
      <c r="E605" s="6" t="s">
        <v>6</v>
      </c>
      <c r="F605" t="str">
        <f>_xlfn.XLOOKUP(northwind_order_details[[#This Row],[order_id]],northwind_orders[order_id],northwind_orders[ship_country])</f>
        <v>UK</v>
      </c>
      <c r="G605">
        <f>INDEX(northwind_orders[],MATCH(northwind_order_details[[#This Row],[order_id]], northwind_orders[order_id], 0), MATCH("employee_id", northwind_orders[#Headers], 0))</f>
        <v>3</v>
      </c>
      <c r="H605">
        <f>northwind_order_details[[#This Row],[unit_price]]*northwind_order_details[[#This Row],[quantity]]</f>
        <v>112</v>
      </c>
      <c r="I605" s="1">
        <f>northwind_order_details[[#This Row],[purchase amount]]*northwind_order_details[[#This Row],[discount]]</f>
        <v>0</v>
      </c>
      <c r="J605" s="1">
        <f>northwind_order_details[[#This Row],[purchase amount]]-northwind_order_details[[#This Row],[discount amount]]</f>
        <v>112</v>
      </c>
      <c r="K605" s="6" t="str">
        <f>IF(northwind_order_details[[#This Row],[discount amount]]&gt;0,"Yes","No")</f>
        <v>No</v>
      </c>
      <c r="L605" s="1" t="str">
        <f>IF(northwind_order_details[[#This Row],[Revenue]]&gt;1000,"High",IF(northwind_order_details[[#This Row],[Revenue]]&gt;300,"Medium","Low"))</f>
        <v>Low</v>
      </c>
      <c r="M6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6" spans="1:13" x14ac:dyDescent="0.25">
      <c r="A606">
        <v>10484</v>
      </c>
      <c r="B606">
        <v>40</v>
      </c>
      <c r="C606" s="6">
        <v>14.7</v>
      </c>
      <c r="D606">
        <v>10</v>
      </c>
      <c r="E606" s="6" t="s">
        <v>6</v>
      </c>
      <c r="F606" t="str">
        <f>_xlfn.XLOOKUP(northwind_order_details[[#This Row],[order_id]],northwind_orders[order_id],northwind_orders[ship_country])</f>
        <v>UK</v>
      </c>
      <c r="G606">
        <f>INDEX(northwind_orders[],MATCH(northwind_order_details[[#This Row],[order_id]], northwind_orders[order_id], 0), MATCH("employee_id", northwind_orders[#Headers], 0))</f>
        <v>3</v>
      </c>
      <c r="H606">
        <f>northwind_order_details[[#This Row],[unit_price]]*northwind_order_details[[#This Row],[quantity]]</f>
        <v>147</v>
      </c>
      <c r="I606" s="1">
        <f>northwind_order_details[[#This Row],[purchase amount]]*northwind_order_details[[#This Row],[discount]]</f>
        <v>0</v>
      </c>
      <c r="J606" s="1">
        <f>northwind_order_details[[#This Row],[purchase amount]]-northwind_order_details[[#This Row],[discount amount]]</f>
        <v>147</v>
      </c>
      <c r="K606" s="6" t="str">
        <f>IF(northwind_order_details[[#This Row],[discount amount]]&gt;0,"Yes","No")</f>
        <v>No</v>
      </c>
      <c r="L606" s="1" t="str">
        <f>IF(northwind_order_details[[#This Row],[Revenue]]&gt;1000,"High",IF(northwind_order_details[[#This Row],[Revenue]]&gt;300,"Medium","Low"))</f>
        <v>Low</v>
      </c>
      <c r="M6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7" spans="1:13" x14ac:dyDescent="0.25">
      <c r="A607">
        <v>10484</v>
      </c>
      <c r="B607">
        <v>51</v>
      </c>
      <c r="C607" s="6">
        <v>42.4</v>
      </c>
      <c r="D607">
        <v>3</v>
      </c>
      <c r="E607" s="6" t="s">
        <v>6</v>
      </c>
      <c r="F607" t="str">
        <f>_xlfn.XLOOKUP(northwind_order_details[[#This Row],[order_id]],northwind_orders[order_id],northwind_orders[ship_country])</f>
        <v>UK</v>
      </c>
      <c r="G607">
        <f>INDEX(northwind_orders[],MATCH(northwind_order_details[[#This Row],[order_id]], northwind_orders[order_id], 0), MATCH("employee_id", northwind_orders[#Headers], 0))</f>
        <v>3</v>
      </c>
      <c r="H607">
        <f>northwind_order_details[[#This Row],[unit_price]]*northwind_order_details[[#This Row],[quantity]]</f>
        <v>127.19999999999999</v>
      </c>
      <c r="I607" s="1">
        <f>northwind_order_details[[#This Row],[purchase amount]]*northwind_order_details[[#This Row],[discount]]</f>
        <v>0</v>
      </c>
      <c r="J607" s="1">
        <f>northwind_order_details[[#This Row],[purchase amount]]-northwind_order_details[[#This Row],[discount amount]]</f>
        <v>127.19999999999999</v>
      </c>
      <c r="K607" s="6" t="str">
        <f>IF(northwind_order_details[[#This Row],[discount amount]]&gt;0,"Yes","No")</f>
        <v>No</v>
      </c>
      <c r="L607" s="1" t="str">
        <f>IF(northwind_order_details[[#This Row],[Revenue]]&gt;1000,"High",IF(northwind_order_details[[#This Row],[Revenue]]&gt;300,"Medium","Low"))</f>
        <v>Low</v>
      </c>
      <c r="M6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8" spans="1:13" x14ac:dyDescent="0.25">
      <c r="A608">
        <v>10485</v>
      </c>
      <c r="B608">
        <v>2</v>
      </c>
      <c r="C608" s="6">
        <v>15.2</v>
      </c>
      <c r="D608">
        <v>20</v>
      </c>
      <c r="E608" s="6">
        <v>0.1</v>
      </c>
      <c r="F608" t="str">
        <f>_xlfn.XLOOKUP(northwind_order_details[[#This Row],[order_id]],northwind_orders[order_id],northwind_orders[ship_country])</f>
        <v>Venezuela</v>
      </c>
      <c r="G608">
        <f>INDEX(northwind_orders[],MATCH(northwind_order_details[[#This Row],[order_id]], northwind_orders[order_id], 0), MATCH("employee_id", northwind_orders[#Headers], 0))</f>
        <v>4</v>
      </c>
      <c r="H608">
        <f>northwind_order_details[[#This Row],[unit_price]]*northwind_order_details[[#This Row],[quantity]]</f>
        <v>304</v>
      </c>
      <c r="I608" s="1">
        <f>northwind_order_details[[#This Row],[purchase amount]]*northwind_order_details[[#This Row],[discount]]</f>
        <v>30.400000000000002</v>
      </c>
      <c r="J608" s="1">
        <f>northwind_order_details[[#This Row],[purchase amount]]-northwind_order_details[[#This Row],[discount amount]]</f>
        <v>273.60000000000002</v>
      </c>
      <c r="K608" s="6" t="str">
        <f>IF(northwind_order_details[[#This Row],[discount amount]]&gt;0,"Yes","No")</f>
        <v>Yes</v>
      </c>
      <c r="L608" s="1" t="str">
        <f>IF(northwind_order_details[[#This Row],[Revenue]]&gt;1000,"High",IF(northwind_order_details[[#This Row],[Revenue]]&gt;300,"Medium","Low"))</f>
        <v>Low</v>
      </c>
      <c r="M6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09" spans="1:13" x14ac:dyDescent="0.25">
      <c r="A609">
        <v>10485</v>
      </c>
      <c r="B609">
        <v>3</v>
      </c>
      <c r="C609" s="6" t="s">
        <v>10</v>
      </c>
      <c r="D609">
        <v>20</v>
      </c>
      <c r="E609" s="6">
        <v>0.1</v>
      </c>
      <c r="F609" t="str">
        <f>_xlfn.XLOOKUP(northwind_order_details[[#This Row],[order_id]],northwind_orders[order_id],northwind_orders[ship_country])</f>
        <v>Venezuela</v>
      </c>
      <c r="G609">
        <f>INDEX(northwind_orders[],MATCH(northwind_order_details[[#This Row],[order_id]], northwind_orders[order_id], 0), MATCH("employee_id", northwind_orders[#Headers], 0))</f>
        <v>4</v>
      </c>
      <c r="H609">
        <f>northwind_order_details[[#This Row],[unit_price]]*northwind_order_details[[#This Row],[quantity]]</f>
        <v>160</v>
      </c>
      <c r="I609" s="1">
        <f>northwind_order_details[[#This Row],[purchase amount]]*northwind_order_details[[#This Row],[discount]]</f>
        <v>16</v>
      </c>
      <c r="J609" s="1">
        <f>northwind_order_details[[#This Row],[purchase amount]]-northwind_order_details[[#This Row],[discount amount]]</f>
        <v>144</v>
      </c>
      <c r="K609" s="6" t="str">
        <f>IF(northwind_order_details[[#This Row],[discount amount]]&gt;0,"Yes","No")</f>
        <v>Yes</v>
      </c>
      <c r="L609" s="1" t="str">
        <f>IF(northwind_order_details[[#This Row],[Revenue]]&gt;1000,"High",IF(northwind_order_details[[#This Row],[Revenue]]&gt;300,"Medium","Low"))</f>
        <v>Low</v>
      </c>
      <c r="M6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0" spans="1:13" x14ac:dyDescent="0.25">
      <c r="A610">
        <v>10485</v>
      </c>
      <c r="B610">
        <v>55</v>
      </c>
      <c r="C610" s="6">
        <v>19.2</v>
      </c>
      <c r="D610">
        <v>30</v>
      </c>
      <c r="E610" s="6">
        <v>0.1</v>
      </c>
      <c r="F610" t="str">
        <f>_xlfn.XLOOKUP(northwind_order_details[[#This Row],[order_id]],northwind_orders[order_id],northwind_orders[ship_country])</f>
        <v>Venezuela</v>
      </c>
      <c r="G610">
        <f>INDEX(northwind_orders[],MATCH(northwind_order_details[[#This Row],[order_id]], northwind_orders[order_id], 0), MATCH("employee_id", northwind_orders[#Headers], 0))</f>
        <v>4</v>
      </c>
      <c r="H610">
        <f>northwind_order_details[[#This Row],[unit_price]]*northwind_order_details[[#This Row],[quantity]]</f>
        <v>576</v>
      </c>
      <c r="I610" s="1">
        <f>northwind_order_details[[#This Row],[purchase amount]]*northwind_order_details[[#This Row],[discount]]</f>
        <v>57.6</v>
      </c>
      <c r="J610" s="1">
        <f>northwind_order_details[[#This Row],[purchase amount]]-northwind_order_details[[#This Row],[discount amount]]</f>
        <v>518.4</v>
      </c>
      <c r="K610" s="6" t="str">
        <f>IF(northwind_order_details[[#This Row],[discount amount]]&gt;0,"Yes","No")</f>
        <v>Yes</v>
      </c>
      <c r="L610" s="1" t="str">
        <f>IF(northwind_order_details[[#This Row],[Revenue]]&gt;1000,"High",IF(northwind_order_details[[#This Row],[Revenue]]&gt;300,"Medium","Low"))</f>
        <v>Medium</v>
      </c>
      <c r="M6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1" spans="1:13" x14ac:dyDescent="0.25">
      <c r="A611">
        <v>10485</v>
      </c>
      <c r="B611">
        <v>70</v>
      </c>
      <c r="C611" s="6" t="s">
        <v>13</v>
      </c>
      <c r="D611">
        <v>60</v>
      </c>
      <c r="E611" s="6">
        <v>0.1</v>
      </c>
      <c r="F611" t="str">
        <f>_xlfn.XLOOKUP(northwind_order_details[[#This Row],[order_id]],northwind_orders[order_id],northwind_orders[ship_country])</f>
        <v>Venezuela</v>
      </c>
      <c r="G611">
        <f>INDEX(northwind_orders[],MATCH(northwind_order_details[[#This Row],[order_id]], northwind_orders[order_id], 0), MATCH("employee_id", northwind_orders[#Headers], 0))</f>
        <v>4</v>
      </c>
      <c r="H611">
        <f>northwind_order_details[[#This Row],[unit_price]]*northwind_order_details[[#This Row],[quantity]]</f>
        <v>720</v>
      </c>
      <c r="I611" s="1">
        <f>northwind_order_details[[#This Row],[purchase amount]]*northwind_order_details[[#This Row],[discount]]</f>
        <v>72</v>
      </c>
      <c r="J611" s="1">
        <f>northwind_order_details[[#This Row],[purchase amount]]-northwind_order_details[[#This Row],[discount amount]]</f>
        <v>648</v>
      </c>
      <c r="K611" s="6" t="str">
        <f>IF(northwind_order_details[[#This Row],[discount amount]]&gt;0,"Yes","No")</f>
        <v>Yes</v>
      </c>
      <c r="L611" s="1" t="str">
        <f>IF(northwind_order_details[[#This Row],[Revenue]]&gt;1000,"High",IF(northwind_order_details[[#This Row],[Revenue]]&gt;300,"Medium","Low"))</f>
        <v>Medium</v>
      </c>
      <c r="M6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2" spans="1:13" x14ac:dyDescent="0.25">
      <c r="A612">
        <v>10486</v>
      </c>
      <c r="B612">
        <v>11</v>
      </c>
      <c r="C612" s="6">
        <v>16.8</v>
      </c>
      <c r="D612">
        <v>5</v>
      </c>
      <c r="E612" s="6" t="s">
        <v>6</v>
      </c>
      <c r="F612" t="str">
        <f>_xlfn.XLOOKUP(northwind_order_details[[#This Row],[order_id]],northwind_orders[order_id],northwind_orders[ship_country])</f>
        <v>Venezuela</v>
      </c>
      <c r="G612">
        <f>INDEX(northwind_orders[],MATCH(northwind_order_details[[#This Row],[order_id]], northwind_orders[order_id], 0), MATCH("employee_id", northwind_orders[#Headers], 0))</f>
        <v>1</v>
      </c>
      <c r="H612">
        <f>northwind_order_details[[#This Row],[unit_price]]*northwind_order_details[[#This Row],[quantity]]</f>
        <v>84</v>
      </c>
      <c r="I612" s="1">
        <f>northwind_order_details[[#This Row],[purchase amount]]*northwind_order_details[[#This Row],[discount]]</f>
        <v>0</v>
      </c>
      <c r="J612" s="1">
        <f>northwind_order_details[[#This Row],[purchase amount]]-northwind_order_details[[#This Row],[discount amount]]</f>
        <v>84</v>
      </c>
      <c r="K612" s="6" t="str">
        <f>IF(northwind_order_details[[#This Row],[discount amount]]&gt;0,"Yes","No")</f>
        <v>No</v>
      </c>
      <c r="L612" s="1" t="str">
        <f>IF(northwind_order_details[[#This Row],[Revenue]]&gt;1000,"High",IF(northwind_order_details[[#This Row],[Revenue]]&gt;300,"Medium","Low"))</f>
        <v>Low</v>
      </c>
      <c r="M6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3" spans="1:13" x14ac:dyDescent="0.25">
      <c r="A613">
        <v>10486</v>
      </c>
      <c r="B613">
        <v>51</v>
      </c>
      <c r="C613" s="6">
        <v>42.4</v>
      </c>
      <c r="D613">
        <v>25</v>
      </c>
      <c r="E613" s="6" t="s">
        <v>6</v>
      </c>
      <c r="F613" t="str">
        <f>_xlfn.XLOOKUP(northwind_order_details[[#This Row],[order_id]],northwind_orders[order_id],northwind_orders[ship_country])</f>
        <v>Venezuela</v>
      </c>
      <c r="G613">
        <f>INDEX(northwind_orders[],MATCH(northwind_order_details[[#This Row],[order_id]], northwind_orders[order_id], 0), MATCH("employee_id", northwind_orders[#Headers], 0))</f>
        <v>1</v>
      </c>
      <c r="H613">
        <f>northwind_order_details[[#This Row],[unit_price]]*northwind_order_details[[#This Row],[quantity]]</f>
        <v>1060</v>
      </c>
      <c r="I613" s="1">
        <f>northwind_order_details[[#This Row],[purchase amount]]*northwind_order_details[[#This Row],[discount]]</f>
        <v>0</v>
      </c>
      <c r="J613" s="1">
        <f>northwind_order_details[[#This Row],[purchase amount]]-northwind_order_details[[#This Row],[discount amount]]</f>
        <v>1060</v>
      </c>
      <c r="K613" s="6" t="str">
        <f>IF(northwind_order_details[[#This Row],[discount amount]]&gt;0,"Yes","No")</f>
        <v>No</v>
      </c>
      <c r="L613" s="1" t="str">
        <f>IF(northwind_order_details[[#This Row],[Revenue]]&gt;1000,"High",IF(northwind_order_details[[#This Row],[Revenue]]&gt;300,"Medium","Low"))</f>
        <v>High</v>
      </c>
      <c r="M6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4" spans="1:13" x14ac:dyDescent="0.25">
      <c r="A614">
        <v>10486</v>
      </c>
      <c r="B614">
        <v>74</v>
      </c>
      <c r="C614" s="6" t="s">
        <v>10</v>
      </c>
      <c r="D614">
        <v>16</v>
      </c>
      <c r="E614" s="6" t="s">
        <v>6</v>
      </c>
      <c r="F614" t="str">
        <f>_xlfn.XLOOKUP(northwind_order_details[[#This Row],[order_id]],northwind_orders[order_id],northwind_orders[ship_country])</f>
        <v>Venezuela</v>
      </c>
      <c r="G614">
        <f>INDEX(northwind_orders[],MATCH(northwind_order_details[[#This Row],[order_id]], northwind_orders[order_id], 0), MATCH("employee_id", northwind_orders[#Headers], 0))</f>
        <v>1</v>
      </c>
      <c r="H614">
        <f>northwind_order_details[[#This Row],[unit_price]]*northwind_order_details[[#This Row],[quantity]]</f>
        <v>128</v>
      </c>
      <c r="I614" s="1">
        <f>northwind_order_details[[#This Row],[purchase amount]]*northwind_order_details[[#This Row],[discount]]</f>
        <v>0</v>
      </c>
      <c r="J614" s="1">
        <f>northwind_order_details[[#This Row],[purchase amount]]-northwind_order_details[[#This Row],[discount amount]]</f>
        <v>128</v>
      </c>
      <c r="K614" s="6" t="str">
        <f>IF(northwind_order_details[[#This Row],[discount amount]]&gt;0,"Yes","No")</f>
        <v>No</v>
      </c>
      <c r="L614" s="1" t="str">
        <f>IF(northwind_order_details[[#This Row],[Revenue]]&gt;1000,"High",IF(northwind_order_details[[#This Row],[Revenue]]&gt;300,"Medium","Low"))</f>
        <v>Low</v>
      </c>
      <c r="M6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5" spans="1:13" x14ac:dyDescent="0.25">
      <c r="A615">
        <v>10487</v>
      </c>
      <c r="B615">
        <v>19</v>
      </c>
      <c r="C615" s="6">
        <v>7.3</v>
      </c>
      <c r="D615">
        <v>5</v>
      </c>
      <c r="E615" s="6" t="s">
        <v>6</v>
      </c>
      <c r="F615" t="str">
        <f>_xlfn.XLOOKUP(northwind_order_details[[#This Row],[order_id]],northwind_orders[order_id],northwind_orders[ship_country])</f>
        <v>Brazil</v>
      </c>
      <c r="G615">
        <f>INDEX(northwind_orders[],MATCH(northwind_order_details[[#This Row],[order_id]], northwind_orders[order_id], 0), MATCH("employee_id", northwind_orders[#Headers], 0))</f>
        <v>2</v>
      </c>
      <c r="H615">
        <f>northwind_order_details[[#This Row],[unit_price]]*northwind_order_details[[#This Row],[quantity]]</f>
        <v>36.5</v>
      </c>
      <c r="I615" s="1">
        <f>northwind_order_details[[#This Row],[purchase amount]]*northwind_order_details[[#This Row],[discount]]</f>
        <v>0</v>
      </c>
      <c r="J615" s="1">
        <f>northwind_order_details[[#This Row],[purchase amount]]-northwind_order_details[[#This Row],[discount amount]]</f>
        <v>36.5</v>
      </c>
      <c r="K615" s="6" t="str">
        <f>IF(northwind_order_details[[#This Row],[discount amount]]&gt;0,"Yes","No")</f>
        <v>No</v>
      </c>
      <c r="L615" s="1" t="str">
        <f>IF(northwind_order_details[[#This Row],[Revenue]]&gt;1000,"High",IF(northwind_order_details[[#This Row],[Revenue]]&gt;300,"Medium","Low"))</f>
        <v>Low</v>
      </c>
      <c r="M6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6" spans="1:13" x14ac:dyDescent="0.25">
      <c r="A616">
        <v>10487</v>
      </c>
      <c r="B616">
        <v>26</v>
      </c>
      <c r="C616" s="6">
        <v>24.9</v>
      </c>
      <c r="D616">
        <v>30</v>
      </c>
      <c r="E616" s="6" t="s">
        <v>6</v>
      </c>
      <c r="F616" t="str">
        <f>_xlfn.XLOOKUP(northwind_order_details[[#This Row],[order_id]],northwind_orders[order_id],northwind_orders[ship_country])</f>
        <v>Brazil</v>
      </c>
      <c r="G616">
        <f>INDEX(northwind_orders[],MATCH(northwind_order_details[[#This Row],[order_id]], northwind_orders[order_id], 0), MATCH("employee_id", northwind_orders[#Headers], 0))</f>
        <v>2</v>
      </c>
      <c r="H616">
        <f>northwind_order_details[[#This Row],[unit_price]]*northwind_order_details[[#This Row],[quantity]]</f>
        <v>747</v>
      </c>
      <c r="I616" s="1">
        <f>northwind_order_details[[#This Row],[purchase amount]]*northwind_order_details[[#This Row],[discount]]</f>
        <v>0</v>
      </c>
      <c r="J616" s="1">
        <f>northwind_order_details[[#This Row],[purchase amount]]-northwind_order_details[[#This Row],[discount amount]]</f>
        <v>747</v>
      </c>
      <c r="K616" s="6" t="str">
        <f>IF(northwind_order_details[[#This Row],[discount amount]]&gt;0,"Yes","No")</f>
        <v>No</v>
      </c>
      <c r="L616" s="1" t="str">
        <f>IF(northwind_order_details[[#This Row],[Revenue]]&gt;1000,"High",IF(northwind_order_details[[#This Row],[Revenue]]&gt;300,"Medium","Low"))</f>
        <v>Medium</v>
      </c>
      <c r="M6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7" spans="1:13" x14ac:dyDescent="0.25">
      <c r="A617">
        <v>10487</v>
      </c>
      <c r="B617">
        <v>54</v>
      </c>
      <c r="C617" s="6">
        <v>5.9</v>
      </c>
      <c r="D617">
        <v>24</v>
      </c>
      <c r="E617" s="6">
        <v>0.25</v>
      </c>
      <c r="F617" t="str">
        <f>_xlfn.XLOOKUP(northwind_order_details[[#This Row],[order_id]],northwind_orders[order_id],northwind_orders[ship_country])</f>
        <v>Brazil</v>
      </c>
      <c r="G617">
        <f>INDEX(northwind_orders[],MATCH(northwind_order_details[[#This Row],[order_id]], northwind_orders[order_id], 0), MATCH("employee_id", northwind_orders[#Headers], 0))</f>
        <v>2</v>
      </c>
      <c r="H617">
        <f>northwind_order_details[[#This Row],[unit_price]]*northwind_order_details[[#This Row],[quantity]]</f>
        <v>141.60000000000002</v>
      </c>
      <c r="I617" s="1">
        <f>northwind_order_details[[#This Row],[purchase amount]]*northwind_order_details[[#This Row],[discount]]</f>
        <v>35.400000000000006</v>
      </c>
      <c r="J617" s="1">
        <f>northwind_order_details[[#This Row],[purchase amount]]-northwind_order_details[[#This Row],[discount amount]]</f>
        <v>106.20000000000002</v>
      </c>
      <c r="K617" s="6" t="str">
        <f>IF(northwind_order_details[[#This Row],[discount amount]]&gt;0,"Yes","No")</f>
        <v>Yes</v>
      </c>
      <c r="L617" s="1" t="str">
        <f>IF(northwind_order_details[[#This Row],[Revenue]]&gt;1000,"High",IF(northwind_order_details[[#This Row],[Revenue]]&gt;300,"Medium","Low"))</f>
        <v>Low</v>
      </c>
      <c r="M6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8" spans="1:13" x14ac:dyDescent="0.25">
      <c r="A618">
        <v>10488</v>
      </c>
      <c r="B618">
        <v>59</v>
      </c>
      <c r="C618" s="6" t="s">
        <v>11</v>
      </c>
      <c r="D618">
        <v>30</v>
      </c>
      <c r="E618" s="6" t="s">
        <v>6</v>
      </c>
      <c r="F618" t="str">
        <f>_xlfn.XLOOKUP(northwind_order_details[[#This Row],[order_id]],northwind_orders[order_id],northwind_orders[ship_country])</f>
        <v>Germany</v>
      </c>
      <c r="G618">
        <f>INDEX(northwind_orders[],MATCH(northwind_order_details[[#This Row],[order_id]], northwind_orders[order_id], 0), MATCH("employee_id", northwind_orders[#Headers], 0))</f>
        <v>8</v>
      </c>
      <c r="H618">
        <f>northwind_order_details[[#This Row],[unit_price]]*northwind_order_details[[#This Row],[quantity]]</f>
        <v>1320</v>
      </c>
      <c r="I618" s="1">
        <f>northwind_order_details[[#This Row],[purchase amount]]*northwind_order_details[[#This Row],[discount]]</f>
        <v>0</v>
      </c>
      <c r="J618" s="1">
        <f>northwind_order_details[[#This Row],[purchase amount]]-northwind_order_details[[#This Row],[discount amount]]</f>
        <v>1320</v>
      </c>
      <c r="K618" s="6" t="str">
        <f>IF(northwind_order_details[[#This Row],[discount amount]]&gt;0,"Yes","No")</f>
        <v>No</v>
      </c>
      <c r="L618" s="1" t="str">
        <f>IF(northwind_order_details[[#This Row],[Revenue]]&gt;1000,"High",IF(northwind_order_details[[#This Row],[Revenue]]&gt;300,"Medium","Low"))</f>
        <v>High</v>
      </c>
      <c r="M6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19" spans="1:13" x14ac:dyDescent="0.25">
      <c r="A619">
        <v>10488</v>
      </c>
      <c r="B619">
        <v>73</v>
      </c>
      <c r="C619" s="6" t="s">
        <v>13</v>
      </c>
      <c r="D619">
        <v>20</v>
      </c>
      <c r="E619" s="6">
        <v>0.2</v>
      </c>
      <c r="F619" t="str">
        <f>_xlfn.XLOOKUP(northwind_order_details[[#This Row],[order_id]],northwind_orders[order_id],northwind_orders[ship_country])</f>
        <v>Germany</v>
      </c>
      <c r="G619">
        <f>INDEX(northwind_orders[],MATCH(northwind_order_details[[#This Row],[order_id]], northwind_orders[order_id], 0), MATCH("employee_id", northwind_orders[#Headers], 0))</f>
        <v>8</v>
      </c>
      <c r="H619">
        <f>northwind_order_details[[#This Row],[unit_price]]*northwind_order_details[[#This Row],[quantity]]</f>
        <v>240</v>
      </c>
      <c r="I619" s="1">
        <f>northwind_order_details[[#This Row],[purchase amount]]*northwind_order_details[[#This Row],[discount]]</f>
        <v>48</v>
      </c>
      <c r="J619" s="1">
        <f>northwind_order_details[[#This Row],[purchase amount]]-northwind_order_details[[#This Row],[discount amount]]</f>
        <v>192</v>
      </c>
      <c r="K619" s="6" t="str">
        <f>IF(northwind_order_details[[#This Row],[discount amount]]&gt;0,"Yes","No")</f>
        <v>Yes</v>
      </c>
      <c r="L619" s="1" t="str">
        <f>IF(northwind_order_details[[#This Row],[Revenue]]&gt;1000,"High",IF(northwind_order_details[[#This Row],[Revenue]]&gt;300,"Medium","Low"))</f>
        <v>Low</v>
      </c>
      <c r="M6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0" spans="1:13" x14ac:dyDescent="0.25">
      <c r="A620">
        <v>10489</v>
      </c>
      <c r="B620">
        <v>11</v>
      </c>
      <c r="C620" s="6">
        <v>16.8</v>
      </c>
      <c r="D620">
        <v>15</v>
      </c>
      <c r="E620" s="6">
        <v>0.25</v>
      </c>
      <c r="F620" t="str">
        <f>_xlfn.XLOOKUP(northwind_order_details[[#This Row],[order_id]],northwind_orders[order_id],northwind_orders[ship_country])</f>
        <v>Austria</v>
      </c>
      <c r="G620">
        <f>INDEX(northwind_orders[],MATCH(northwind_order_details[[#This Row],[order_id]], northwind_orders[order_id], 0), MATCH("employee_id", northwind_orders[#Headers], 0))</f>
        <v>6</v>
      </c>
      <c r="H620">
        <f>northwind_order_details[[#This Row],[unit_price]]*northwind_order_details[[#This Row],[quantity]]</f>
        <v>252</v>
      </c>
      <c r="I620" s="1">
        <f>northwind_order_details[[#This Row],[purchase amount]]*northwind_order_details[[#This Row],[discount]]</f>
        <v>63</v>
      </c>
      <c r="J620" s="1">
        <f>northwind_order_details[[#This Row],[purchase amount]]-northwind_order_details[[#This Row],[discount amount]]</f>
        <v>189</v>
      </c>
      <c r="K620" s="6" t="str">
        <f>IF(northwind_order_details[[#This Row],[discount amount]]&gt;0,"Yes","No")</f>
        <v>Yes</v>
      </c>
      <c r="L620" s="1" t="str">
        <f>IF(northwind_order_details[[#This Row],[Revenue]]&gt;1000,"High",IF(northwind_order_details[[#This Row],[Revenue]]&gt;300,"Medium","Low"))</f>
        <v>Low</v>
      </c>
      <c r="M6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1" spans="1:13" x14ac:dyDescent="0.25">
      <c r="A621">
        <v>10489</v>
      </c>
      <c r="B621">
        <v>16</v>
      </c>
      <c r="C621" s="6">
        <v>13.9</v>
      </c>
      <c r="D621">
        <v>18</v>
      </c>
      <c r="E621" s="6" t="s">
        <v>6</v>
      </c>
      <c r="F621" t="str">
        <f>_xlfn.XLOOKUP(northwind_order_details[[#This Row],[order_id]],northwind_orders[order_id],northwind_orders[ship_country])</f>
        <v>Austria</v>
      </c>
      <c r="G621">
        <f>INDEX(northwind_orders[],MATCH(northwind_order_details[[#This Row],[order_id]], northwind_orders[order_id], 0), MATCH("employee_id", northwind_orders[#Headers], 0))</f>
        <v>6</v>
      </c>
      <c r="H621">
        <f>northwind_order_details[[#This Row],[unit_price]]*northwind_order_details[[#This Row],[quantity]]</f>
        <v>250.20000000000002</v>
      </c>
      <c r="I621" s="1">
        <f>northwind_order_details[[#This Row],[purchase amount]]*northwind_order_details[[#This Row],[discount]]</f>
        <v>0</v>
      </c>
      <c r="J621" s="1">
        <f>northwind_order_details[[#This Row],[purchase amount]]-northwind_order_details[[#This Row],[discount amount]]</f>
        <v>250.20000000000002</v>
      </c>
      <c r="K621" s="6" t="str">
        <f>IF(northwind_order_details[[#This Row],[discount amount]]&gt;0,"Yes","No")</f>
        <v>No</v>
      </c>
      <c r="L621" s="1" t="str">
        <f>IF(northwind_order_details[[#This Row],[Revenue]]&gt;1000,"High",IF(northwind_order_details[[#This Row],[Revenue]]&gt;300,"Medium","Low"))</f>
        <v>Low</v>
      </c>
      <c r="M6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2" spans="1:13" x14ac:dyDescent="0.25">
      <c r="A622">
        <v>10490</v>
      </c>
      <c r="B622">
        <v>59</v>
      </c>
      <c r="C622" s="6" t="s">
        <v>11</v>
      </c>
      <c r="D622">
        <v>60</v>
      </c>
      <c r="E622" s="6" t="s">
        <v>6</v>
      </c>
      <c r="F622" t="str">
        <f>_xlfn.XLOOKUP(northwind_order_details[[#This Row],[order_id]],northwind_orders[order_id],northwind_orders[ship_country])</f>
        <v>Venezuela</v>
      </c>
      <c r="G622">
        <f>INDEX(northwind_orders[],MATCH(northwind_order_details[[#This Row],[order_id]], northwind_orders[order_id], 0), MATCH("employee_id", northwind_orders[#Headers], 0))</f>
        <v>7</v>
      </c>
      <c r="H622">
        <f>northwind_order_details[[#This Row],[unit_price]]*northwind_order_details[[#This Row],[quantity]]</f>
        <v>2640</v>
      </c>
      <c r="I622" s="1">
        <f>northwind_order_details[[#This Row],[purchase amount]]*northwind_order_details[[#This Row],[discount]]</f>
        <v>0</v>
      </c>
      <c r="J622" s="1">
        <f>northwind_order_details[[#This Row],[purchase amount]]-northwind_order_details[[#This Row],[discount amount]]</f>
        <v>2640</v>
      </c>
      <c r="K622" s="6" t="str">
        <f>IF(northwind_order_details[[#This Row],[discount amount]]&gt;0,"Yes","No")</f>
        <v>No</v>
      </c>
      <c r="L622" s="1" t="str">
        <f>IF(northwind_order_details[[#This Row],[Revenue]]&gt;1000,"High",IF(northwind_order_details[[#This Row],[Revenue]]&gt;300,"Medium","Low"))</f>
        <v>High</v>
      </c>
      <c r="M6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3" spans="1:13" x14ac:dyDescent="0.25">
      <c r="A623">
        <v>10490</v>
      </c>
      <c r="B623">
        <v>68</v>
      </c>
      <c r="C623" s="6" t="s">
        <v>8</v>
      </c>
      <c r="D623">
        <v>30</v>
      </c>
      <c r="E623" s="6" t="s">
        <v>6</v>
      </c>
      <c r="F623" t="str">
        <f>_xlfn.XLOOKUP(northwind_order_details[[#This Row],[order_id]],northwind_orders[order_id],northwind_orders[ship_country])</f>
        <v>Venezuela</v>
      </c>
      <c r="G623">
        <f>INDEX(northwind_orders[],MATCH(northwind_order_details[[#This Row],[order_id]], northwind_orders[order_id], 0), MATCH("employee_id", northwind_orders[#Headers], 0))</f>
        <v>7</v>
      </c>
      <c r="H623">
        <f>northwind_order_details[[#This Row],[unit_price]]*northwind_order_details[[#This Row],[quantity]]</f>
        <v>300</v>
      </c>
      <c r="I623" s="1">
        <f>northwind_order_details[[#This Row],[purchase amount]]*northwind_order_details[[#This Row],[discount]]</f>
        <v>0</v>
      </c>
      <c r="J623" s="1">
        <f>northwind_order_details[[#This Row],[purchase amount]]-northwind_order_details[[#This Row],[discount amount]]</f>
        <v>300</v>
      </c>
      <c r="K623" s="6" t="str">
        <f>IF(northwind_order_details[[#This Row],[discount amount]]&gt;0,"Yes","No")</f>
        <v>No</v>
      </c>
      <c r="L623" s="1" t="str">
        <f>IF(northwind_order_details[[#This Row],[Revenue]]&gt;1000,"High",IF(northwind_order_details[[#This Row],[Revenue]]&gt;300,"Medium","Low"))</f>
        <v>Low</v>
      </c>
      <c r="M6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4" spans="1:13" x14ac:dyDescent="0.25">
      <c r="A624">
        <v>10490</v>
      </c>
      <c r="B624">
        <v>75</v>
      </c>
      <c r="C624" s="6">
        <v>6.2</v>
      </c>
      <c r="D624">
        <v>36</v>
      </c>
      <c r="E624" s="6" t="s">
        <v>6</v>
      </c>
      <c r="F624" t="str">
        <f>_xlfn.XLOOKUP(northwind_order_details[[#This Row],[order_id]],northwind_orders[order_id],northwind_orders[ship_country])</f>
        <v>Venezuela</v>
      </c>
      <c r="G624">
        <f>INDEX(northwind_orders[],MATCH(northwind_order_details[[#This Row],[order_id]], northwind_orders[order_id], 0), MATCH("employee_id", northwind_orders[#Headers], 0))</f>
        <v>7</v>
      </c>
      <c r="H624">
        <f>northwind_order_details[[#This Row],[unit_price]]*northwind_order_details[[#This Row],[quantity]]</f>
        <v>223.20000000000002</v>
      </c>
      <c r="I624" s="1">
        <f>northwind_order_details[[#This Row],[purchase amount]]*northwind_order_details[[#This Row],[discount]]</f>
        <v>0</v>
      </c>
      <c r="J624" s="1">
        <f>northwind_order_details[[#This Row],[purchase amount]]-northwind_order_details[[#This Row],[discount amount]]</f>
        <v>223.20000000000002</v>
      </c>
      <c r="K624" s="6" t="str">
        <f>IF(northwind_order_details[[#This Row],[discount amount]]&gt;0,"Yes","No")</f>
        <v>No</v>
      </c>
      <c r="L624" s="1" t="str">
        <f>IF(northwind_order_details[[#This Row],[Revenue]]&gt;1000,"High",IF(northwind_order_details[[#This Row],[Revenue]]&gt;300,"Medium","Low"))</f>
        <v>Low</v>
      </c>
      <c r="M6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5" spans="1:13" x14ac:dyDescent="0.25">
      <c r="A625">
        <v>10491</v>
      </c>
      <c r="B625">
        <v>44</v>
      </c>
      <c r="C625" s="6">
        <v>15.5</v>
      </c>
      <c r="D625">
        <v>15</v>
      </c>
      <c r="E625" s="6">
        <v>0.15</v>
      </c>
      <c r="F625" t="str">
        <f>_xlfn.XLOOKUP(northwind_order_details[[#This Row],[order_id]],northwind_orders[order_id],northwind_orders[ship_country])</f>
        <v>Portugal</v>
      </c>
      <c r="G625">
        <f>INDEX(northwind_orders[],MATCH(northwind_order_details[[#This Row],[order_id]], northwind_orders[order_id], 0), MATCH("employee_id", northwind_orders[#Headers], 0))</f>
        <v>8</v>
      </c>
      <c r="H625">
        <f>northwind_order_details[[#This Row],[unit_price]]*northwind_order_details[[#This Row],[quantity]]</f>
        <v>232.5</v>
      </c>
      <c r="I625" s="1">
        <f>northwind_order_details[[#This Row],[purchase amount]]*northwind_order_details[[#This Row],[discount]]</f>
        <v>34.875</v>
      </c>
      <c r="J625" s="1">
        <f>northwind_order_details[[#This Row],[purchase amount]]-northwind_order_details[[#This Row],[discount amount]]</f>
        <v>197.625</v>
      </c>
      <c r="K625" s="6" t="str">
        <f>IF(northwind_order_details[[#This Row],[discount amount]]&gt;0,"Yes","No")</f>
        <v>Yes</v>
      </c>
      <c r="L625" s="1" t="str">
        <f>IF(northwind_order_details[[#This Row],[Revenue]]&gt;1000,"High",IF(northwind_order_details[[#This Row],[Revenue]]&gt;300,"Medium","Low"))</f>
        <v>Low</v>
      </c>
      <c r="M6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6" spans="1:13" x14ac:dyDescent="0.25">
      <c r="A626">
        <v>10491</v>
      </c>
      <c r="B626">
        <v>77</v>
      </c>
      <c r="C626" s="6">
        <v>10.4</v>
      </c>
      <c r="D626">
        <v>7</v>
      </c>
      <c r="E626" s="6">
        <v>0.15</v>
      </c>
      <c r="F626" t="str">
        <f>_xlfn.XLOOKUP(northwind_order_details[[#This Row],[order_id]],northwind_orders[order_id],northwind_orders[ship_country])</f>
        <v>Portugal</v>
      </c>
      <c r="G626">
        <f>INDEX(northwind_orders[],MATCH(northwind_order_details[[#This Row],[order_id]], northwind_orders[order_id], 0), MATCH("employee_id", northwind_orders[#Headers], 0))</f>
        <v>8</v>
      </c>
      <c r="H626">
        <f>northwind_order_details[[#This Row],[unit_price]]*northwind_order_details[[#This Row],[quantity]]</f>
        <v>72.8</v>
      </c>
      <c r="I626" s="1">
        <f>northwind_order_details[[#This Row],[purchase amount]]*northwind_order_details[[#This Row],[discount]]</f>
        <v>10.92</v>
      </c>
      <c r="J626" s="1">
        <f>northwind_order_details[[#This Row],[purchase amount]]-northwind_order_details[[#This Row],[discount amount]]</f>
        <v>61.879999999999995</v>
      </c>
      <c r="K626" s="6" t="str">
        <f>IF(northwind_order_details[[#This Row],[discount amount]]&gt;0,"Yes","No")</f>
        <v>Yes</v>
      </c>
      <c r="L626" s="1" t="str">
        <f>IF(northwind_order_details[[#This Row],[Revenue]]&gt;1000,"High",IF(northwind_order_details[[#This Row],[Revenue]]&gt;300,"Medium","Low"))</f>
        <v>Low</v>
      </c>
      <c r="M6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7" spans="1:13" x14ac:dyDescent="0.25">
      <c r="A627">
        <v>10492</v>
      </c>
      <c r="B627">
        <v>25</v>
      </c>
      <c r="C627" s="6">
        <v>11.2</v>
      </c>
      <c r="D627">
        <v>60</v>
      </c>
      <c r="E627" s="6">
        <v>0.05</v>
      </c>
      <c r="F627" t="str">
        <f>_xlfn.XLOOKUP(northwind_order_details[[#This Row],[order_id]],northwind_orders[order_id],northwind_orders[ship_country])</f>
        <v>Canada</v>
      </c>
      <c r="G627">
        <f>INDEX(northwind_orders[],MATCH(northwind_order_details[[#This Row],[order_id]], northwind_orders[order_id], 0), MATCH("employee_id", northwind_orders[#Headers], 0))</f>
        <v>3</v>
      </c>
      <c r="H627">
        <f>northwind_order_details[[#This Row],[unit_price]]*northwind_order_details[[#This Row],[quantity]]</f>
        <v>672</v>
      </c>
      <c r="I627" s="1">
        <f>northwind_order_details[[#This Row],[purchase amount]]*northwind_order_details[[#This Row],[discount]]</f>
        <v>33.6</v>
      </c>
      <c r="J627" s="1">
        <f>northwind_order_details[[#This Row],[purchase amount]]-northwind_order_details[[#This Row],[discount amount]]</f>
        <v>638.4</v>
      </c>
      <c r="K627" s="6" t="str">
        <f>IF(northwind_order_details[[#This Row],[discount amount]]&gt;0,"Yes","No")</f>
        <v>Yes</v>
      </c>
      <c r="L627" s="1" t="str">
        <f>IF(northwind_order_details[[#This Row],[Revenue]]&gt;1000,"High",IF(northwind_order_details[[#This Row],[Revenue]]&gt;300,"Medium","Low"))</f>
        <v>Medium</v>
      </c>
      <c r="M6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8" spans="1:13" x14ac:dyDescent="0.25">
      <c r="A628">
        <v>10492</v>
      </c>
      <c r="B628">
        <v>42</v>
      </c>
      <c r="C628" s="6">
        <v>11.2</v>
      </c>
      <c r="D628">
        <v>20</v>
      </c>
      <c r="E628" s="6">
        <v>0.05</v>
      </c>
      <c r="F628" t="str">
        <f>_xlfn.XLOOKUP(northwind_order_details[[#This Row],[order_id]],northwind_orders[order_id],northwind_orders[ship_country])</f>
        <v>Canada</v>
      </c>
      <c r="G628">
        <f>INDEX(northwind_orders[],MATCH(northwind_order_details[[#This Row],[order_id]], northwind_orders[order_id], 0), MATCH("employee_id", northwind_orders[#Headers], 0))</f>
        <v>3</v>
      </c>
      <c r="H628">
        <f>northwind_order_details[[#This Row],[unit_price]]*northwind_order_details[[#This Row],[quantity]]</f>
        <v>224</v>
      </c>
      <c r="I628" s="1">
        <f>northwind_order_details[[#This Row],[purchase amount]]*northwind_order_details[[#This Row],[discount]]</f>
        <v>11.200000000000001</v>
      </c>
      <c r="J628" s="1">
        <f>northwind_order_details[[#This Row],[purchase amount]]-northwind_order_details[[#This Row],[discount amount]]</f>
        <v>212.8</v>
      </c>
      <c r="K628" s="6" t="str">
        <f>IF(northwind_order_details[[#This Row],[discount amount]]&gt;0,"Yes","No")</f>
        <v>Yes</v>
      </c>
      <c r="L628" s="1" t="str">
        <f>IF(northwind_order_details[[#This Row],[Revenue]]&gt;1000,"High",IF(northwind_order_details[[#This Row],[Revenue]]&gt;300,"Medium","Low"))</f>
        <v>Low</v>
      </c>
      <c r="M6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29" spans="1:13" x14ac:dyDescent="0.25">
      <c r="A629">
        <v>10493</v>
      </c>
      <c r="B629">
        <v>65</v>
      </c>
      <c r="C629" s="6">
        <v>16.8</v>
      </c>
      <c r="D629">
        <v>15</v>
      </c>
      <c r="E629" s="6">
        <v>0.1</v>
      </c>
      <c r="F629" t="str">
        <f>_xlfn.XLOOKUP(northwind_order_details[[#This Row],[order_id]],northwind_orders[order_id],northwind_orders[ship_country])</f>
        <v>France</v>
      </c>
      <c r="G629">
        <f>INDEX(northwind_orders[],MATCH(northwind_order_details[[#This Row],[order_id]], northwind_orders[order_id], 0), MATCH("employee_id", northwind_orders[#Headers], 0))</f>
        <v>4</v>
      </c>
      <c r="H629">
        <f>northwind_order_details[[#This Row],[unit_price]]*northwind_order_details[[#This Row],[quantity]]</f>
        <v>252</v>
      </c>
      <c r="I629" s="1">
        <f>northwind_order_details[[#This Row],[purchase amount]]*northwind_order_details[[#This Row],[discount]]</f>
        <v>25.200000000000003</v>
      </c>
      <c r="J629" s="1">
        <f>northwind_order_details[[#This Row],[purchase amount]]-northwind_order_details[[#This Row],[discount amount]]</f>
        <v>226.8</v>
      </c>
      <c r="K629" s="6" t="str">
        <f>IF(northwind_order_details[[#This Row],[discount amount]]&gt;0,"Yes","No")</f>
        <v>Yes</v>
      </c>
      <c r="L629" s="1" t="str">
        <f>IF(northwind_order_details[[#This Row],[Revenue]]&gt;1000,"High",IF(northwind_order_details[[#This Row],[Revenue]]&gt;300,"Medium","Low"))</f>
        <v>Low</v>
      </c>
      <c r="M6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0" spans="1:13" x14ac:dyDescent="0.25">
      <c r="A630">
        <v>10493</v>
      </c>
      <c r="B630">
        <v>66</v>
      </c>
      <c r="C630" s="6">
        <v>13.6</v>
      </c>
      <c r="D630">
        <v>10</v>
      </c>
      <c r="E630" s="6">
        <v>0.1</v>
      </c>
      <c r="F630" t="str">
        <f>_xlfn.XLOOKUP(northwind_order_details[[#This Row],[order_id]],northwind_orders[order_id],northwind_orders[ship_country])</f>
        <v>France</v>
      </c>
      <c r="G630">
        <f>INDEX(northwind_orders[],MATCH(northwind_order_details[[#This Row],[order_id]], northwind_orders[order_id], 0), MATCH("employee_id", northwind_orders[#Headers], 0))</f>
        <v>4</v>
      </c>
      <c r="H630">
        <f>northwind_order_details[[#This Row],[unit_price]]*northwind_order_details[[#This Row],[quantity]]</f>
        <v>136</v>
      </c>
      <c r="I630" s="1">
        <f>northwind_order_details[[#This Row],[purchase amount]]*northwind_order_details[[#This Row],[discount]]</f>
        <v>13.600000000000001</v>
      </c>
      <c r="J630" s="1">
        <f>northwind_order_details[[#This Row],[purchase amount]]-northwind_order_details[[#This Row],[discount amount]]</f>
        <v>122.4</v>
      </c>
      <c r="K630" s="6" t="str">
        <f>IF(northwind_order_details[[#This Row],[discount amount]]&gt;0,"Yes","No")</f>
        <v>Yes</v>
      </c>
      <c r="L630" s="1" t="str">
        <f>IF(northwind_order_details[[#This Row],[Revenue]]&gt;1000,"High",IF(northwind_order_details[[#This Row],[Revenue]]&gt;300,"Medium","Low"))</f>
        <v>Low</v>
      </c>
      <c r="M6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1" spans="1:13" x14ac:dyDescent="0.25">
      <c r="A631">
        <v>10493</v>
      </c>
      <c r="B631">
        <v>69</v>
      </c>
      <c r="C631" s="6">
        <v>28.8</v>
      </c>
      <c r="D631">
        <v>10</v>
      </c>
      <c r="E631" s="6">
        <v>0.1</v>
      </c>
      <c r="F631" t="str">
        <f>_xlfn.XLOOKUP(northwind_order_details[[#This Row],[order_id]],northwind_orders[order_id],northwind_orders[ship_country])</f>
        <v>France</v>
      </c>
      <c r="G631">
        <f>INDEX(northwind_orders[],MATCH(northwind_order_details[[#This Row],[order_id]], northwind_orders[order_id], 0), MATCH("employee_id", northwind_orders[#Headers], 0))</f>
        <v>4</v>
      </c>
      <c r="H631">
        <f>northwind_order_details[[#This Row],[unit_price]]*northwind_order_details[[#This Row],[quantity]]</f>
        <v>288</v>
      </c>
      <c r="I631" s="1">
        <f>northwind_order_details[[#This Row],[purchase amount]]*northwind_order_details[[#This Row],[discount]]</f>
        <v>28.8</v>
      </c>
      <c r="J631" s="1">
        <f>northwind_order_details[[#This Row],[purchase amount]]-northwind_order_details[[#This Row],[discount amount]]</f>
        <v>259.2</v>
      </c>
      <c r="K631" s="6" t="str">
        <f>IF(northwind_order_details[[#This Row],[discount amount]]&gt;0,"Yes","No")</f>
        <v>Yes</v>
      </c>
      <c r="L631" s="1" t="str">
        <f>IF(northwind_order_details[[#This Row],[Revenue]]&gt;1000,"High",IF(northwind_order_details[[#This Row],[Revenue]]&gt;300,"Medium","Low"))</f>
        <v>Low</v>
      </c>
      <c r="M6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2" spans="1:13" x14ac:dyDescent="0.25">
      <c r="A632">
        <v>10494</v>
      </c>
      <c r="B632">
        <v>56</v>
      </c>
      <c r="C632" s="6">
        <v>30.4</v>
      </c>
      <c r="D632">
        <v>30</v>
      </c>
      <c r="E632" s="6" t="s">
        <v>6</v>
      </c>
      <c r="F632" t="str">
        <f>_xlfn.XLOOKUP(northwind_order_details[[#This Row],[order_id]],northwind_orders[order_id],northwind_orders[ship_country])</f>
        <v>Brazil</v>
      </c>
      <c r="G632">
        <f>INDEX(northwind_orders[],MATCH(northwind_order_details[[#This Row],[order_id]], northwind_orders[order_id], 0), MATCH("employee_id", northwind_orders[#Headers], 0))</f>
        <v>4</v>
      </c>
      <c r="H632">
        <f>northwind_order_details[[#This Row],[unit_price]]*northwind_order_details[[#This Row],[quantity]]</f>
        <v>912</v>
      </c>
      <c r="I632" s="1">
        <f>northwind_order_details[[#This Row],[purchase amount]]*northwind_order_details[[#This Row],[discount]]</f>
        <v>0</v>
      </c>
      <c r="J632" s="1">
        <f>northwind_order_details[[#This Row],[purchase amount]]-northwind_order_details[[#This Row],[discount amount]]</f>
        <v>912</v>
      </c>
      <c r="K632" s="6" t="str">
        <f>IF(northwind_order_details[[#This Row],[discount amount]]&gt;0,"Yes","No")</f>
        <v>No</v>
      </c>
      <c r="L632" s="1" t="str">
        <f>IF(northwind_order_details[[#This Row],[Revenue]]&gt;1000,"High",IF(northwind_order_details[[#This Row],[Revenue]]&gt;300,"Medium","Low"))</f>
        <v>Medium</v>
      </c>
      <c r="M6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3" spans="1:13" x14ac:dyDescent="0.25">
      <c r="A633">
        <v>10495</v>
      </c>
      <c r="B633">
        <v>23</v>
      </c>
      <c r="C633" s="6">
        <v>7.2</v>
      </c>
      <c r="D633">
        <v>10</v>
      </c>
      <c r="E633" s="6" t="s">
        <v>6</v>
      </c>
      <c r="F633" t="str">
        <f>_xlfn.XLOOKUP(northwind_order_details[[#This Row],[order_id]],northwind_orders[order_id],northwind_orders[ship_country])</f>
        <v>Canada</v>
      </c>
      <c r="G633">
        <f>INDEX(northwind_orders[],MATCH(northwind_order_details[[#This Row],[order_id]], northwind_orders[order_id], 0), MATCH("employee_id", northwind_orders[#Headers], 0))</f>
        <v>3</v>
      </c>
      <c r="H633">
        <f>northwind_order_details[[#This Row],[unit_price]]*northwind_order_details[[#This Row],[quantity]]</f>
        <v>72</v>
      </c>
      <c r="I633" s="1">
        <f>northwind_order_details[[#This Row],[purchase amount]]*northwind_order_details[[#This Row],[discount]]</f>
        <v>0</v>
      </c>
      <c r="J633" s="1">
        <f>northwind_order_details[[#This Row],[purchase amount]]-northwind_order_details[[#This Row],[discount amount]]</f>
        <v>72</v>
      </c>
      <c r="K633" s="6" t="str">
        <f>IF(northwind_order_details[[#This Row],[discount amount]]&gt;0,"Yes","No")</f>
        <v>No</v>
      </c>
      <c r="L633" s="1" t="str">
        <f>IF(northwind_order_details[[#This Row],[Revenue]]&gt;1000,"High",IF(northwind_order_details[[#This Row],[Revenue]]&gt;300,"Medium","Low"))</f>
        <v>Low</v>
      </c>
      <c r="M6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4" spans="1:13" x14ac:dyDescent="0.25">
      <c r="A634">
        <v>10495</v>
      </c>
      <c r="B634">
        <v>41</v>
      </c>
      <c r="C634" s="6">
        <v>7.7</v>
      </c>
      <c r="D634">
        <v>20</v>
      </c>
      <c r="E634" s="6" t="s">
        <v>6</v>
      </c>
      <c r="F634" t="str">
        <f>_xlfn.XLOOKUP(northwind_order_details[[#This Row],[order_id]],northwind_orders[order_id],northwind_orders[ship_country])</f>
        <v>Canada</v>
      </c>
      <c r="G634">
        <f>INDEX(northwind_orders[],MATCH(northwind_order_details[[#This Row],[order_id]], northwind_orders[order_id], 0), MATCH("employee_id", northwind_orders[#Headers], 0))</f>
        <v>3</v>
      </c>
      <c r="H634">
        <f>northwind_order_details[[#This Row],[unit_price]]*northwind_order_details[[#This Row],[quantity]]</f>
        <v>154</v>
      </c>
      <c r="I634" s="1">
        <f>northwind_order_details[[#This Row],[purchase amount]]*northwind_order_details[[#This Row],[discount]]</f>
        <v>0</v>
      </c>
      <c r="J634" s="1">
        <f>northwind_order_details[[#This Row],[purchase amount]]-northwind_order_details[[#This Row],[discount amount]]</f>
        <v>154</v>
      </c>
      <c r="K634" s="6" t="str">
        <f>IF(northwind_order_details[[#This Row],[discount amount]]&gt;0,"Yes","No")</f>
        <v>No</v>
      </c>
      <c r="L634" s="1" t="str">
        <f>IF(northwind_order_details[[#This Row],[Revenue]]&gt;1000,"High",IF(northwind_order_details[[#This Row],[Revenue]]&gt;300,"Medium","Low"))</f>
        <v>Low</v>
      </c>
      <c r="M6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5" spans="1:13" x14ac:dyDescent="0.25">
      <c r="A635">
        <v>10495</v>
      </c>
      <c r="B635">
        <v>77</v>
      </c>
      <c r="C635" s="6">
        <v>10.4</v>
      </c>
      <c r="D635">
        <v>5</v>
      </c>
      <c r="E635" s="6" t="s">
        <v>6</v>
      </c>
      <c r="F635" t="str">
        <f>_xlfn.XLOOKUP(northwind_order_details[[#This Row],[order_id]],northwind_orders[order_id],northwind_orders[ship_country])</f>
        <v>Canada</v>
      </c>
      <c r="G635">
        <f>INDEX(northwind_orders[],MATCH(northwind_order_details[[#This Row],[order_id]], northwind_orders[order_id], 0), MATCH("employee_id", northwind_orders[#Headers], 0))</f>
        <v>3</v>
      </c>
      <c r="H635">
        <f>northwind_order_details[[#This Row],[unit_price]]*northwind_order_details[[#This Row],[quantity]]</f>
        <v>52</v>
      </c>
      <c r="I635" s="1">
        <f>northwind_order_details[[#This Row],[purchase amount]]*northwind_order_details[[#This Row],[discount]]</f>
        <v>0</v>
      </c>
      <c r="J635" s="1">
        <f>northwind_order_details[[#This Row],[purchase amount]]-northwind_order_details[[#This Row],[discount amount]]</f>
        <v>52</v>
      </c>
      <c r="K635" s="6" t="str">
        <f>IF(northwind_order_details[[#This Row],[discount amount]]&gt;0,"Yes","No")</f>
        <v>No</v>
      </c>
      <c r="L635" s="1" t="str">
        <f>IF(northwind_order_details[[#This Row],[Revenue]]&gt;1000,"High",IF(northwind_order_details[[#This Row],[Revenue]]&gt;300,"Medium","Low"))</f>
        <v>Low</v>
      </c>
      <c r="M6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6" spans="1:13" x14ac:dyDescent="0.25">
      <c r="A636">
        <v>10496</v>
      </c>
      <c r="B636">
        <v>31</v>
      </c>
      <c r="C636" s="6" t="s">
        <v>8</v>
      </c>
      <c r="D636">
        <v>20</v>
      </c>
      <c r="E636" s="6">
        <v>0.05</v>
      </c>
      <c r="F636" t="str">
        <f>_xlfn.XLOOKUP(northwind_order_details[[#This Row],[order_id]],northwind_orders[order_id],northwind_orders[ship_country])</f>
        <v>Brazil</v>
      </c>
      <c r="G636">
        <f>INDEX(northwind_orders[],MATCH(northwind_order_details[[#This Row],[order_id]], northwind_orders[order_id], 0), MATCH("employee_id", northwind_orders[#Headers], 0))</f>
        <v>7</v>
      </c>
      <c r="H636">
        <f>northwind_order_details[[#This Row],[unit_price]]*northwind_order_details[[#This Row],[quantity]]</f>
        <v>200</v>
      </c>
      <c r="I636" s="1">
        <f>northwind_order_details[[#This Row],[purchase amount]]*northwind_order_details[[#This Row],[discount]]</f>
        <v>10</v>
      </c>
      <c r="J636" s="1">
        <f>northwind_order_details[[#This Row],[purchase amount]]-northwind_order_details[[#This Row],[discount amount]]</f>
        <v>190</v>
      </c>
      <c r="K636" s="6" t="str">
        <f>IF(northwind_order_details[[#This Row],[discount amount]]&gt;0,"Yes","No")</f>
        <v>Yes</v>
      </c>
      <c r="L636" s="1" t="str">
        <f>IF(northwind_order_details[[#This Row],[Revenue]]&gt;1000,"High",IF(northwind_order_details[[#This Row],[Revenue]]&gt;300,"Medium","Low"))</f>
        <v>Low</v>
      </c>
      <c r="M6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7" spans="1:13" x14ac:dyDescent="0.25">
      <c r="A637">
        <v>10497</v>
      </c>
      <c r="B637">
        <v>56</v>
      </c>
      <c r="C637" s="6">
        <v>30.4</v>
      </c>
      <c r="D637">
        <v>14</v>
      </c>
      <c r="E637" s="6" t="s">
        <v>6</v>
      </c>
      <c r="F637" t="str">
        <f>_xlfn.XLOOKUP(northwind_order_details[[#This Row],[order_id]],northwind_orders[order_id],northwind_orders[ship_country])</f>
        <v>Germany</v>
      </c>
      <c r="G637">
        <f>INDEX(northwind_orders[],MATCH(northwind_order_details[[#This Row],[order_id]], northwind_orders[order_id], 0), MATCH("employee_id", northwind_orders[#Headers], 0))</f>
        <v>7</v>
      </c>
      <c r="H637">
        <f>northwind_order_details[[#This Row],[unit_price]]*northwind_order_details[[#This Row],[quantity]]</f>
        <v>425.59999999999997</v>
      </c>
      <c r="I637" s="1">
        <f>northwind_order_details[[#This Row],[purchase amount]]*northwind_order_details[[#This Row],[discount]]</f>
        <v>0</v>
      </c>
      <c r="J637" s="1">
        <f>northwind_order_details[[#This Row],[purchase amount]]-northwind_order_details[[#This Row],[discount amount]]</f>
        <v>425.59999999999997</v>
      </c>
      <c r="K637" s="6" t="str">
        <f>IF(northwind_order_details[[#This Row],[discount amount]]&gt;0,"Yes","No")</f>
        <v>No</v>
      </c>
      <c r="L637" s="1" t="str">
        <f>IF(northwind_order_details[[#This Row],[Revenue]]&gt;1000,"High",IF(northwind_order_details[[#This Row],[Revenue]]&gt;300,"Medium","Low"))</f>
        <v>Medium</v>
      </c>
      <c r="M6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8" spans="1:13" x14ac:dyDescent="0.25">
      <c r="A638">
        <v>10497</v>
      </c>
      <c r="B638">
        <v>72</v>
      </c>
      <c r="C638" s="6">
        <v>27.8</v>
      </c>
      <c r="D638">
        <v>25</v>
      </c>
      <c r="E638" s="6" t="s">
        <v>6</v>
      </c>
      <c r="F638" t="str">
        <f>_xlfn.XLOOKUP(northwind_order_details[[#This Row],[order_id]],northwind_orders[order_id],northwind_orders[ship_country])</f>
        <v>Germany</v>
      </c>
      <c r="G638">
        <f>INDEX(northwind_orders[],MATCH(northwind_order_details[[#This Row],[order_id]], northwind_orders[order_id], 0), MATCH("employee_id", northwind_orders[#Headers], 0))</f>
        <v>7</v>
      </c>
      <c r="H638">
        <f>northwind_order_details[[#This Row],[unit_price]]*northwind_order_details[[#This Row],[quantity]]</f>
        <v>695</v>
      </c>
      <c r="I638" s="1">
        <f>northwind_order_details[[#This Row],[purchase amount]]*northwind_order_details[[#This Row],[discount]]</f>
        <v>0</v>
      </c>
      <c r="J638" s="1">
        <f>northwind_order_details[[#This Row],[purchase amount]]-northwind_order_details[[#This Row],[discount amount]]</f>
        <v>695</v>
      </c>
      <c r="K638" s="6" t="str">
        <f>IF(northwind_order_details[[#This Row],[discount amount]]&gt;0,"Yes","No")</f>
        <v>No</v>
      </c>
      <c r="L638" s="1" t="str">
        <f>IF(northwind_order_details[[#This Row],[Revenue]]&gt;1000,"High",IF(northwind_order_details[[#This Row],[Revenue]]&gt;300,"Medium","Low"))</f>
        <v>Medium</v>
      </c>
      <c r="M6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39" spans="1:13" x14ac:dyDescent="0.25">
      <c r="A639">
        <v>10497</v>
      </c>
      <c r="B639">
        <v>77</v>
      </c>
      <c r="C639" s="6">
        <v>10.4</v>
      </c>
      <c r="D639">
        <v>25</v>
      </c>
      <c r="E639" s="6" t="s">
        <v>6</v>
      </c>
      <c r="F639" t="str">
        <f>_xlfn.XLOOKUP(northwind_order_details[[#This Row],[order_id]],northwind_orders[order_id],northwind_orders[ship_country])</f>
        <v>Germany</v>
      </c>
      <c r="G639">
        <f>INDEX(northwind_orders[],MATCH(northwind_order_details[[#This Row],[order_id]], northwind_orders[order_id], 0), MATCH("employee_id", northwind_orders[#Headers], 0))</f>
        <v>7</v>
      </c>
      <c r="H639">
        <f>northwind_order_details[[#This Row],[unit_price]]*northwind_order_details[[#This Row],[quantity]]</f>
        <v>260</v>
      </c>
      <c r="I639" s="1">
        <f>northwind_order_details[[#This Row],[purchase amount]]*northwind_order_details[[#This Row],[discount]]</f>
        <v>0</v>
      </c>
      <c r="J639" s="1">
        <f>northwind_order_details[[#This Row],[purchase amount]]-northwind_order_details[[#This Row],[discount amount]]</f>
        <v>260</v>
      </c>
      <c r="K639" s="6" t="str">
        <f>IF(northwind_order_details[[#This Row],[discount amount]]&gt;0,"Yes","No")</f>
        <v>No</v>
      </c>
      <c r="L639" s="1" t="str">
        <f>IF(northwind_order_details[[#This Row],[Revenue]]&gt;1000,"High",IF(northwind_order_details[[#This Row],[Revenue]]&gt;300,"Medium","Low"))</f>
        <v>Low</v>
      </c>
      <c r="M6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40" spans="1:13" x14ac:dyDescent="0.25">
      <c r="A640">
        <v>10498</v>
      </c>
      <c r="B640">
        <v>24</v>
      </c>
      <c r="C640" s="6">
        <v>4.5</v>
      </c>
      <c r="D640">
        <v>14</v>
      </c>
      <c r="E640" s="6" t="s">
        <v>6</v>
      </c>
      <c r="F640" t="str">
        <f>_xlfn.XLOOKUP(northwind_order_details[[#This Row],[order_id]],northwind_orders[order_id],northwind_orders[ship_country])</f>
        <v>Venezuela</v>
      </c>
      <c r="G640">
        <f>INDEX(northwind_orders[],MATCH(northwind_order_details[[#This Row],[order_id]], northwind_orders[order_id], 0), MATCH("employee_id", northwind_orders[#Headers], 0))</f>
        <v>8</v>
      </c>
      <c r="H640">
        <f>northwind_order_details[[#This Row],[unit_price]]*northwind_order_details[[#This Row],[quantity]]</f>
        <v>63</v>
      </c>
      <c r="I640" s="1">
        <f>northwind_order_details[[#This Row],[purchase amount]]*northwind_order_details[[#This Row],[discount]]</f>
        <v>0</v>
      </c>
      <c r="J640" s="1">
        <f>northwind_order_details[[#This Row],[purchase amount]]-northwind_order_details[[#This Row],[discount amount]]</f>
        <v>63</v>
      </c>
      <c r="K640" s="6" t="str">
        <f>IF(northwind_order_details[[#This Row],[discount amount]]&gt;0,"Yes","No")</f>
        <v>No</v>
      </c>
      <c r="L640" s="1" t="str">
        <f>IF(northwind_order_details[[#This Row],[Revenue]]&gt;1000,"High",IF(northwind_order_details[[#This Row],[Revenue]]&gt;300,"Medium","Low"))</f>
        <v>Low</v>
      </c>
      <c r="M6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1" spans="1:13" x14ac:dyDescent="0.25">
      <c r="A641">
        <v>10498</v>
      </c>
      <c r="B641">
        <v>40</v>
      </c>
      <c r="C641" s="6">
        <v>18.399999999999999</v>
      </c>
      <c r="D641">
        <v>5</v>
      </c>
      <c r="E641" s="6" t="s">
        <v>6</v>
      </c>
      <c r="F641" t="str">
        <f>_xlfn.XLOOKUP(northwind_order_details[[#This Row],[order_id]],northwind_orders[order_id],northwind_orders[ship_country])</f>
        <v>Venezuela</v>
      </c>
      <c r="G641">
        <f>INDEX(northwind_orders[],MATCH(northwind_order_details[[#This Row],[order_id]], northwind_orders[order_id], 0), MATCH("employee_id", northwind_orders[#Headers], 0))</f>
        <v>8</v>
      </c>
      <c r="H641">
        <f>northwind_order_details[[#This Row],[unit_price]]*northwind_order_details[[#This Row],[quantity]]</f>
        <v>92</v>
      </c>
      <c r="I641" s="1">
        <f>northwind_order_details[[#This Row],[purchase amount]]*northwind_order_details[[#This Row],[discount]]</f>
        <v>0</v>
      </c>
      <c r="J641" s="1">
        <f>northwind_order_details[[#This Row],[purchase amount]]-northwind_order_details[[#This Row],[discount amount]]</f>
        <v>92</v>
      </c>
      <c r="K641" s="6" t="str">
        <f>IF(northwind_order_details[[#This Row],[discount amount]]&gt;0,"Yes","No")</f>
        <v>No</v>
      </c>
      <c r="L641" s="1" t="str">
        <f>IF(northwind_order_details[[#This Row],[Revenue]]&gt;1000,"High",IF(northwind_order_details[[#This Row],[Revenue]]&gt;300,"Medium","Low"))</f>
        <v>Low</v>
      </c>
      <c r="M6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2" spans="1:13" x14ac:dyDescent="0.25">
      <c r="A642">
        <v>10498</v>
      </c>
      <c r="B642">
        <v>42</v>
      </c>
      <c r="C642" s="6" t="s">
        <v>5</v>
      </c>
      <c r="D642">
        <v>30</v>
      </c>
      <c r="E642" s="6" t="s">
        <v>6</v>
      </c>
      <c r="F642" t="str">
        <f>_xlfn.XLOOKUP(northwind_order_details[[#This Row],[order_id]],northwind_orders[order_id],northwind_orders[ship_country])</f>
        <v>Venezuela</v>
      </c>
      <c r="G642">
        <f>INDEX(northwind_orders[],MATCH(northwind_order_details[[#This Row],[order_id]], northwind_orders[order_id], 0), MATCH("employee_id", northwind_orders[#Headers], 0))</f>
        <v>8</v>
      </c>
      <c r="H642">
        <f>northwind_order_details[[#This Row],[unit_price]]*northwind_order_details[[#This Row],[quantity]]</f>
        <v>420</v>
      </c>
      <c r="I642" s="1">
        <f>northwind_order_details[[#This Row],[purchase amount]]*northwind_order_details[[#This Row],[discount]]</f>
        <v>0</v>
      </c>
      <c r="J642" s="1">
        <f>northwind_order_details[[#This Row],[purchase amount]]-northwind_order_details[[#This Row],[discount amount]]</f>
        <v>420</v>
      </c>
      <c r="K642" s="6" t="str">
        <f>IF(northwind_order_details[[#This Row],[discount amount]]&gt;0,"Yes","No")</f>
        <v>No</v>
      </c>
      <c r="L642" s="1" t="str">
        <f>IF(northwind_order_details[[#This Row],[Revenue]]&gt;1000,"High",IF(northwind_order_details[[#This Row],[Revenue]]&gt;300,"Medium","Low"))</f>
        <v>Medium</v>
      </c>
      <c r="M6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43" spans="1:13" x14ac:dyDescent="0.25">
      <c r="A643">
        <v>10499</v>
      </c>
      <c r="B643">
        <v>28</v>
      </c>
      <c r="C643" s="6">
        <v>45.6</v>
      </c>
      <c r="D643">
        <v>20</v>
      </c>
      <c r="E643" s="6" t="s">
        <v>6</v>
      </c>
      <c r="F643" t="str">
        <f>_xlfn.XLOOKUP(northwind_order_details[[#This Row],[order_id]],northwind_orders[order_id],northwind_orders[ship_country])</f>
        <v>Venezuela</v>
      </c>
      <c r="G643">
        <f>INDEX(northwind_orders[],MATCH(northwind_order_details[[#This Row],[order_id]], northwind_orders[order_id], 0), MATCH("employee_id", northwind_orders[#Headers], 0))</f>
        <v>4</v>
      </c>
      <c r="H643">
        <f>northwind_order_details[[#This Row],[unit_price]]*northwind_order_details[[#This Row],[quantity]]</f>
        <v>912</v>
      </c>
      <c r="I643" s="1">
        <f>northwind_order_details[[#This Row],[purchase amount]]*northwind_order_details[[#This Row],[discount]]</f>
        <v>0</v>
      </c>
      <c r="J643" s="1">
        <f>northwind_order_details[[#This Row],[purchase amount]]-northwind_order_details[[#This Row],[discount amount]]</f>
        <v>912</v>
      </c>
      <c r="K643" s="6" t="str">
        <f>IF(northwind_order_details[[#This Row],[discount amount]]&gt;0,"Yes","No")</f>
        <v>No</v>
      </c>
      <c r="L643" s="1" t="str">
        <f>IF(northwind_order_details[[#This Row],[Revenue]]&gt;1000,"High",IF(northwind_order_details[[#This Row],[Revenue]]&gt;300,"Medium","Low"))</f>
        <v>Medium</v>
      </c>
      <c r="M6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4" spans="1:13" x14ac:dyDescent="0.25">
      <c r="A644">
        <v>10499</v>
      </c>
      <c r="B644">
        <v>49</v>
      </c>
      <c r="C644" s="6" t="s">
        <v>17</v>
      </c>
      <c r="D644">
        <v>25</v>
      </c>
      <c r="E644" s="6" t="s">
        <v>6</v>
      </c>
      <c r="F644" t="str">
        <f>_xlfn.XLOOKUP(northwind_order_details[[#This Row],[order_id]],northwind_orders[order_id],northwind_orders[ship_country])</f>
        <v>Venezuela</v>
      </c>
      <c r="G644">
        <f>INDEX(northwind_orders[],MATCH(northwind_order_details[[#This Row],[order_id]], northwind_orders[order_id], 0), MATCH("employee_id", northwind_orders[#Headers], 0))</f>
        <v>4</v>
      </c>
      <c r="H644">
        <f>northwind_order_details[[#This Row],[unit_price]]*northwind_order_details[[#This Row],[quantity]]</f>
        <v>500</v>
      </c>
      <c r="I644" s="1">
        <f>northwind_order_details[[#This Row],[purchase amount]]*northwind_order_details[[#This Row],[discount]]</f>
        <v>0</v>
      </c>
      <c r="J644" s="1">
        <f>northwind_order_details[[#This Row],[purchase amount]]-northwind_order_details[[#This Row],[discount amount]]</f>
        <v>500</v>
      </c>
      <c r="K644" s="6" t="str">
        <f>IF(northwind_order_details[[#This Row],[discount amount]]&gt;0,"Yes","No")</f>
        <v>No</v>
      </c>
      <c r="L644" s="1" t="str">
        <f>IF(northwind_order_details[[#This Row],[Revenue]]&gt;1000,"High",IF(northwind_order_details[[#This Row],[Revenue]]&gt;300,"Medium","Low"))</f>
        <v>Medium</v>
      </c>
      <c r="M6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45" spans="1:13" x14ac:dyDescent="0.25">
      <c r="A645">
        <v>10500</v>
      </c>
      <c r="B645">
        <v>15</v>
      </c>
      <c r="C645" s="6">
        <v>15.5</v>
      </c>
      <c r="D645">
        <v>12</v>
      </c>
      <c r="E645" s="6">
        <v>0.05</v>
      </c>
      <c r="F645" t="str">
        <f>_xlfn.XLOOKUP(northwind_order_details[[#This Row],[order_id]],northwind_orders[order_id],northwind_orders[ship_country])</f>
        <v>France</v>
      </c>
      <c r="G645">
        <f>INDEX(northwind_orders[],MATCH(northwind_order_details[[#This Row],[order_id]], northwind_orders[order_id], 0), MATCH("employee_id", northwind_orders[#Headers], 0))</f>
        <v>6</v>
      </c>
      <c r="H645">
        <f>northwind_order_details[[#This Row],[unit_price]]*northwind_order_details[[#This Row],[quantity]]</f>
        <v>186</v>
      </c>
      <c r="I645" s="1">
        <f>northwind_order_details[[#This Row],[purchase amount]]*northwind_order_details[[#This Row],[discount]]</f>
        <v>9.3000000000000007</v>
      </c>
      <c r="J645" s="1">
        <f>northwind_order_details[[#This Row],[purchase amount]]-northwind_order_details[[#This Row],[discount amount]]</f>
        <v>176.7</v>
      </c>
      <c r="K645" s="6" t="str">
        <f>IF(northwind_order_details[[#This Row],[discount amount]]&gt;0,"Yes","No")</f>
        <v>Yes</v>
      </c>
      <c r="L645" s="1" t="str">
        <f>IF(northwind_order_details[[#This Row],[Revenue]]&gt;1000,"High",IF(northwind_order_details[[#This Row],[Revenue]]&gt;300,"Medium","Low"))</f>
        <v>Low</v>
      </c>
      <c r="M6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6" spans="1:13" x14ac:dyDescent="0.25">
      <c r="A646">
        <v>10500</v>
      </c>
      <c r="B646">
        <v>28</v>
      </c>
      <c r="C646" s="6">
        <v>45.6</v>
      </c>
      <c r="D646">
        <v>8</v>
      </c>
      <c r="E646" s="6">
        <v>0.05</v>
      </c>
      <c r="F646" t="str">
        <f>_xlfn.XLOOKUP(northwind_order_details[[#This Row],[order_id]],northwind_orders[order_id],northwind_orders[ship_country])</f>
        <v>France</v>
      </c>
      <c r="G646">
        <f>INDEX(northwind_orders[],MATCH(northwind_order_details[[#This Row],[order_id]], northwind_orders[order_id], 0), MATCH("employee_id", northwind_orders[#Headers], 0))</f>
        <v>6</v>
      </c>
      <c r="H646">
        <f>northwind_order_details[[#This Row],[unit_price]]*northwind_order_details[[#This Row],[quantity]]</f>
        <v>364.8</v>
      </c>
      <c r="I646" s="1">
        <f>northwind_order_details[[#This Row],[purchase amount]]*northwind_order_details[[#This Row],[discount]]</f>
        <v>18.240000000000002</v>
      </c>
      <c r="J646" s="1">
        <f>northwind_order_details[[#This Row],[purchase amount]]-northwind_order_details[[#This Row],[discount amount]]</f>
        <v>346.56</v>
      </c>
      <c r="K646" s="6" t="str">
        <f>IF(northwind_order_details[[#This Row],[discount amount]]&gt;0,"Yes","No")</f>
        <v>Yes</v>
      </c>
      <c r="L646" s="1" t="str">
        <f>IF(northwind_order_details[[#This Row],[Revenue]]&gt;1000,"High",IF(northwind_order_details[[#This Row],[Revenue]]&gt;300,"Medium","Low"))</f>
        <v>Medium</v>
      </c>
      <c r="M64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7" spans="1:13" x14ac:dyDescent="0.25">
      <c r="A647">
        <v>10501</v>
      </c>
      <c r="B647">
        <v>54</v>
      </c>
      <c r="C647" s="6">
        <v>7.45</v>
      </c>
      <c r="D647">
        <v>20</v>
      </c>
      <c r="E647" s="6" t="s">
        <v>6</v>
      </c>
      <c r="F647" t="str">
        <f>_xlfn.XLOOKUP(northwind_order_details[[#This Row],[order_id]],northwind_orders[order_id],northwind_orders[ship_country])</f>
        <v>Germany</v>
      </c>
      <c r="G647">
        <f>INDEX(northwind_orders[],MATCH(northwind_order_details[[#This Row],[order_id]], northwind_orders[order_id], 0), MATCH("employee_id", northwind_orders[#Headers], 0))</f>
        <v>9</v>
      </c>
      <c r="H647">
        <f>northwind_order_details[[#This Row],[unit_price]]*northwind_order_details[[#This Row],[quantity]]</f>
        <v>149</v>
      </c>
      <c r="I647" s="1">
        <f>northwind_order_details[[#This Row],[purchase amount]]*northwind_order_details[[#This Row],[discount]]</f>
        <v>0</v>
      </c>
      <c r="J647" s="1">
        <f>northwind_order_details[[#This Row],[purchase amount]]-northwind_order_details[[#This Row],[discount amount]]</f>
        <v>149</v>
      </c>
      <c r="K647" s="6" t="str">
        <f>IF(northwind_order_details[[#This Row],[discount amount]]&gt;0,"Yes","No")</f>
        <v>No</v>
      </c>
      <c r="L647" s="1" t="str">
        <f>IF(northwind_order_details[[#This Row],[Revenue]]&gt;1000,"High",IF(northwind_order_details[[#This Row],[Revenue]]&gt;300,"Medium","Low"))</f>
        <v>Low</v>
      </c>
      <c r="M6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8" spans="1:13" x14ac:dyDescent="0.25">
      <c r="A648">
        <v>10502</v>
      </c>
      <c r="B648">
        <v>45</v>
      </c>
      <c r="C648" s="6">
        <v>9.5</v>
      </c>
      <c r="D648">
        <v>21</v>
      </c>
      <c r="E648" s="6" t="s">
        <v>6</v>
      </c>
      <c r="F648" t="str">
        <f>_xlfn.XLOOKUP(northwind_order_details[[#This Row],[order_id]],northwind_orders[order_id],northwind_orders[ship_country])</f>
        <v>Mexico</v>
      </c>
      <c r="G648">
        <f>INDEX(northwind_orders[],MATCH(northwind_order_details[[#This Row],[order_id]], northwind_orders[order_id], 0), MATCH("employee_id", northwind_orders[#Headers], 0))</f>
        <v>2</v>
      </c>
      <c r="H648">
        <f>northwind_order_details[[#This Row],[unit_price]]*northwind_order_details[[#This Row],[quantity]]</f>
        <v>199.5</v>
      </c>
      <c r="I648" s="1">
        <f>northwind_order_details[[#This Row],[purchase amount]]*northwind_order_details[[#This Row],[discount]]</f>
        <v>0</v>
      </c>
      <c r="J648" s="1">
        <f>northwind_order_details[[#This Row],[purchase amount]]-northwind_order_details[[#This Row],[discount amount]]</f>
        <v>199.5</v>
      </c>
      <c r="K648" s="6" t="str">
        <f>IF(northwind_order_details[[#This Row],[discount amount]]&gt;0,"Yes","No")</f>
        <v>No</v>
      </c>
      <c r="L648" s="1" t="str">
        <f>IF(northwind_order_details[[#This Row],[Revenue]]&gt;1000,"High",IF(northwind_order_details[[#This Row],[Revenue]]&gt;300,"Medium","Low"))</f>
        <v>Low</v>
      </c>
      <c r="M64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49" spans="1:13" x14ac:dyDescent="0.25">
      <c r="A649">
        <v>10502</v>
      </c>
      <c r="B649">
        <v>53</v>
      </c>
      <c r="C649" s="6">
        <v>32.799999999999997</v>
      </c>
      <c r="D649">
        <v>6</v>
      </c>
      <c r="E649" s="6" t="s">
        <v>6</v>
      </c>
      <c r="F649" t="str">
        <f>_xlfn.XLOOKUP(northwind_order_details[[#This Row],[order_id]],northwind_orders[order_id],northwind_orders[ship_country])</f>
        <v>Mexico</v>
      </c>
      <c r="G649">
        <f>INDEX(northwind_orders[],MATCH(northwind_order_details[[#This Row],[order_id]], northwind_orders[order_id], 0), MATCH("employee_id", northwind_orders[#Headers], 0))</f>
        <v>2</v>
      </c>
      <c r="H649">
        <f>northwind_order_details[[#This Row],[unit_price]]*northwind_order_details[[#This Row],[quantity]]</f>
        <v>196.79999999999998</v>
      </c>
      <c r="I649" s="1">
        <f>northwind_order_details[[#This Row],[purchase amount]]*northwind_order_details[[#This Row],[discount]]</f>
        <v>0</v>
      </c>
      <c r="J649" s="1">
        <f>northwind_order_details[[#This Row],[purchase amount]]-northwind_order_details[[#This Row],[discount amount]]</f>
        <v>196.79999999999998</v>
      </c>
      <c r="K649" s="6" t="str">
        <f>IF(northwind_order_details[[#This Row],[discount amount]]&gt;0,"Yes","No")</f>
        <v>No</v>
      </c>
      <c r="L649" s="1" t="str">
        <f>IF(northwind_order_details[[#This Row],[Revenue]]&gt;1000,"High",IF(northwind_order_details[[#This Row],[Revenue]]&gt;300,"Medium","Low"))</f>
        <v>Low</v>
      </c>
      <c r="M6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50" spans="1:13" x14ac:dyDescent="0.25">
      <c r="A650">
        <v>10502</v>
      </c>
      <c r="B650">
        <v>67</v>
      </c>
      <c r="C650" s="6" t="s">
        <v>5</v>
      </c>
      <c r="D650">
        <v>30</v>
      </c>
      <c r="E650" s="6" t="s">
        <v>6</v>
      </c>
      <c r="F650" t="str">
        <f>_xlfn.XLOOKUP(northwind_order_details[[#This Row],[order_id]],northwind_orders[order_id],northwind_orders[ship_country])</f>
        <v>Mexico</v>
      </c>
      <c r="G650">
        <f>INDEX(northwind_orders[],MATCH(northwind_order_details[[#This Row],[order_id]], northwind_orders[order_id], 0), MATCH("employee_id", northwind_orders[#Headers], 0))</f>
        <v>2</v>
      </c>
      <c r="H650">
        <f>northwind_order_details[[#This Row],[unit_price]]*northwind_order_details[[#This Row],[quantity]]</f>
        <v>420</v>
      </c>
      <c r="I650" s="1">
        <f>northwind_order_details[[#This Row],[purchase amount]]*northwind_order_details[[#This Row],[discount]]</f>
        <v>0</v>
      </c>
      <c r="J650" s="1">
        <f>northwind_order_details[[#This Row],[purchase amount]]-northwind_order_details[[#This Row],[discount amount]]</f>
        <v>420</v>
      </c>
      <c r="K650" s="6" t="str">
        <f>IF(northwind_order_details[[#This Row],[discount amount]]&gt;0,"Yes","No")</f>
        <v>No</v>
      </c>
      <c r="L650" s="1" t="str">
        <f>IF(northwind_order_details[[#This Row],[Revenue]]&gt;1000,"High",IF(northwind_order_details[[#This Row],[Revenue]]&gt;300,"Medium","Low"))</f>
        <v>Medium</v>
      </c>
      <c r="M6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1" spans="1:13" x14ac:dyDescent="0.25">
      <c r="A651">
        <v>10504</v>
      </c>
      <c r="B651">
        <v>2</v>
      </c>
      <c r="C651" s="6" t="s">
        <v>20</v>
      </c>
      <c r="D651">
        <v>12</v>
      </c>
      <c r="E651" s="6" t="s">
        <v>6</v>
      </c>
      <c r="F651" t="str">
        <f>_xlfn.XLOOKUP(northwind_order_details[[#This Row],[order_id]],northwind_orders[order_id],northwind_orders[ship_country])</f>
        <v>USA</v>
      </c>
      <c r="G651">
        <f>INDEX(northwind_orders[],MATCH(northwind_order_details[[#This Row],[order_id]], northwind_orders[order_id], 0), MATCH("employee_id", northwind_orders[#Headers], 0))</f>
        <v>4</v>
      </c>
      <c r="H651">
        <f>northwind_order_details[[#This Row],[unit_price]]*northwind_order_details[[#This Row],[quantity]]</f>
        <v>228</v>
      </c>
      <c r="I651" s="1">
        <f>northwind_order_details[[#This Row],[purchase amount]]*northwind_order_details[[#This Row],[discount]]</f>
        <v>0</v>
      </c>
      <c r="J651" s="1">
        <f>northwind_order_details[[#This Row],[purchase amount]]-northwind_order_details[[#This Row],[discount amount]]</f>
        <v>228</v>
      </c>
      <c r="K651" s="6" t="str">
        <f>IF(northwind_order_details[[#This Row],[discount amount]]&gt;0,"Yes","No")</f>
        <v>No</v>
      </c>
      <c r="L651" s="1" t="str">
        <f>IF(northwind_order_details[[#This Row],[Revenue]]&gt;1000,"High",IF(northwind_order_details[[#This Row],[Revenue]]&gt;300,"Medium","Low"))</f>
        <v>Low</v>
      </c>
      <c r="M6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2" spans="1:13" x14ac:dyDescent="0.25">
      <c r="A652">
        <v>10504</v>
      </c>
      <c r="B652">
        <v>21</v>
      </c>
      <c r="C652" s="6" t="s">
        <v>8</v>
      </c>
      <c r="D652">
        <v>12</v>
      </c>
      <c r="E652" s="6" t="s">
        <v>6</v>
      </c>
      <c r="F652" t="str">
        <f>_xlfn.XLOOKUP(northwind_order_details[[#This Row],[order_id]],northwind_orders[order_id],northwind_orders[ship_country])</f>
        <v>USA</v>
      </c>
      <c r="G652">
        <f>INDEX(northwind_orders[],MATCH(northwind_order_details[[#This Row],[order_id]], northwind_orders[order_id], 0), MATCH("employee_id", northwind_orders[#Headers], 0))</f>
        <v>4</v>
      </c>
      <c r="H652">
        <f>northwind_order_details[[#This Row],[unit_price]]*northwind_order_details[[#This Row],[quantity]]</f>
        <v>120</v>
      </c>
      <c r="I652" s="1">
        <f>northwind_order_details[[#This Row],[purchase amount]]*northwind_order_details[[#This Row],[discount]]</f>
        <v>0</v>
      </c>
      <c r="J652" s="1">
        <f>northwind_order_details[[#This Row],[purchase amount]]-northwind_order_details[[#This Row],[discount amount]]</f>
        <v>120</v>
      </c>
      <c r="K652" s="6" t="str">
        <f>IF(northwind_order_details[[#This Row],[discount amount]]&gt;0,"Yes","No")</f>
        <v>No</v>
      </c>
      <c r="L652" s="1" t="str">
        <f>IF(northwind_order_details[[#This Row],[Revenue]]&gt;1000,"High",IF(northwind_order_details[[#This Row],[Revenue]]&gt;300,"Medium","Low"))</f>
        <v>Low</v>
      </c>
      <c r="M6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3" spans="1:13" x14ac:dyDescent="0.25">
      <c r="A653">
        <v>10504</v>
      </c>
      <c r="B653">
        <v>53</v>
      </c>
      <c r="C653" s="6">
        <v>32.799999999999997</v>
      </c>
      <c r="D653">
        <v>10</v>
      </c>
      <c r="E653" s="6" t="s">
        <v>6</v>
      </c>
      <c r="F653" t="str">
        <f>_xlfn.XLOOKUP(northwind_order_details[[#This Row],[order_id]],northwind_orders[order_id],northwind_orders[ship_country])</f>
        <v>USA</v>
      </c>
      <c r="G653">
        <f>INDEX(northwind_orders[],MATCH(northwind_order_details[[#This Row],[order_id]], northwind_orders[order_id], 0), MATCH("employee_id", northwind_orders[#Headers], 0))</f>
        <v>4</v>
      </c>
      <c r="H653">
        <f>northwind_order_details[[#This Row],[unit_price]]*northwind_order_details[[#This Row],[quantity]]</f>
        <v>328</v>
      </c>
      <c r="I653" s="1">
        <f>northwind_order_details[[#This Row],[purchase amount]]*northwind_order_details[[#This Row],[discount]]</f>
        <v>0</v>
      </c>
      <c r="J653" s="1">
        <f>northwind_order_details[[#This Row],[purchase amount]]-northwind_order_details[[#This Row],[discount amount]]</f>
        <v>328</v>
      </c>
      <c r="K653" s="6" t="str">
        <f>IF(northwind_order_details[[#This Row],[discount amount]]&gt;0,"Yes","No")</f>
        <v>No</v>
      </c>
      <c r="L653" s="1" t="str">
        <f>IF(northwind_order_details[[#This Row],[Revenue]]&gt;1000,"High",IF(northwind_order_details[[#This Row],[Revenue]]&gt;300,"Medium","Low"))</f>
        <v>Medium</v>
      </c>
      <c r="M6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54" spans="1:13" x14ac:dyDescent="0.25">
      <c r="A654">
        <v>10504</v>
      </c>
      <c r="B654">
        <v>61</v>
      </c>
      <c r="C654" s="6">
        <v>28.5</v>
      </c>
      <c r="D654">
        <v>25</v>
      </c>
      <c r="E654" s="6" t="s">
        <v>6</v>
      </c>
      <c r="F654" t="str">
        <f>_xlfn.XLOOKUP(northwind_order_details[[#This Row],[order_id]],northwind_orders[order_id],northwind_orders[ship_country])</f>
        <v>USA</v>
      </c>
      <c r="G654">
        <f>INDEX(northwind_orders[],MATCH(northwind_order_details[[#This Row],[order_id]], northwind_orders[order_id], 0), MATCH("employee_id", northwind_orders[#Headers], 0))</f>
        <v>4</v>
      </c>
      <c r="H654">
        <f>northwind_order_details[[#This Row],[unit_price]]*northwind_order_details[[#This Row],[quantity]]</f>
        <v>712.5</v>
      </c>
      <c r="I654" s="1">
        <f>northwind_order_details[[#This Row],[purchase amount]]*northwind_order_details[[#This Row],[discount]]</f>
        <v>0</v>
      </c>
      <c r="J654" s="1">
        <f>northwind_order_details[[#This Row],[purchase amount]]-northwind_order_details[[#This Row],[discount amount]]</f>
        <v>712.5</v>
      </c>
      <c r="K654" s="6" t="str">
        <f>IF(northwind_order_details[[#This Row],[discount amount]]&gt;0,"Yes","No")</f>
        <v>No</v>
      </c>
      <c r="L654" s="1" t="str">
        <f>IF(northwind_order_details[[#This Row],[Revenue]]&gt;1000,"High",IF(northwind_order_details[[#This Row],[Revenue]]&gt;300,"Medium","Low"))</f>
        <v>Medium</v>
      </c>
      <c r="M65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55" spans="1:13" x14ac:dyDescent="0.25">
      <c r="A655">
        <v>10505</v>
      </c>
      <c r="B655">
        <v>62</v>
      </c>
      <c r="C655" s="6">
        <v>49.3</v>
      </c>
      <c r="D655">
        <v>3</v>
      </c>
      <c r="E655" s="6" t="s">
        <v>6</v>
      </c>
      <c r="F655" t="str">
        <f>_xlfn.XLOOKUP(northwind_order_details[[#This Row],[order_id]],northwind_orders[order_id],northwind_orders[ship_country])</f>
        <v>Canada</v>
      </c>
      <c r="G655">
        <f>INDEX(northwind_orders[],MATCH(northwind_order_details[[#This Row],[order_id]], northwind_orders[order_id], 0), MATCH("employee_id", northwind_orders[#Headers], 0))</f>
        <v>3</v>
      </c>
      <c r="H655">
        <f>northwind_order_details[[#This Row],[unit_price]]*northwind_order_details[[#This Row],[quantity]]</f>
        <v>147.89999999999998</v>
      </c>
      <c r="I655" s="1">
        <f>northwind_order_details[[#This Row],[purchase amount]]*northwind_order_details[[#This Row],[discount]]</f>
        <v>0</v>
      </c>
      <c r="J655" s="1">
        <f>northwind_order_details[[#This Row],[purchase amount]]-northwind_order_details[[#This Row],[discount amount]]</f>
        <v>147.89999999999998</v>
      </c>
      <c r="K655" s="6" t="str">
        <f>IF(northwind_order_details[[#This Row],[discount amount]]&gt;0,"Yes","No")</f>
        <v>No</v>
      </c>
      <c r="L655" s="1" t="str">
        <f>IF(northwind_order_details[[#This Row],[Revenue]]&gt;1000,"High",IF(northwind_order_details[[#This Row],[Revenue]]&gt;300,"Medium","Low"))</f>
        <v>Low</v>
      </c>
      <c r="M65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56" spans="1:13" x14ac:dyDescent="0.25">
      <c r="A656">
        <v>10506</v>
      </c>
      <c r="B656">
        <v>25</v>
      </c>
      <c r="C656" s="6" t="s">
        <v>5</v>
      </c>
      <c r="D656">
        <v>18</v>
      </c>
      <c r="E656" s="6">
        <v>0.1</v>
      </c>
      <c r="F656" t="str">
        <f>_xlfn.XLOOKUP(northwind_order_details[[#This Row],[order_id]],northwind_orders[order_id],northwind_orders[ship_country])</f>
        <v>Germany</v>
      </c>
      <c r="G656">
        <f>INDEX(northwind_orders[],MATCH(northwind_order_details[[#This Row],[order_id]], northwind_orders[order_id], 0), MATCH("employee_id", northwind_orders[#Headers], 0))</f>
        <v>9</v>
      </c>
      <c r="H656">
        <f>northwind_order_details[[#This Row],[unit_price]]*northwind_order_details[[#This Row],[quantity]]</f>
        <v>252</v>
      </c>
      <c r="I656" s="1">
        <f>northwind_order_details[[#This Row],[purchase amount]]*northwind_order_details[[#This Row],[discount]]</f>
        <v>25.200000000000003</v>
      </c>
      <c r="J656" s="1">
        <f>northwind_order_details[[#This Row],[purchase amount]]-northwind_order_details[[#This Row],[discount amount]]</f>
        <v>226.8</v>
      </c>
      <c r="K656" s="6" t="str">
        <f>IF(northwind_order_details[[#This Row],[discount amount]]&gt;0,"Yes","No")</f>
        <v>Yes</v>
      </c>
      <c r="L656" s="1" t="str">
        <f>IF(northwind_order_details[[#This Row],[Revenue]]&gt;1000,"High",IF(northwind_order_details[[#This Row],[Revenue]]&gt;300,"Medium","Low"))</f>
        <v>Low</v>
      </c>
      <c r="M6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7" spans="1:13" x14ac:dyDescent="0.25">
      <c r="A657">
        <v>10506</v>
      </c>
      <c r="B657">
        <v>70</v>
      </c>
      <c r="C657" s="6" t="s">
        <v>21</v>
      </c>
      <c r="D657">
        <v>14</v>
      </c>
      <c r="E657" s="6">
        <v>0.1</v>
      </c>
      <c r="F657" t="str">
        <f>_xlfn.XLOOKUP(northwind_order_details[[#This Row],[order_id]],northwind_orders[order_id],northwind_orders[ship_country])</f>
        <v>Germany</v>
      </c>
      <c r="G657">
        <f>INDEX(northwind_orders[],MATCH(northwind_order_details[[#This Row],[order_id]], northwind_orders[order_id], 0), MATCH("employee_id", northwind_orders[#Headers], 0))</f>
        <v>9</v>
      </c>
      <c r="H657">
        <f>northwind_order_details[[#This Row],[unit_price]]*northwind_order_details[[#This Row],[quantity]]</f>
        <v>210</v>
      </c>
      <c r="I657" s="1">
        <f>northwind_order_details[[#This Row],[purchase amount]]*northwind_order_details[[#This Row],[discount]]</f>
        <v>21</v>
      </c>
      <c r="J657" s="1">
        <f>northwind_order_details[[#This Row],[purchase amount]]-northwind_order_details[[#This Row],[discount amount]]</f>
        <v>189</v>
      </c>
      <c r="K657" s="6" t="str">
        <f>IF(northwind_order_details[[#This Row],[discount amount]]&gt;0,"Yes","No")</f>
        <v>Yes</v>
      </c>
      <c r="L657" s="1" t="str">
        <f>IF(northwind_order_details[[#This Row],[Revenue]]&gt;1000,"High",IF(northwind_order_details[[#This Row],[Revenue]]&gt;300,"Medium","Low"))</f>
        <v>Low</v>
      </c>
      <c r="M6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8" spans="1:13" x14ac:dyDescent="0.25">
      <c r="A658">
        <v>10507</v>
      </c>
      <c r="B658">
        <v>43</v>
      </c>
      <c r="C658" s="6" t="s">
        <v>22</v>
      </c>
      <c r="D658">
        <v>15</v>
      </c>
      <c r="E658" s="6">
        <v>0.15</v>
      </c>
      <c r="F658" t="str">
        <f>_xlfn.XLOOKUP(northwind_order_details[[#This Row],[order_id]],northwind_orders[order_id],northwind_orders[ship_country])</f>
        <v>Mexico</v>
      </c>
      <c r="G658">
        <f>INDEX(northwind_orders[],MATCH(northwind_order_details[[#This Row],[order_id]], northwind_orders[order_id], 0), MATCH("employee_id", northwind_orders[#Headers], 0))</f>
        <v>7</v>
      </c>
      <c r="H658">
        <f>northwind_order_details[[#This Row],[unit_price]]*northwind_order_details[[#This Row],[quantity]]</f>
        <v>690</v>
      </c>
      <c r="I658" s="1">
        <f>northwind_order_details[[#This Row],[purchase amount]]*northwind_order_details[[#This Row],[discount]]</f>
        <v>103.5</v>
      </c>
      <c r="J658" s="1">
        <f>northwind_order_details[[#This Row],[purchase amount]]-northwind_order_details[[#This Row],[discount amount]]</f>
        <v>586.5</v>
      </c>
      <c r="K658" s="6" t="str">
        <f>IF(northwind_order_details[[#This Row],[discount amount]]&gt;0,"Yes","No")</f>
        <v>Yes</v>
      </c>
      <c r="L658" s="1" t="str">
        <f>IF(northwind_order_details[[#This Row],[Revenue]]&gt;1000,"High",IF(northwind_order_details[[#This Row],[Revenue]]&gt;300,"Medium","Low"))</f>
        <v>Medium</v>
      </c>
      <c r="M6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59" spans="1:13" x14ac:dyDescent="0.25">
      <c r="A659">
        <v>10507</v>
      </c>
      <c r="B659">
        <v>48</v>
      </c>
      <c r="C659" s="6">
        <v>12.75</v>
      </c>
      <c r="D659">
        <v>15</v>
      </c>
      <c r="E659" s="6">
        <v>0.15</v>
      </c>
      <c r="F659" t="str">
        <f>_xlfn.XLOOKUP(northwind_order_details[[#This Row],[order_id]],northwind_orders[order_id],northwind_orders[ship_country])</f>
        <v>Mexico</v>
      </c>
      <c r="G659">
        <f>INDEX(northwind_orders[],MATCH(northwind_order_details[[#This Row],[order_id]], northwind_orders[order_id], 0), MATCH("employee_id", northwind_orders[#Headers], 0))</f>
        <v>7</v>
      </c>
      <c r="H659">
        <f>northwind_order_details[[#This Row],[unit_price]]*northwind_order_details[[#This Row],[quantity]]</f>
        <v>191.25</v>
      </c>
      <c r="I659" s="1">
        <f>northwind_order_details[[#This Row],[purchase amount]]*northwind_order_details[[#This Row],[discount]]</f>
        <v>28.6875</v>
      </c>
      <c r="J659" s="1">
        <f>northwind_order_details[[#This Row],[purchase amount]]-northwind_order_details[[#This Row],[discount amount]]</f>
        <v>162.5625</v>
      </c>
      <c r="K659" s="6" t="str">
        <f>IF(northwind_order_details[[#This Row],[discount amount]]&gt;0,"Yes","No")</f>
        <v>Yes</v>
      </c>
      <c r="L659" s="1" t="str">
        <f>IF(northwind_order_details[[#This Row],[Revenue]]&gt;1000,"High",IF(northwind_order_details[[#This Row],[Revenue]]&gt;300,"Medium","Low"))</f>
        <v>Low</v>
      </c>
      <c r="M6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60" spans="1:13" x14ac:dyDescent="0.25">
      <c r="A660">
        <v>10508</v>
      </c>
      <c r="B660">
        <v>13</v>
      </c>
      <c r="C660" s="6" t="s">
        <v>23</v>
      </c>
      <c r="D660">
        <v>10</v>
      </c>
      <c r="E660" s="6" t="s">
        <v>6</v>
      </c>
      <c r="F660" t="str">
        <f>_xlfn.XLOOKUP(northwind_order_details[[#This Row],[order_id]],northwind_orders[order_id],northwind_orders[ship_country])</f>
        <v>Germany</v>
      </c>
      <c r="G660">
        <f>INDEX(northwind_orders[],MATCH(northwind_order_details[[#This Row],[order_id]], northwind_orders[order_id], 0), MATCH("employee_id", northwind_orders[#Headers], 0))</f>
        <v>1</v>
      </c>
      <c r="H660">
        <f>northwind_order_details[[#This Row],[unit_price]]*northwind_order_details[[#This Row],[quantity]]</f>
        <v>60</v>
      </c>
      <c r="I660" s="1">
        <f>northwind_order_details[[#This Row],[purchase amount]]*northwind_order_details[[#This Row],[discount]]</f>
        <v>0</v>
      </c>
      <c r="J660" s="1">
        <f>northwind_order_details[[#This Row],[purchase amount]]-northwind_order_details[[#This Row],[discount amount]]</f>
        <v>60</v>
      </c>
      <c r="K660" s="6" t="str">
        <f>IF(northwind_order_details[[#This Row],[discount amount]]&gt;0,"Yes","No")</f>
        <v>No</v>
      </c>
      <c r="L660" s="1" t="str">
        <f>IF(northwind_order_details[[#This Row],[Revenue]]&gt;1000,"High",IF(northwind_order_details[[#This Row],[Revenue]]&gt;300,"Medium","Low"))</f>
        <v>Low</v>
      </c>
      <c r="M6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61" spans="1:13" x14ac:dyDescent="0.25">
      <c r="A661">
        <v>10508</v>
      </c>
      <c r="B661">
        <v>39</v>
      </c>
      <c r="C661" s="6" t="s">
        <v>24</v>
      </c>
      <c r="D661">
        <v>10</v>
      </c>
      <c r="E661" s="6" t="s">
        <v>6</v>
      </c>
      <c r="F661" t="str">
        <f>_xlfn.XLOOKUP(northwind_order_details[[#This Row],[order_id]],northwind_orders[order_id],northwind_orders[ship_country])</f>
        <v>Germany</v>
      </c>
      <c r="G661">
        <f>INDEX(northwind_orders[],MATCH(northwind_order_details[[#This Row],[order_id]], northwind_orders[order_id], 0), MATCH("employee_id", northwind_orders[#Headers], 0))</f>
        <v>1</v>
      </c>
      <c r="H661">
        <f>northwind_order_details[[#This Row],[unit_price]]*northwind_order_details[[#This Row],[quantity]]</f>
        <v>180</v>
      </c>
      <c r="I661" s="1">
        <f>northwind_order_details[[#This Row],[purchase amount]]*northwind_order_details[[#This Row],[discount]]</f>
        <v>0</v>
      </c>
      <c r="J661" s="1">
        <f>northwind_order_details[[#This Row],[purchase amount]]-northwind_order_details[[#This Row],[discount amount]]</f>
        <v>180</v>
      </c>
      <c r="K661" s="6" t="str">
        <f>IF(northwind_order_details[[#This Row],[discount amount]]&gt;0,"Yes","No")</f>
        <v>No</v>
      </c>
      <c r="L661" s="1" t="str">
        <f>IF(northwind_order_details[[#This Row],[Revenue]]&gt;1000,"High",IF(northwind_order_details[[#This Row],[Revenue]]&gt;300,"Medium","Low"))</f>
        <v>Low</v>
      </c>
      <c r="M6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62" spans="1:13" x14ac:dyDescent="0.25">
      <c r="A662">
        <v>10509</v>
      </c>
      <c r="B662">
        <v>28</v>
      </c>
      <c r="C662" s="6">
        <v>45.6</v>
      </c>
      <c r="D662">
        <v>3</v>
      </c>
      <c r="E662" s="6" t="s">
        <v>6</v>
      </c>
      <c r="F662" t="str">
        <f>_xlfn.XLOOKUP(northwind_order_details[[#This Row],[order_id]],northwind_orders[order_id],northwind_orders[ship_country])</f>
        <v>Germany</v>
      </c>
      <c r="G662">
        <f>INDEX(northwind_orders[],MATCH(northwind_order_details[[#This Row],[order_id]], northwind_orders[order_id], 0), MATCH("employee_id", northwind_orders[#Headers], 0))</f>
        <v>4</v>
      </c>
      <c r="H662">
        <f>northwind_order_details[[#This Row],[unit_price]]*northwind_order_details[[#This Row],[quantity]]</f>
        <v>136.80000000000001</v>
      </c>
      <c r="I662" s="1">
        <f>northwind_order_details[[#This Row],[purchase amount]]*northwind_order_details[[#This Row],[discount]]</f>
        <v>0</v>
      </c>
      <c r="J662" s="1">
        <f>northwind_order_details[[#This Row],[purchase amount]]-northwind_order_details[[#This Row],[discount amount]]</f>
        <v>136.80000000000001</v>
      </c>
      <c r="K662" s="6" t="str">
        <f>IF(northwind_order_details[[#This Row],[discount amount]]&gt;0,"Yes","No")</f>
        <v>No</v>
      </c>
      <c r="L662" s="1" t="str">
        <f>IF(northwind_order_details[[#This Row],[Revenue]]&gt;1000,"High",IF(northwind_order_details[[#This Row],[Revenue]]&gt;300,"Medium","Low"))</f>
        <v>Low</v>
      </c>
      <c r="M6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63" spans="1:13" x14ac:dyDescent="0.25">
      <c r="A663">
        <v>10510</v>
      </c>
      <c r="B663">
        <v>29</v>
      </c>
      <c r="C663" s="6">
        <v>123.79</v>
      </c>
      <c r="D663">
        <v>36</v>
      </c>
      <c r="E663" s="6" t="s">
        <v>6</v>
      </c>
      <c r="F663" t="str">
        <f>_xlfn.XLOOKUP(northwind_order_details[[#This Row],[order_id]],northwind_orders[order_id],northwind_orders[ship_country])</f>
        <v>USA</v>
      </c>
      <c r="G663">
        <f>INDEX(northwind_orders[],MATCH(northwind_order_details[[#This Row],[order_id]], northwind_orders[order_id], 0), MATCH("employee_id", northwind_orders[#Headers], 0))</f>
        <v>6</v>
      </c>
      <c r="H663">
        <f>northwind_order_details[[#This Row],[unit_price]]*northwind_order_details[[#This Row],[quantity]]</f>
        <v>4456.4400000000005</v>
      </c>
      <c r="I663" s="1">
        <f>northwind_order_details[[#This Row],[purchase amount]]*northwind_order_details[[#This Row],[discount]]</f>
        <v>0</v>
      </c>
      <c r="J663" s="1">
        <f>northwind_order_details[[#This Row],[purchase amount]]-northwind_order_details[[#This Row],[discount amount]]</f>
        <v>4456.4400000000005</v>
      </c>
      <c r="K663" s="6" t="str">
        <f>IF(northwind_order_details[[#This Row],[discount amount]]&gt;0,"Yes","No")</f>
        <v>No</v>
      </c>
      <c r="L663" s="1" t="str">
        <f>IF(northwind_order_details[[#This Row],[Revenue]]&gt;1000,"High",IF(northwind_order_details[[#This Row],[Revenue]]&gt;300,"Medium","Low"))</f>
        <v>High</v>
      </c>
      <c r="M6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64" spans="1:13" x14ac:dyDescent="0.25">
      <c r="A664">
        <v>10510</v>
      </c>
      <c r="B664">
        <v>75</v>
      </c>
      <c r="C664" s="6">
        <v>7.75</v>
      </c>
      <c r="D664">
        <v>36</v>
      </c>
      <c r="E664" s="6">
        <v>0.1</v>
      </c>
      <c r="F664" t="str">
        <f>_xlfn.XLOOKUP(northwind_order_details[[#This Row],[order_id]],northwind_orders[order_id],northwind_orders[ship_country])</f>
        <v>USA</v>
      </c>
      <c r="G664">
        <f>INDEX(northwind_orders[],MATCH(northwind_order_details[[#This Row],[order_id]], northwind_orders[order_id], 0), MATCH("employee_id", northwind_orders[#Headers], 0))</f>
        <v>6</v>
      </c>
      <c r="H664">
        <f>northwind_order_details[[#This Row],[unit_price]]*northwind_order_details[[#This Row],[quantity]]</f>
        <v>279</v>
      </c>
      <c r="I664" s="1">
        <f>northwind_order_details[[#This Row],[purchase amount]]*northwind_order_details[[#This Row],[discount]]</f>
        <v>27.900000000000002</v>
      </c>
      <c r="J664" s="1">
        <f>northwind_order_details[[#This Row],[purchase amount]]-northwind_order_details[[#This Row],[discount amount]]</f>
        <v>251.1</v>
      </c>
      <c r="K664" s="6" t="str">
        <f>IF(northwind_order_details[[#This Row],[discount amount]]&gt;0,"Yes","No")</f>
        <v>Yes</v>
      </c>
      <c r="L664" s="1" t="str">
        <f>IF(northwind_order_details[[#This Row],[Revenue]]&gt;1000,"High",IF(northwind_order_details[[#This Row],[Revenue]]&gt;300,"Medium","Low"))</f>
        <v>Low</v>
      </c>
      <c r="M6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65" spans="1:13" x14ac:dyDescent="0.25">
      <c r="A665">
        <v>10511</v>
      </c>
      <c r="B665">
        <v>4</v>
      </c>
      <c r="C665" s="6" t="s">
        <v>25</v>
      </c>
      <c r="D665">
        <v>50</v>
      </c>
      <c r="E665" s="6">
        <v>0.15</v>
      </c>
      <c r="F665" t="str">
        <f>_xlfn.XLOOKUP(northwind_order_details[[#This Row],[order_id]],northwind_orders[order_id],northwind_orders[ship_country])</f>
        <v>France</v>
      </c>
      <c r="G665">
        <f>INDEX(northwind_orders[],MATCH(northwind_order_details[[#This Row],[order_id]], northwind_orders[order_id], 0), MATCH("employee_id", northwind_orders[#Headers], 0))</f>
        <v>4</v>
      </c>
      <c r="H665">
        <f>northwind_order_details[[#This Row],[unit_price]]*northwind_order_details[[#This Row],[quantity]]</f>
        <v>1100</v>
      </c>
      <c r="I665" s="1">
        <f>northwind_order_details[[#This Row],[purchase amount]]*northwind_order_details[[#This Row],[discount]]</f>
        <v>165</v>
      </c>
      <c r="J665" s="1">
        <f>northwind_order_details[[#This Row],[purchase amount]]-northwind_order_details[[#This Row],[discount amount]]</f>
        <v>935</v>
      </c>
      <c r="K665" s="6" t="str">
        <f>IF(northwind_order_details[[#This Row],[discount amount]]&gt;0,"Yes","No")</f>
        <v>Yes</v>
      </c>
      <c r="L665" s="1" t="str">
        <f>IF(northwind_order_details[[#This Row],[Revenue]]&gt;1000,"High",IF(northwind_order_details[[#This Row],[Revenue]]&gt;300,"Medium","Low"))</f>
        <v>Medium</v>
      </c>
      <c r="M6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66" spans="1:13" x14ac:dyDescent="0.25">
      <c r="A666">
        <v>10511</v>
      </c>
      <c r="B666">
        <v>7</v>
      </c>
      <c r="C666" s="6" t="s">
        <v>26</v>
      </c>
      <c r="D666">
        <v>50</v>
      </c>
      <c r="E666" s="6">
        <v>0.15</v>
      </c>
      <c r="F666" t="str">
        <f>_xlfn.XLOOKUP(northwind_order_details[[#This Row],[order_id]],northwind_orders[order_id],northwind_orders[ship_country])</f>
        <v>France</v>
      </c>
      <c r="G666">
        <f>INDEX(northwind_orders[],MATCH(northwind_order_details[[#This Row],[order_id]], northwind_orders[order_id], 0), MATCH("employee_id", northwind_orders[#Headers], 0))</f>
        <v>4</v>
      </c>
      <c r="H666">
        <f>northwind_order_details[[#This Row],[unit_price]]*northwind_order_details[[#This Row],[quantity]]</f>
        <v>1500</v>
      </c>
      <c r="I666" s="1">
        <f>northwind_order_details[[#This Row],[purchase amount]]*northwind_order_details[[#This Row],[discount]]</f>
        <v>225</v>
      </c>
      <c r="J666" s="1">
        <f>northwind_order_details[[#This Row],[purchase amount]]-northwind_order_details[[#This Row],[discount amount]]</f>
        <v>1275</v>
      </c>
      <c r="K666" s="6" t="str">
        <f>IF(northwind_order_details[[#This Row],[discount amount]]&gt;0,"Yes","No")</f>
        <v>Yes</v>
      </c>
      <c r="L666" s="1" t="str">
        <f>IF(northwind_order_details[[#This Row],[Revenue]]&gt;1000,"High",IF(northwind_order_details[[#This Row],[Revenue]]&gt;300,"Medium","Low"))</f>
        <v>High</v>
      </c>
      <c r="M6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67" spans="1:13" x14ac:dyDescent="0.25">
      <c r="A667">
        <v>10511</v>
      </c>
      <c r="B667">
        <v>8</v>
      </c>
      <c r="C667" s="6" t="s">
        <v>27</v>
      </c>
      <c r="D667">
        <v>10</v>
      </c>
      <c r="E667" s="6">
        <v>0.15</v>
      </c>
      <c r="F667" t="str">
        <f>_xlfn.XLOOKUP(northwind_order_details[[#This Row],[order_id]],northwind_orders[order_id],northwind_orders[ship_country])</f>
        <v>France</v>
      </c>
      <c r="G667">
        <f>INDEX(northwind_orders[],MATCH(northwind_order_details[[#This Row],[order_id]], northwind_orders[order_id], 0), MATCH("employee_id", northwind_orders[#Headers], 0))</f>
        <v>4</v>
      </c>
      <c r="H667">
        <f>northwind_order_details[[#This Row],[unit_price]]*northwind_order_details[[#This Row],[quantity]]</f>
        <v>400</v>
      </c>
      <c r="I667" s="1">
        <f>northwind_order_details[[#This Row],[purchase amount]]*northwind_order_details[[#This Row],[discount]]</f>
        <v>60</v>
      </c>
      <c r="J667" s="1">
        <f>northwind_order_details[[#This Row],[purchase amount]]-northwind_order_details[[#This Row],[discount amount]]</f>
        <v>340</v>
      </c>
      <c r="K667" s="6" t="str">
        <f>IF(northwind_order_details[[#This Row],[discount amount]]&gt;0,"Yes","No")</f>
        <v>Yes</v>
      </c>
      <c r="L667" s="1" t="str">
        <f>IF(northwind_order_details[[#This Row],[Revenue]]&gt;1000,"High",IF(northwind_order_details[[#This Row],[Revenue]]&gt;300,"Medium","Low"))</f>
        <v>Medium</v>
      </c>
      <c r="M6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68" spans="1:13" x14ac:dyDescent="0.25">
      <c r="A668">
        <v>10512</v>
      </c>
      <c r="B668">
        <v>24</v>
      </c>
      <c r="C668" s="6">
        <v>4.5</v>
      </c>
      <c r="D668">
        <v>10</v>
      </c>
      <c r="E668" s="6">
        <v>0.15</v>
      </c>
      <c r="F668" t="str">
        <f>_xlfn.XLOOKUP(northwind_order_details[[#This Row],[order_id]],northwind_orders[order_id],northwind_orders[ship_country])</f>
        <v>Brazil</v>
      </c>
      <c r="G668">
        <f>INDEX(northwind_orders[],MATCH(northwind_order_details[[#This Row],[order_id]], northwind_orders[order_id], 0), MATCH("employee_id", northwind_orders[#Headers], 0))</f>
        <v>7</v>
      </c>
      <c r="H668">
        <f>northwind_order_details[[#This Row],[unit_price]]*northwind_order_details[[#This Row],[quantity]]</f>
        <v>45</v>
      </c>
      <c r="I668" s="1">
        <f>northwind_order_details[[#This Row],[purchase amount]]*northwind_order_details[[#This Row],[discount]]</f>
        <v>6.75</v>
      </c>
      <c r="J668" s="1">
        <f>northwind_order_details[[#This Row],[purchase amount]]-northwind_order_details[[#This Row],[discount amount]]</f>
        <v>38.25</v>
      </c>
      <c r="K668" s="6" t="str">
        <f>IF(northwind_order_details[[#This Row],[discount amount]]&gt;0,"Yes","No")</f>
        <v>Yes</v>
      </c>
      <c r="L668" s="1" t="str">
        <f>IF(northwind_order_details[[#This Row],[Revenue]]&gt;1000,"High",IF(northwind_order_details[[#This Row],[Revenue]]&gt;300,"Medium","Low"))</f>
        <v>Low</v>
      </c>
      <c r="M6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69" spans="1:13" x14ac:dyDescent="0.25">
      <c r="A669">
        <v>10512</v>
      </c>
      <c r="B669">
        <v>46</v>
      </c>
      <c r="C669" s="6" t="s">
        <v>13</v>
      </c>
      <c r="D669">
        <v>9</v>
      </c>
      <c r="E669" s="6">
        <v>0.15</v>
      </c>
      <c r="F669" t="str">
        <f>_xlfn.XLOOKUP(northwind_order_details[[#This Row],[order_id]],northwind_orders[order_id],northwind_orders[ship_country])</f>
        <v>Brazil</v>
      </c>
      <c r="G669">
        <f>INDEX(northwind_orders[],MATCH(northwind_order_details[[#This Row],[order_id]], northwind_orders[order_id], 0), MATCH("employee_id", northwind_orders[#Headers], 0))</f>
        <v>7</v>
      </c>
      <c r="H669">
        <f>northwind_order_details[[#This Row],[unit_price]]*northwind_order_details[[#This Row],[quantity]]</f>
        <v>108</v>
      </c>
      <c r="I669" s="1">
        <f>northwind_order_details[[#This Row],[purchase amount]]*northwind_order_details[[#This Row],[discount]]</f>
        <v>16.2</v>
      </c>
      <c r="J669" s="1">
        <f>northwind_order_details[[#This Row],[purchase amount]]-northwind_order_details[[#This Row],[discount amount]]</f>
        <v>91.8</v>
      </c>
      <c r="K669" s="6" t="str">
        <f>IF(northwind_order_details[[#This Row],[discount amount]]&gt;0,"Yes","No")</f>
        <v>Yes</v>
      </c>
      <c r="L669" s="1" t="str">
        <f>IF(northwind_order_details[[#This Row],[Revenue]]&gt;1000,"High",IF(northwind_order_details[[#This Row],[Revenue]]&gt;300,"Medium","Low"))</f>
        <v>Low</v>
      </c>
      <c r="M6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0" spans="1:13" x14ac:dyDescent="0.25">
      <c r="A670">
        <v>10512</v>
      </c>
      <c r="B670">
        <v>47</v>
      </c>
      <c r="C670" s="6">
        <v>9.5</v>
      </c>
      <c r="D670">
        <v>6</v>
      </c>
      <c r="E670" s="6">
        <v>0.15</v>
      </c>
      <c r="F670" t="str">
        <f>_xlfn.XLOOKUP(northwind_order_details[[#This Row],[order_id]],northwind_orders[order_id],northwind_orders[ship_country])</f>
        <v>Brazil</v>
      </c>
      <c r="G670">
        <f>INDEX(northwind_orders[],MATCH(northwind_order_details[[#This Row],[order_id]], northwind_orders[order_id], 0), MATCH("employee_id", northwind_orders[#Headers], 0))</f>
        <v>7</v>
      </c>
      <c r="H670">
        <f>northwind_order_details[[#This Row],[unit_price]]*northwind_order_details[[#This Row],[quantity]]</f>
        <v>57</v>
      </c>
      <c r="I670" s="1">
        <f>northwind_order_details[[#This Row],[purchase amount]]*northwind_order_details[[#This Row],[discount]]</f>
        <v>8.5499999999999989</v>
      </c>
      <c r="J670" s="1">
        <f>northwind_order_details[[#This Row],[purchase amount]]-northwind_order_details[[#This Row],[discount amount]]</f>
        <v>48.45</v>
      </c>
      <c r="K670" s="6" t="str">
        <f>IF(northwind_order_details[[#This Row],[discount amount]]&gt;0,"Yes","No")</f>
        <v>Yes</v>
      </c>
      <c r="L670" s="1" t="str">
        <f>IF(northwind_order_details[[#This Row],[Revenue]]&gt;1000,"High",IF(northwind_order_details[[#This Row],[Revenue]]&gt;300,"Medium","Low"))</f>
        <v>Low</v>
      </c>
      <c r="M6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71" spans="1:13" x14ac:dyDescent="0.25">
      <c r="A671">
        <v>10512</v>
      </c>
      <c r="B671">
        <v>60</v>
      </c>
      <c r="C671" s="6" t="s">
        <v>28</v>
      </c>
      <c r="D671">
        <v>12</v>
      </c>
      <c r="E671" s="6">
        <v>0.15</v>
      </c>
      <c r="F671" t="str">
        <f>_xlfn.XLOOKUP(northwind_order_details[[#This Row],[order_id]],northwind_orders[order_id],northwind_orders[ship_country])</f>
        <v>Brazil</v>
      </c>
      <c r="G671">
        <f>INDEX(northwind_orders[],MATCH(northwind_order_details[[#This Row],[order_id]], northwind_orders[order_id], 0), MATCH("employee_id", northwind_orders[#Headers], 0))</f>
        <v>7</v>
      </c>
      <c r="H671">
        <f>northwind_order_details[[#This Row],[unit_price]]*northwind_order_details[[#This Row],[quantity]]</f>
        <v>408</v>
      </c>
      <c r="I671" s="1">
        <f>northwind_order_details[[#This Row],[purchase amount]]*northwind_order_details[[#This Row],[discount]]</f>
        <v>61.199999999999996</v>
      </c>
      <c r="J671" s="1">
        <f>northwind_order_details[[#This Row],[purchase amount]]-northwind_order_details[[#This Row],[discount amount]]</f>
        <v>346.8</v>
      </c>
      <c r="K671" s="6" t="str">
        <f>IF(northwind_order_details[[#This Row],[discount amount]]&gt;0,"Yes","No")</f>
        <v>Yes</v>
      </c>
      <c r="L671" s="1" t="str">
        <f>IF(northwind_order_details[[#This Row],[Revenue]]&gt;1000,"High",IF(northwind_order_details[[#This Row],[Revenue]]&gt;300,"Medium","Low"))</f>
        <v>Medium</v>
      </c>
      <c r="M6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2" spans="1:13" x14ac:dyDescent="0.25">
      <c r="A672">
        <v>10513</v>
      </c>
      <c r="B672">
        <v>21</v>
      </c>
      <c r="C672" s="6" t="s">
        <v>8</v>
      </c>
      <c r="D672">
        <v>40</v>
      </c>
      <c r="E672" s="6">
        <v>0.2</v>
      </c>
      <c r="F672" t="str">
        <f>_xlfn.XLOOKUP(northwind_order_details[[#This Row],[order_id]],northwind_orders[order_id],northwind_orders[ship_country])</f>
        <v>Germany</v>
      </c>
      <c r="G672">
        <f>INDEX(northwind_orders[],MATCH(northwind_order_details[[#This Row],[order_id]], northwind_orders[order_id], 0), MATCH("employee_id", northwind_orders[#Headers], 0))</f>
        <v>7</v>
      </c>
      <c r="H672">
        <f>northwind_order_details[[#This Row],[unit_price]]*northwind_order_details[[#This Row],[quantity]]</f>
        <v>400</v>
      </c>
      <c r="I672" s="1">
        <f>northwind_order_details[[#This Row],[purchase amount]]*northwind_order_details[[#This Row],[discount]]</f>
        <v>80</v>
      </c>
      <c r="J672" s="1">
        <f>northwind_order_details[[#This Row],[purchase amount]]-northwind_order_details[[#This Row],[discount amount]]</f>
        <v>320</v>
      </c>
      <c r="K672" s="6" t="str">
        <f>IF(northwind_order_details[[#This Row],[discount amount]]&gt;0,"Yes","No")</f>
        <v>Yes</v>
      </c>
      <c r="L672" s="1" t="str">
        <f>IF(northwind_order_details[[#This Row],[Revenue]]&gt;1000,"High",IF(northwind_order_details[[#This Row],[Revenue]]&gt;300,"Medium","Low"))</f>
        <v>Medium</v>
      </c>
      <c r="M6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3" spans="1:13" x14ac:dyDescent="0.25">
      <c r="A673">
        <v>10513</v>
      </c>
      <c r="B673">
        <v>32</v>
      </c>
      <c r="C673" s="6" t="s">
        <v>18</v>
      </c>
      <c r="D673">
        <v>50</v>
      </c>
      <c r="E673" s="6">
        <v>0.2</v>
      </c>
      <c r="F673" t="str">
        <f>_xlfn.XLOOKUP(northwind_order_details[[#This Row],[order_id]],northwind_orders[order_id],northwind_orders[ship_country])</f>
        <v>Germany</v>
      </c>
      <c r="G673">
        <f>INDEX(northwind_orders[],MATCH(northwind_order_details[[#This Row],[order_id]], northwind_orders[order_id], 0), MATCH("employee_id", northwind_orders[#Headers], 0))</f>
        <v>7</v>
      </c>
      <c r="H673">
        <f>northwind_order_details[[#This Row],[unit_price]]*northwind_order_details[[#This Row],[quantity]]</f>
        <v>1600</v>
      </c>
      <c r="I673" s="1">
        <f>northwind_order_details[[#This Row],[purchase amount]]*northwind_order_details[[#This Row],[discount]]</f>
        <v>320</v>
      </c>
      <c r="J673" s="1">
        <f>northwind_order_details[[#This Row],[purchase amount]]-northwind_order_details[[#This Row],[discount amount]]</f>
        <v>1280</v>
      </c>
      <c r="K673" s="6" t="str">
        <f>IF(northwind_order_details[[#This Row],[discount amount]]&gt;0,"Yes","No")</f>
        <v>Yes</v>
      </c>
      <c r="L673" s="1" t="str">
        <f>IF(northwind_order_details[[#This Row],[Revenue]]&gt;1000,"High",IF(northwind_order_details[[#This Row],[Revenue]]&gt;300,"Medium","Low"))</f>
        <v>High</v>
      </c>
      <c r="M6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4" spans="1:13" x14ac:dyDescent="0.25">
      <c r="A674">
        <v>10513</v>
      </c>
      <c r="B674">
        <v>61</v>
      </c>
      <c r="C674" s="6">
        <v>28.5</v>
      </c>
      <c r="D674">
        <v>15</v>
      </c>
      <c r="E674" s="6">
        <v>0.2</v>
      </c>
      <c r="F674" t="str">
        <f>_xlfn.XLOOKUP(northwind_order_details[[#This Row],[order_id]],northwind_orders[order_id],northwind_orders[ship_country])</f>
        <v>Germany</v>
      </c>
      <c r="G674">
        <f>INDEX(northwind_orders[],MATCH(northwind_order_details[[#This Row],[order_id]], northwind_orders[order_id], 0), MATCH("employee_id", northwind_orders[#Headers], 0))</f>
        <v>7</v>
      </c>
      <c r="H674">
        <f>northwind_order_details[[#This Row],[unit_price]]*northwind_order_details[[#This Row],[quantity]]</f>
        <v>427.5</v>
      </c>
      <c r="I674" s="1">
        <f>northwind_order_details[[#This Row],[purchase amount]]*northwind_order_details[[#This Row],[discount]]</f>
        <v>85.5</v>
      </c>
      <c r="J674" s="1">
        <f>northwind_order_details[[#This Row],[purchase amount]]-northwind_order_details[[#This Row],[discount amount]]</f>
        <v>342</v>
      </c>
      <c r="K674" s="6" t="str">
        <f>IF(northwind_order_details[[#This Row],[discount amount]]&gt;0,"Yes","No")</f>
        <v>Yes</v>
      </c>
      <c r="L674" s="1" t="str">
        <f>IF(northwind_order_details[[#This Row],[Revenue]]&gt;1000,"High",IF(northwind_order_details[[#This Row],[Revenue]]&gt;300,"Medium","Low"))</f>
        <v>Medium</v>
      </c>
      <c r="M6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75" spans="1:13" x14ac:dyDescent="0.25">
      <c r="A675">
        <v>10514</v>
      </c>
      <c r="B675">
        <v>20</v>
      </c>
      <c r="C675" s="6" t="s">
        <v>29</v>
      </c>
      <c r="D675">
        <v>39</v>
      </c>
      <c r="E675" s="6" t="s">
        <v>6</v>
      </c>
      <c r="F675" t="str">
        <f>_xlfn.XLOOKUP(northwind_order_details[[#This Row],[order_id]],northwind_orders[order_id],northwind_orders[ship_country])</f>
        <v>Austria</v>
      </c>
      <c r="G675">
        <f>INDEX(northwind_orders[],MATCH(northwind_order_details[[#This Row],[order_id]], northwind_orders[order_id], 0), MATCH("employee_id", northwind_orders[#Headers], 0))</f>
        <v>3</v>
      </c>
      <c r="H675">
        <f>northwind_order_details[[#This Row],[unit_price]]*northwind_order_details[[#This Row],[quantity]]</f>
        <v>3159</v>
      </c>
      <c r="I675" s="1">
        <f>northwind_order_details[[#This Row],[purchase amount]]*northwind_order_details[[#This Row],[discount]]</f>
        <v>0</v>
      </c>
      <c r="J675" s="1">
        <f>northwind_order_details[[#This Row],[purchase amount]]-northwind_order_details[[#This Row],[discount amount]]</f>
        <v>3159</v>
      </c>
      <c r="K675" s="6" t="str">
        <f>IF(northwind_order_details[[#This Row],[discount amount]]&gt;0,"Yes","No")</f>
        <v>No</v>
      </c>
      <c r="L675" s="1" t="str">
        <f>IF(northwind_order_details[[#This Row],[Revenue]]&gt;1000,"High",IF(northwind_order_details[[#This Row],[Revenue]]&gt;300,"Medium","Low"))</f>
        <v>High</v>
      </c>
      <c r="M6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6" spans="1:13" x14ac:dyDescent="0.25">
      <c r="A676">
        <v>10514</v>
      </c>
      <c r="B676">
        <v>28</v>
      </c>
      <c r="C676" s="6">
        <v>45.6</v>
      </c>
      <c r="D676">
        <v>35</v>
      </c>
      <c r="E676" s="6" t="s">
        <v>6</v>
      </c>
      <c r="F676" t="str">
        <f>_xlfn.XLOOKUP(northwind_order_details[[#This Row],[order_id]],northwind_orders[order_id],northwind_orders[ship_country])</f>
        <v>Austria</v>
      </c>
      <c r="G676">
        <f>INDEX(northwind_orders[],MATCH(northwind_order_details[[#This Row],[order_id]], northwind_orders[order_id], 0), MATCH("employee_id", northwind_orders[#Headers], 0))</f>
        <v>3</v>
      </c>
      <c r="H676">
        <f>northwind_order_details[[#This Row],[unit_price]]*northwind_order_details[[#This Row],[quantity]]</f>
        <v>1596</v>
      </c>
      <c r="I676" s="1">
        <f>northwind_order_details[[#This Row],[purchase amount]]*northwind_order_details[[#This Row],[discount]]</f>
        <v>0</v>
      </c>
      <c r="J676" s="1">
        <f>northwind_order_details[[#This Row],[purchase amount]]-northwind_order_details[[#This Row],[discount amount]]</f>
        <v>1596</v>
      </c>
      <c r="K676" s="6" t="str">
        <f>IF(northwind_order_details[[#This Row],[discount amount]]&gt;0,"Yes","No")</f>
        <v>No</v>
      </c>
      <c r="L676" s="1" t="str">
        <f>IF(northwind_order_details[[#This Row],[Revenue]]&gt;1000,"High",IF(northwind_order_details[[#This Row],[Revenue]]&gt;300,"Medium","Low"))</f>
        <v>High</v>
      </c>
      <c r="M67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77" spans="1:13" x14ac:dyDescent="0.25">
      <c r="A677">
        <v>10514</v>
      </c>
      <c r="B677">
        <v>56</v>
      </c>
      <c r="C677" s="6" t="s">
        <v>30</v>
      </c>
      <c r="D677">
        <v>70</v>
      </c>
      <c r="E677" s="6" t="s">
        <v>6</v>
      </c>
      <c r="F677" t="str">
        <f>_xlfn.XLOOKUP(northwind_order_details[[#This Row],[order_id]],northwind_orders[order_id],northwind_orders[ship_country])</f>
        <v>Austria</v>
      </c>
      <c r="G677">
        <f>INDEX(northwind_orders[],MATCH(northwind_order_details[[#This Row],[order_id]], northwind_orders[order_id], 0), MATCH("employee_id", northwind_orders[#Headers], 0))</f>
        <v>3</v>
      </c>
      <c r="H677">
        <f>northwind_order_details[[#This Row],[unit_price]]*northwind_order_details[[#This Row],[quantity]]</f>
        <v>2660</v>
      </c>
      <c r="I677" s="1">
        <f>northwind_order_details[[#This Row],[purchase amount]]*northwind_order_details[[#This Row],[discount]]</f>
        <v>0</v>
      </c>
      <c r="J677" s="1">
        <f>northwind_order_details[[#This Row],[purchase amount]]-northwind_order_details[[#This Row],[discount amount]]</f>
        <v>2660</v>
      </c>
      <c r="K677" s="6" t="str">
        <f>IF(northwind_order_details[[#This Row],[discount amount]]&gt;0,"Yes","No")</f>
        <v>No</v>
      </c>
      <c r="L677" s="1" t="str">
        <f>IF(northwind_order_details[[#This Row],[Revenue]]&gt;1000,"High",IF(northwind_order_details[[#This Row],[Revenue]]&gt;300,"Medium","Low"))</f>
        <v>High</v>
      </c>
      <c r="M6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78" spans="1:13" x14ac:dyDescent="0.25">
      <c r="A678">
        <v>10514</v>
      </c>
      <c r="B678">
        <v>65</v>
      </c>
      <c r="C678" s="6">
        <v>21.05</v>
      </c>
      <c r="D678">
        <v>39</v>
      </c>
      <c r="E678" s="6" t="s">
        <v>6</v>
      </c>
      <c r="F678" t="str">
        <f>_xlfn.XLOOKUP(northwind_order_details[[#This Row],[order_id]],northwind_orders[order_id],northwind_orders[ship_country])</f>
        <v>Austria</v>
      </c>
      <c r="G678">
        <f>INDEX(northwind_orders[],MATCH(northwind_order_details[[#This Row],[order_id]], northwind_orders[order_id], 0), MATCH("employee_id", northwind_orders[#Headers], 0))</f>
        <v>3</v>
      </c>
      <c r="H678">
        <f>northwind_order_details[[#This Row],[unit_price]]*northwind_order_details[[#This Row],[quantity]]</f>
        <v>820.95</v>
      </c>
      <c r="I678" s="1">
        <f>northwind_order_details[[#This Row],[purchase amount]]*northwind_order_details[[#This Row],[discount]]</f>
        <v>0</v>
      </c>
      <c r="J678" s="1">
        <f>northwind_order_details[[#This Row],[purchase amount]]-northwind_order_details[[#This Row],[discount amount]]</f>
        <v>820.95</v>
      </c>
      <c r="K678" s="6" t="str">
        <f>IF(northwind_order_details[[#This Row],[discount amount]]&gt;0,"Yes","No")</f>
        <v>No</v>
      </c>
      <c r="L678" s="1" t="str">
        <f>IF(northwind_order_details[[#This Row],[Revenue]]&gt;1000,"High",IF(northwind_order_details[[#This Row],[Revenue]]&gt;300,"Medium","Low"))</f>
        <v>Medium</v>
      </c>
      <c r="M67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79" spans="1:13" x14ac:dyDescent="0.25">
      <c r="A679">
        <v>10514</v>
      </c>
      <c r="B679">
        <v>75</v>
      </c>
      <c r="C679" s="6">
        <v>7.75</v>
      </c>
      <c r="D679">
        <v>50</v>
      </c>
      <c r="E679" s="6" t="s">
        <v>6</v>
      </c>
      <c r="F679" t="str">
        <f>_xlfn.XLOOKUP(northwind_order_details[[#This Row],[order_id]],northwind_orders[order_id],northwind_orders[ship_country])</f>
        <v>Austria</v>
      </c>
      <c r="G679">
        <f>INDEX(northwind_orders[],MATCH(northwind_order_details[[#This Row],[order_id]], northwind_orders[order_id], 0), MATCH("employee_id", northwind_orders[#Headers], 0))</f>
        <v>3</v>
      </c>
      <c r="H679">
        <f>northwind_order_details[[#This Row],[unit_price]]*northwind_order_details[[#This Row],[quantity]]</f>
        <v>387.5</v>
      </c>
      <c r="I679" s="1">
        <f>northwind_order_details[[#This Row],[purchase amount]]*northwind_order_details[[#This Row],[discount]]</f>
        <v>0</v>
      </c>
      <c r="J679" s="1">
        <f>northwind_order_details[[#This Row],[purchase amount]]-northwind_order_details[[#This Row],[discount amount]]</f>
        <v>387.5</v>
      </c>
      <c r="K679" s="6" t="str">
        <f>IF(northwind_order_details[[#This Row],[discount amount]]&gt;0,"Yes","No")</f>
        <v>No</v>
      </c>
      <c r="L679" s="1" t="str">
        <f>IF(northwind_order_details[[#This Row],[Revenue]]&gt;1000,"High",IF(northwind_order_details[[#This Row],[Revenue]]&gt;300,"Medium","Low"))</f>
        <v>Medium</v>
      </c>
      <c r="M6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80" spans="1:13" x14ac:dyDescent="0.25">
      <c r="A680">
        <v>10515</v>
      </c>
      <c r="B680">
        <v>9</v>
      </c>
      <c r="C680" s="6" t="s">
        <v>31</v>
      </c>
      <c r="D680">
        <v>16</v>
      </c>
      <c r="E680" s="6">
        <v>0.15</v>
      </c>
      <c r="F680" t="str">
        <f>_xlfn.XLOOKUP(northwind_order_details[[#This Row],[order_id]],northwind_orders[order_id],northwind_orders[ship_country])</f>
        <v>Germany</v>
      </c>
      <c r="G680">
        <f>INDEX(northwind_orders[],MATCH(northwind_order_details[[#This Row],[order_id]], northwind_orders[order_id], 0), MATCH("employee_id", northwind_orders[#Headers], 0))</f>
        <v>2</v>
      </c>
      <c r="H680">
        <f>northwind_order_details[[#This Row],[unit_price]]*northwind_order_details[[#This Row],[quantity]]</f>
        <v>1552</v>
      </c>
      <c r="I680" s="1">
        <f>northwind_order_details[[#This Row],[purchase amount]]*northwind_order_details[[#This Row],[discount]]</f>
        <v>232.79999999999998</v>
      </c>
      <c r="J680" s="1">
        <f>northwind_order_details[[#This Row],[purchase amount]]-northwind_order_details[[#This Row],[discount amount]]</f>
        <v>1319.2</v>
      </c>
      <c r="K680" s="6" t="str">
        <f>IF(northwind_order_details[[#This Row],[discount amount]]&gt;0,"Yes","No")</f>
        <v>Yes</v>
      </c>
      <c r="L680" s="1" t="str">
        <f>IF(northwind_order_details[[#This Row],[Revenue]]&gt;1000,"High",IF(northwind_order_details[[#This Row],[Revenue]]&gt;300,"Medium","Low"))</f>
        <v>High</v>
      </c>
      <c r="M6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81" spans="1:13" x14ac:dyDescent="0.25">
      <c r="A681">
        <v>10515</v>
      </c>
      <c r="B681">
        <v>16</v>
      </c>
      <c r="C681" s="6">
        <v>17.45</v>
      </c>
      <c r="D681">
        <v>50</v>
      </c>
      <c r="E681" s="6" t="s">
        <v>6</v>
      </c>
      <c r="F681" t="str">
        <f>_xlfn.XLOOKUP(northwind_order_details[[#This Row],[order_id]],northwind_orders[order_id],northwind_orders[ship_country])</f>
        <v>Germany</v>
      </c>
      <c r="G681">
        <f>INDEX(northwind_orders[],MATCH(northwind_order_details[[#This Row],[order_id]], northwind_orders[order_id], 0), MATCH("employee_id", northwind_orders[#Headers], 0))</f>
        <v>2</v>
      </c>
      <c r="H681">
        <f>northwind_order_details[[#This Row],[unit_price]]*northwind_order_details[[#This Row],[quantity]]</f>
        <v>872.5</v>
      </c>
      <c r="I681" s="1">
        <f>northwind_order_details[[#This Row],[purchase amount]]*northwind_order_details[[#This Row],[discount]]</f>
        <v>0</v>
      </c>
      <c r="J681" s="1">
        <f>northwind_order_details[[#This Row],[purchase amount]]-northwind_order_details[[#This Row],[discount amount]]</f>
        <v>872.5</v>
      </c>
      <c r="K681" s="6" t="str">
        <f>IF(northwind_order_details[[#This Row],[discount amount]]&gt;0,"Yes","No")</f>
        <v>No</v>
      </c>
      <c r="L681" s="1" t="str">
        <f>IF(northwind_order_details[[#This Row],[Revenue]]&gt;1000,"High",IF(northwind_order_details[[#This Row],[Revenue]]&gt;300,"Medium","Low"))</f>
        <v>Medium</v>
      </c>
      <c r="M68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82" spans="1:13" x14ac:dyDescent="0.25">
      <c r="A682">
        <v>10515</v>
      </c>
      <c r="B682">
        <v>27</v>
      </c>
      <c r="C682" s="6">
        <v>43.9</v>
      </c>
      <c r="D682">
        <v>120</v>
      </c>
      <c r="E682" s="6" t="s">
        <v>6</v>
      </c>
      <c r="F682" t="str">
        <f>_xlfn.XLOOKUP(northwind_order_details[[#This Row],[order_id]],northwind_orders[order_id],northwind_orders[ship_country])</f>
        <v>Germany</v>
      </c>
      <c r="G682">
        <f>INDEX(northwind_orders[],MATCH(northwind_order_details[[#This Row],[order_id]], northwind_orders[order_id], 0), MATCH("employee_id", northwind_orders[#Headers], 0))</f>
        <v>2</v>
      </c>
      <c r="H682">
        <f>northwind_order_details[[#This Row],[unit_price]]*northwind_order_details[[#This Row],[quantity]]</f>
        <v>5268</v>
      </c>
      <c r="I682" s="1">
        <f>northwind_order_details[[#This Row],[purchase amount]]*northwind_order_details[[#This Row],[discount]]</f>
        <v>0</v>
      </c>
      <c r="J682" s="1">
        <f>northwind_order_details[[#This Row],[purchase amount]]-northwind_order_details[[#This Row],[discount amount]]</f>
        <v>5268</v>
      </c>
      <c r="K682" s="6" t="str">
        <f>IF(northwind_order_details[[#This Row],[discount amount]]&gt;0,"Yes","No")</f>
        <v>No</v>
      </c>
      <c r="L682" s="1" t="str">
        <f>IF(northwind_order_details[[#This Row],[Revenue]]&gt;1000,"High",IF(northwind_order_details[[#This Row],[Revenue]]&gt;300,"Medium","Low"))</f>
        <v>High</v>
      </c>
      <c r="M6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83" spans="1:13" x14ac:dyDescent="0.25">
      <c r="A683">
        <v>10515</v>
      </c>
      <c r="B683">
        <v>33</v>
      </c>
      <c r="C683" s="6">
        <v>2.5</v>
      </c>
      <c r="D683">
        <v>16</v>
      </c>
      <c r="E683" s="6">
        <v>0.15</v>
      </c>
      <c r="F683" t="str">
        <f>_xlfn.XLOOKUP(northwind_order_details[[#This Row],[order_id]],northwind_orders[order_id],northwind_orders[ship_country])</f>
        <v>Germany</v>
      </c>
      <c r="G683">
        <f>INDEX(northwind_orders[],MATCH(northwind_order_details[[#This Row],[order_id]], northwind_orders[order_id], 0), MATCH("employee_id", northwind_orders[#Headers], 0))</f>
        <v>2</v>
      </c>
      <c r="H683">
        <f>northwind_order_details[[#This Row],[unit_price]]*northwind_order_details[[#This Row],[quantity]]</f>
        <v>40</v>
      </c>
      <c r="I683" s="1">
        <f>northwind_order_details[[#This Row],[purchase amount]]*northwind_order_details[[#This Row],[discount]]</f>
        <v>6</v>
      </c>
      <c r="J683" s="1">
        <f>northwind_order_details[[#This Row],[purchase amount]]-northwind_order_details[[#This Row],[discount amount]]</f>
        <v>34</v>
      </c>
      <c r="K683" s="6" t="str">
        <f>IF(northwind_order_details[[#This Row],[discount amount]]&gt;0,"Yes","No")</f>
        <v>Yes</v>
      </c>
      <c r="L683" s="1" t="str">
        <f>IF(northwind_order_details[[#This Row],[Revenue]]&gt;1000,"High",IF(northwind_order_details[[#This Row],[Revenue]]&gt;300,"Medium","Low"))</f>
        <v>Low</v>
      </c>
      <c r="M6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84" spans="1:13" x14ac:dyDescent="0.25">
      <c r="A684">
        <v>10515</v>
      </c>
      <c r="B684">
        <v>60</v>
      </c>
      <c r="C684" s="6" t="s">
        <v>28</v>
      </c>
      <c r="D684">
        <v>84</v>
      </c>
      <c r="E684" s="6">
        <v>0.15</v>
      </c>
      <c r="F684" t="str">
        <f>_xlfn.XLOOKUP(northwind_order_details[[#This Row],[order_id]],northwind_orders[order_id],northwind_orders[ship_country])</f>
        <v>Germany</v>
      </c>
      <c r="G684">
        <f>INDEX(northwind_orders[],MATCH(northwind_order_details[[#This Row],[order_id]], northwind_orders[order_id], 0), MATCH("employee_id", northwind_orders[#Headers], 0))</f>
        <v>2</v>
      </c>
      <c r="H684">
        <f>northwind_order_details[[#This Row],[unit_price]]*northwind_order_details[[#This Row],[quantity]]</f>
        <v>2856</v>
      </c>
      <c r="I684" s="1">
        <f>northwind_order_details[[#This Row],[purchase amount]]*northwind_order_details[[#This Row],[discount]]</f>
        <v>428.4</v>
      </c>
      <c r="J684" s="1">
        <f>northwind_order_details[[#This Row],[purchase amount]]-northwind_order_details[[#This Row],[discount amount]]</f>
        <v>2427.6</v>
      </c>
      <c r="K684" s="6" t="str">
        <f>IF(northwind_order_details[[#This Row],[discount amount]]&gt;0,"Yes","No")</f>
        <v>Yes</v>
      </c>
      <c r="L684" s="1" t="str">
        <f>IF(northwind_order_details[[#This Row],[Revenue]]&gt;1000,"High",IF(northwind_order_details[[#This Row],[Revenue]]&gt;300,"Medium","Low"))</f>
        <v>High</v>
      </c>
      <c r="M6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85" spans="1:13" x14ac:dyDescent="0.25">
      <c r="A685">
        <v>10517</v>
      </c>
      <c r="B685">
        <v>52</v>
      </c>
      <c r="C685" s="6" t="s">
        <v>32</v>
      </c>
      <c r="D685">
        <v>6</v>
      </c>
      <c r="E685" s="6" t="s">
        <v>6</v>
      </c>
      <c r="F685" t="str">
        <f>_xlfn.XLOOKUP(northwind_order_details[[#This Row],[order_id]],northwind_orders[order_id],northwind_orders[ship_country])</f>
        <v>UK</v>
      </c>
      <c r="G685">
        <f>INDEX(northwind_orders[],MATCH(northwind_order_details[[#This Row],[order_id]], northwind_orders[order_id], 0), MATCH("employee_id", northwind_orders[#Headers], 0))</f>
        <v>3</v>
      </c>
      <c r="H685">
        <f>northwind_order_details[[#This Row],[unit_price]]*northwind_order_details[[#This Row],[quantity]]</f>
        <v>42</v>
      </c>
      <c r="I685" s="1">
        <f>northwind_order_details[[#This Row],[purchase amount]]*northwind_order_details[[#This Row],[discount]]</f>
        <v>0</v>
      </c>
      <c r="J685" s="1">
        <f>northwind_order_details[[#This Row],[purchase amount]]-northwind_order_details[[#This Row],[discount amount]]</f>
        <v>42</v>
      </c>
      <c r="K685" s="6" t="str">
        <f>IF(northwind_order_details[[#This Row],[discount amount]]&gt;0,"Yes","No")</f>
        <v>No</v>
      </c>
      <c r="L685" s="1" t="str">
        <f>IF(northwind_order_details[[#This Row],[Revenue]]&gt;1000,"High",IF(northwind_order_details[[#This Row],[Revenue]]&gt;300,"Medium","Low"))</f>
        <v>Low</v>
      </c>
      <c r="M6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86" spans="1:13" x14ac:dyDescent="0.25">
      <c r="A686">
        <v>10517</v>
      </c>
      <c r="B686">
        <v>59</v>
      </c>
      <c r="C686" s="6" t="s">
        <v>33</v>
      </c>
      <c r="D686">
        <v>4</v>
      </c>
      <c r="E686" s="6" t="s">
        <v>6</v>
      </c>
      <c r="F686" t="str">
        <f>_xlfn.XLOOKUP(northwind_order_details[[#This Row],[order_id]],northwind_orders[order_id],northwind_orders[ship_country])</f>
        <v>UK</v>
      </c>
      <c r="G686">
        <f>INDEX(northwind_orders[],MATCH(northwind_order_details[[#This Row],[order_id]], northwind_orders[order_id], 0), MATCH("employee_id", northwind_orders[#Headers], 0))</f>
        <v>3</v>
      </c>
      <c r="H686">
        <f>northwind_order_details[[#This Row],[unit_price]]*northwind_order_details[[#This Row],[quantity]]</f>
        <v>220</v>
      </c>
      <c r="I686" s="1">
        <f>northwind_order_details[[#This Row],[purchase amount]]*northwind_order_details[[#This Row],[discount]]</f>
        <v>0</v>
      </c>
      <c r="J686" s="1">
        <f>northwind_order_details[[#This Row],[purchase amount]]-northwind_order_details[[#This Row],[discount amount]]</f>
        <v>220</v>
      </c>
      <c r="K686" s="6" t="str">
        <f>IF(northwind_order_details[[#This Row],[discount amount]]&gt;0,"Yes","No")</f>
        <v>No</v>
      </c>
      <c r="L686" s="1" t="str">
        <f>IF(northwind_order_details[[#This Row],[Revenue]]&gt;1000,"High",IF(northwind_order_details[[#This Row],[Revenue]]&gt;300,"Medium","Low"))</f>
        <v>Low</v>
      </c>
      <c r="M6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87" spans="1:13" x14ac:dyDescent="0.25">
      <c r="A687">
        <v>10517</v>
      </c>
      <c r="B687">
        <v>70</v>
      </c>
      <c r="C687" s="6" t="s">
        <v>21</v>
      </c>
      <c r="D687">
        <v>6</v>
      </c>
      <c r="E687" s="6" t="s">
        <v>6</v>
      </c>
      <c r="F687" t="str">
        <f>_xlfn.XLOOKUP(northwind_order_details[[#This Row],[order_id]],northwind_orders[order_id],northwind_orders[ship_country])</f>
        <v>UK</v>
      </c>
      <c r="G687">
        <f>INDEX(northwind_orders[],MATCH(northwind_order_details[[#This Row],[order_id]], northwind_orders[order_id], 0), MATCH("employee_id", northwind_orders[#Headers], 0))</f>
        <v>3</v>
      </c>
      <c r="H687">
        <f>northwind_order_details[[#This Row],[unit_price]]*northwind_order_details[[#This Row],[quantity]]</f>
        <v>90</v>
      </c>
      <c r="I687" s="1">
        <f>northwind_order_details[[#This Row],[purchase amount]]*northwind_order_details[[#This Row],[discount]]</f>
        <v>0</v>
      </c>
      <c r="J687" s="1">
        <f>northwind_order_details[[#This Row],[purchase amount]]-northwind_order_details[[#This Row],[discount amount]]</f>
        <v>90</v>
      </c>
      <c r="K687" s="6" t="str">
        <f>IF(northwind_order_details[[#This Row],[discount amount]]&gt;0,"Yes","No")</f>
        <v>No</v>
      </c>
      <c r="L687" s="1" t="str">
        <f>IF(northwind_order_details[[#This Row],[Revenue]]&gt;1000,"High",IF(northwind_order_details[[#This Row],[Revenue]]&gt;300,"Medium","Low"))</f>
        <v>Low</v>
      </c>
      <c r="M6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88" spans="1:13" x14ac:dyDescent="0.25">
      <c r="A688">
        <v>10518</v>
      </c>
      <c r="B688">
        <v>24</v>
      </c>
      <c r="C688" s="6">
        <v>4.5</v>
      </c>
      <c r="D688">
        <v>5</v>
      </c>
      <c r="E688" s="6" t="s">
        <v>6</v>
      </c>
      <c r="F688" t="str">
        <f>_xlfn.XLOOKUP(northwind_order_details[[#This Row],[order_id]],northwind_orders[order_id],northwind_orders[ship_country])</f>
        <v>Mexico</v>
      </c>
      <c r="G688">
        <f>INDEX(northwind_orders[],MATCH(northwind_order_details[[#This Row],[order_id]], northwind_orders[order_id], 0), MATCH("employee_id", northwind_orders[#Headers], 0))</f>
        <v>4</v>
      </c>
      <c r="H688">
        <f>northwind_order_details[[#This Row],[unit_price]]*northwind_order_details[[#This Row],[quantity]]</f>
        <v>22.5</v>
      </c>
      <c r="I688" s="1">
        <f>northwind_order_details[[#This Row],[purchase amount]]*northwind_order_details[[#This Row],[discount]]</f>
        <v>0</v>
      </c>
      <c r="J688" s="1">
        <f>northwind_order_details[[#This Row],[purchase amount]]-northwind_order_details[[#This Row],[discount amount]]</f>
        <v>22.5</v>
      </c>
      <c r="K688" s="6" t="str">
        <f>IF(northwind_order_details[[#This Row],[discount amount]]&gt;0,"Yes","No")</f>
        <v>No</v>
      </c>
      <c r="L688" s="1" t="str">
        <f>IF(northwind_order_details[[#This Row],[Revenue]]&gt;1000,"High",IF(northwind_order_details[[#This Row],[Revenue]]&gt;300,"Medium","Low"))</f>
        <v>Low</v>
      </c>
      <c r="M6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89" spans="1:13" x14ac:dyDescent="0.25">
      <c r="A689">
        <v>10518</v>
      </c>
      <c r="B689">
        <v>38</v>
      </c>
      <c r="C689" s="6">
        <v>263.5</v>
      </c>
      <c r="D689">
        <v>15</v>
      </c>
      <c r="E689" s="6" t="s">
        <v>6</v>
      </c>
      <c r="F689" t="str">
        <f>_xlfn.XLOOKUP(northwind_order_details[[#This Row],[order_id]],northwind_orders[order_id],northwind_orders[ship_country])</f>
        <v>Mexico</v>
      </c>
      <c r="G689">
        <f>INDEX(northwind_orders[],MATCH(northwind_order_details[[#This Row],[order_id]], northwind_orders[order_id], 0), MATCH("employee_id", northwind_orders[#Headers], 0))</f>
        <v>4</v>
      </c>
      <c r="H689">
        <f>northwind_order_details[[#This Row],[unit_price]]*northwind_order_details[[#This Row],[quantity]]</f>
        <v>3952.5</v>
      </c>
      <c r="I689" s="1">
        <f>northwind_order_details[[#This Row],[purchase amount]]*northwind_order_details[[#This Row],[discount]]</f>
        <v>0</v>
      </c>
      <c r="J689" s="1">
        <f>northwind_order_details[[#This Row],[purchase amount]]-northwind_order_details[[#This Row],[discount amount]]</f>
        <v>3952.5</v>
      </c>
      <c r="K689" s="6" t="str">
        <f>IF(northwind_order_details[[#This Row],[discount amount]]&gt;0,"Yes","No")</f>
        <v>No</v>
      </c>
      <c r="L689" s="1" t="str">
        <f>IF(northwind_order_details[[#This Row],[Revenue]]&gt;1000,"High",IF(northwind_order_details[[#This Row],[Revenue]]&gt;300,"Medium","Low"))</f>
        <v>High</v>
      </c>
      <c r="M6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90" spans="1:13" x14ac:dyDescent="0.25">
      <c r="A690">
        <v>10518</v>
      </c>
      <c r="B690">
        <v>44</v>
      </c>
      <c r="C690" s="6">
        <v>19.45</v>
      </c>
      <c r="D690">
        <v>9</v>
      </c>
      <c r="E690" s="6" t="s">
        <v>6</v>
      </c>
      <c r="F690" t="str">
        <f>_xlfn.XLOOKUP(northwind_order_details[[#This Row],[order_id]],northwind_orders[order_id],northwind_orders[ship_country])</f>
        <v>Mexico</v>
      </c>
      <c r="G690">
        <f>INDEX(northwind_orders[],MATCH(northwind_order_details[[#This Row],[order_id]], northwind_orders[order_id], 0), MATCH("employee_id", northwind_orders[#Headers], 0))</f>
        <v>4</v>
      </c>
      <c r="H690">
        <f>northwind_order_details[[#This Row],[unit_price]]*northwind_order_details[[#This Row],[quantity]]</f>
        <v>175.04999999999998</v>
      </c>
      <c r="I690" s="1">
        <f>northwind_order_details[[#This Row],[purchase amount]]*northwind_order_details[[#This Row],[discount]]</f>
        <v>0</v>
      </c>
      <c r="J690" s="1">
        <f>northwind_order_details[[#This Row],[purchase amount]]-northwind_order_details[[#This Row],[discount amount]]</f>
        <v>175.04999999999998</v>
      </c>
      <c r="K690" s="6" t="str">
        <f>IF(northwind_order_details[[#This Row],[discount amount]]&gt;0,"Yes","No")</f>
        <v>No</v>
      </c>
      <c r="L690" s="1" t="str">
        <f>IF(northwind_order_details[[#This Row],[Revenue]]&gt;1000,"High",IF(northwind_order_details[[#This Row],[Revenue]]&gt;300,"Medium","Low"))</f>
        <v>Low</v>
      </c>
      <c r="M6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91" spans="1:13" x14ac:dyDescent="0.25">
      <c r="A691">
        <v>10519</v>
      </c>
      <c r="B691">
        <v>10</v>
      </c>
      <c r="C691" s="6" t="s">
        <v>34</v>
      </c>
      <c r="D691">
        <v>16</v>
      </c>
      <c r="E691" s="6">
        <v>0.05</v>
      </c>
      <c r="F691" t="str">
        <f>_xlfn.XLOOKUP(northwind_order_details[[#This Row],[order_id]],northwind_orders[order_id],northwind_orders[ship_country])</f>
        <v>Switzerland</v>
      </c>
      <c r="G691">
        <f>INDEX(northwind_orders[],MATCH(northwind_order_details[[#This Row],[order_id]], northwind_orders[order_id], 0), MATCH("employee_id", northwind_orders[#Headers], 0))</f>
        <v>6</v>
      </c>
      <c r="H691">
        <f>northwind_order_details[[#This Row],[unit_price]]*northwind_order_details[[#This Row],[quantity]]</f>
        <v>496</v>
      </c>
      <c r="I691" s="1">
        <f>northwind_order_details[[#This Row],[purchase amount]]*northwind_order_details[[#This Row],[discount]]</f>
        <v>24.8</v>
      </c>
      <c r="J691" s="1">
        <f>northwind_order_details[[#This Row],[purchase amount]]-northwind_order_details[[#This Row],[discount amount]]</f>
        <v>471.2</v>
      </c>
      <c r="K691" s="6" t="str">
        <f>IF(northwind_order_details[[#This Row],[discount amount]]&gt;0,"Yes","No")</f>
        <v>Yes</v>
      </c>
      <c r="L691" s="1" t="str">
        <f>IF(northwind_order_details[[#This Row],[Revenue]]&gt;1000,"High",IF(northwind_order_details[[#This Row],[Revenue]]&gt;300,"Medium","Low"))</f>
        <v>Medium</v>
      </c>
      <c r="M6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92" spans="1:13" x14ac:dyDescent="0.25">
      <c r="A692">
        <v>10519</v>
      </c>
      <c r="B692">
        <v>56</v>
      </c>
      <c r="C692" s="6" t="s">
        <v>30</v>
      </c>
      <c r="D692">
        <v>40</v>
      </c>
      <c r="E692" s="6" t="s">
        <v>6</v>
      </c>
      <c r="F692" t="str">
        <f>_xlfn.XLOOKUP(northwind_order_details[[#This Row],[order_id]],northwind_orders[order_id],northwind_orders[ship_country])</f>
        <v>Switzerland</v>
      </c>
      <c r="G692">
        <f>INDEX(northwind_orders[],MATCH(northwind_order_details[[#This Row],[order_id]], northwind_orders[order_id], 0), MATCH("employee_id", northwind_orders[#Headers], 0))</f>
        <v>6</v>
      </c>
      <c r="H692">
        <f>northwind_order_details[[#This Row],[unit_price]]*northwind_order_details[[#This Row],[quantity]]</f>
        <v>1520</v>
      </c>
      <c r="I692" s="1">
        <f>northwind_order_details[[#This Row],[purchase amount]]*northwind_order_details[[#This Row],[discount]]</f>
        <v>0</v>
      </c>
      <c r="J692" s="1">
        <f>northwind_order_details[[#This Row],[purchase amount]]-northwind_order_details[[#This Row],[discount amount]]</f>
        <v>1520</v>
      </c>
      <c r="K692" s="6" t="str">
        <f>IF(northwind_order_details[[#This Row],[discount amount]]&gt;0,"Yes","No")</f>
        <v>No</v>
      </c>
      <c r="L692" s="1" t="str">
        <f>IF(northwind_order_details[[#This Row],[Revenue]]&gt;1000,"High",IF(northwind_order_details[[#This Row],[Revenue]]&gt;300,"Medium","Low"))</f>
        <v>High</v>
      </c>
      <c r="M6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93" spans="1:13" x14ac:dyDescent="0.25">
      <c r="A693">
        <v>10519</v>
      </c>
      <c r="B693">
        <v>60</v>
      </c>
      <c r="C693" s="6" t="s">
        <v>28</v>
      </c>
      <c r="D693">
        <v>10</v>
      </c>
      <c r="E693" s="6">
        <v>0.05</v>
      </c>
      <c r="F693" t="str">
        <f>_xlfn.XLOOKUP(northwind_order_details[[#This Row],[order_id]],northwind_orders[order_id],northwind_orders[ship_country])</f>
        <v>Switzerland</v>
      </c>
      <c r="G693">
        <f>INDEX(northwind_orders[],MATCH(northwind_order_details[[#This Row],[order_id]], northwind_orders[order_id], 0), MATCH("employee_id", northwind_orders[#Headers], 0))</f>
        <v>6</v>
      </c>
      <c r="H693">
        <f>northwind_order_details[[#This Row],[unit_price]]*northwind_order_details[[#This Row],[quantity]]</f>
        <v>340</v>
      </c>
      <c r="I693" s="1">
        <f>northwind_order_details[[#This Row],[purchase amount]]*northwind_order_details[[#This Row],[discount]]</f>
        <v>17</v>
      </c>
      <c r="J693" s="1">
        <f>northwind_order_details[[#This Row],[purchase amount]]-northwind_order_details[[#This Row],[discount amount]]</f>
        <v>323</v>
      </c>
      <c r="K693" s="6" t="str">
        <f>IF(northwind_order_details[[#This Row],[discount amount]]&gt;0,"Yes","No")</f>
        <v>Yes</v>
      </c>
      <c r="L693" s="1" t="str">
        <f>IF(northwind_order_details[[#This Row],[Revenue]]&gt;1000,"High",IF(northwind_order_details[[#This Row],[Revenue]]&gt;300,"Medium","Low"))</f>
        <v>Medium</v>
      </c>
      <c r="M6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94" spans="1:13" x14ac:dyDescent="0.25">
      <c r="A694">
        <v>10520</v>
      </c>
      <c r="B694">
        <v>24</v>
      </c>
      <c r="C694" s="6">
        <v>4.5</v>
      </c>
      <c r="D694">
        <v>8</v>
      </c>
      <c r="E694" s="6" t="s">
        <v>6</v>
      </c>
      <c r="F694" t="str">
        <f>_xlfn.XLOOKUP(northwind_order_details[[#This Row],[order_id]],northwind_orders[order_id],northwind_orders[ship_country])</f>
        <v>Norway</v>
      </c>
      <c r="G694">
        <f>INDEX(northwind_orders[],MATCH(northwind_order_details[[#This Row],[order_id]], northwind_orders[order_id], 0), MATCH("employee_id", northwind_orders[#Headers], 0))</f>
        <v>7</v>
      </c>
      <c r="H694">
        <f>northwind_order_details[[#This Row],[unit_price]]*northwind_order_details[[#This Row],[quantity]]</f>
        <v>36</v>
      </c>
      <c r="I694" s="1">
        <f>northwind_order_details[[#This Row],[purchase amount]]*northwind_order_details[[#This Row],[discount]]</f>
        <v>0</v>
      </c>
      <c r="J694" s="1">
        <f>northwind_order_details[[#This Row],[purchase amount]]-northwind_order_details[[#This Row],[discount amount]]</f>
        <v>36</v>
      </c>
      <c r="K694" s="6" t="str">
        <f>IF(northwind_order_details[[#This Row],[discount amount]]&gt;0,"Yes","No")</f>
        <v>No</v>
      </c>
      <c r="L694" s="1" t="str">
        <f>IF(northwind_order_details[[#This Row],[Revenue]]&gt;1000,"High",IF(northwind_order_details[[#This Row],[Revenue]]&gt;300,"Medium","Low"))</f>
        <v>Low</v>
      </c>
      <c r="M69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95" spans="1:13" x14ac:dyDescent="0.25">
      <c r="A695">
        <v>10520</v>
      </c>
      <c r="B695">
        <v>53</v>
      </c>
      <c r="C695" s="6">
        <v>32.799999999999997</v>
      </c>
      <c r="D695">
        <v>5</v>
      </c>
      <c r="E695" s="6" t="s">
        <v>6</v>
      </c>
      <c r="F695" t="str">
        <f>_xlfn.XLOOKUP(northwind_order_details[[#This Row],[order_id]],northwind_orders[order_id],northwind_orders[ship_country])</f>
        <v>Norway</v>
      </c>
      <c r="G695">
        <f>INDEX(northwind_orders[],MATCH(northwind_order_details[[#This Row],[order_id]], northwind_orders[order_id], 0), MATCH("employee_id", northwind_orders[#Headers], 0))</f>
        <v>7</v>
      </c>
      <c r="H695">
        <f>northwind_order_details[[#This Row],[unit_price]]*northwind_order_details[[#This Row],[quantity]]</f>
        <v>164</v>
      </c>
      <c r="I695" s="1">
        <f>northwind_order_details[[#This Row],[purchase amount]]*northwind_order_details[[#This Row],[discount]]</f>
        <v>0</v>
      </c>
      <c r="J695" s="1">
        <f>northwind_order_details[[#This Row],[purchase amount]]-northwind_order_details[[#This Row],[discount amount]]</f>
        <v>164</v>
      </c>
      <c r="K695" s="6" t="str">
        <f>IF(northwind_order_details[[#This Row],[discount amount]]&gt;0,"Yes","No")</f>
        <v>No</v>
      </c>
      <c r="L695" s="1" t="str">
        <f>IF(northwind_order_details[[#This Row],[Revenue]]&gt;1000,"High",IF(northwind_order_details[[#This Row],[Revenue]]&gt;300,"Medium","Low"))</f>
        <v>Low</v>
      </c>
      <c r="M6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96" spans="1:13" x14ac:dyDescent="0.25">
      <c r="A696">
        <v>10521</v>
      </c>
      <c r="B696">
        <v>35</v>
      </c>
      <c r="C696" s="6" t="s">
        <v>24</v>
      </c>
      <c r="D696">
        <v>3</v>
      </c>
      <c r="E696" s="6" t="s">
        <v>6</v>
      </c>
      <c r="F696" t="str">
        <f>_xlfn.XLOOKUP(northwind_order_details[[#This Row],[order_id]],northwind_orders[order_id],northwind_orders[ship_country])</f>
        <v>Argentina</v>
      </c>
      <c r="G696">
        <f>INDEX(northwind_orders[],MATCH(northwind_order_details[[#This Row],[order_id]], northwind_orders[order_id], 0), MATCH("employee_id", northwind_orders[#Headers], 0))</f>
        <v>8</v>
      </c>
      <c r="H696">
        <f>northwind_order_details[[#This Row],[unit_price]]*northwind_order_details[[#This Row],[quantity]]</f>
        <v>54</v>
      </c>
      <c r="I696" s="1">
        <f>northwind_order_details[[#This Row],[purchase amount]]*northwind_order_details[[#This Row],[discount]]</f>
        <v>0</v>
      </c>
      <c r="J696" s="1">
        <f>northwind_order_details[[#This Row],[purchase amount]]-northwind_order_details[[#This Row],[discount amount]]</f>
        <v>54</v>
      </c>
      <c r="K696" s="6" t="str">
        <f>IF(northwind_order_details[[#This Row],[discount amount]]&gt;0,"Yes","No")</f>
        <v>No</v>
      </c>
      <c r="L696" s="1" t="str">
        <f>IF(northwind_order_details[[#This Row],[Revenue]]&gt;1000,"High",IF(northwind_order_details[[#This Row],[Revenue]]&gt;300,"Medium","Low"))</f>
        <v>Low</v>
      </c>
      <c r="M6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697" spans="1:13" x14ac:dyDescent="0.25">
      <c r="A697">
        <v>10521</v>
      </c>
      <c r="B697">
        <v>41</v>
      </c>
      <c r="C697" s="6">
        <v>9.65</v>
      </c>
      <c r="D697">
        <v>10</v>
      </c>
      <c r="E697" s="6" t="s">
        <v>6</v>
      </c>
      <c r="F697" t="str">
        <f>_xlfn.XLOOKUP(northwind_order_details[[#This Row],[order_id]],northwind_orders[order_id],northwind_orders[ship_country])</f>
        <v>Argentina</v>
      </c>
      <c r="G697">
        <f>INDEX(northwind_orders[],MATCH(northwind_order_details[[#This Row],[order_id]], northwind_orders[order_id], 0), MATCH("employee_id", northwind_orders[#Headers], 0))</f>
        <v>8</v>
      </c>
      <c r="H697">
        <f>northwind_order_details[[#This Row],[unit_price]]*northwind_order_details[[#This Row],[quantity]]</f>
        <v>96.5</v>
      </c>
      <c r="I697" s="1">
        <f>northwind_order_details[[#This Row],[purchase amount]]*northwind_order_details[[#This Row],[discount]]</f>
        <v>0</v>
      </c>
      <c r="J697" s="1">
        <f>northwind_order_details[[#This Row],[purchase amount]]-northwind_order_details[[#This Row],[discount amount]]</f>
        <v>96.5</v>
      </c>
      <c r="K697" s="6" t="str">
        <f>IF(northwind_order_details[[#This Row],[discount amount]]&gt;0,"Yes","No")</f>
        <v>No</v>
      </c>
      <c r="L697" s="1" t="str">
        <f>IF(northwind_order_details[[#This Row],[Revenue]]&gt;1000,"High",IF(northwind_order_details[[#This Row],[Revenue]]&gt;300,"Medium","Low"))</f>
        <v>Low</v>
      </c>
      <c r="M6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98" spans="1:13" x14ac:dyDescent="0.25">
      <c r="A698">
        <v>10521</v>
      </c>
      <c r="B698">
        <v>68</v>
      </c>
      <c r="C698" s="6">
        <v>12.5</v>
      </c>
      <c r="D698">
        <v>6</v>
      </c>
      <c r="E698" s="6" t="s">
        <v>6</v>
      </c>
      <c r="F698" t="str">
        <f>_xlfn.XLOOKUP(northwind_order_details[[#This Row],[order_id]],northwind_orders[order_id],northwind_orders[ship_country])</f>
        <v>Argentina</v>
      </c>
      <c r="G698">
        <f>INDEX(northwind_orders[],MATCH(northwind_order_details[[#This Row],[order_id]], northwind_orders[order_id], 0), MATCH("employee_id", northwind_orders[#Headers], 0))</f>
        <v>8</v>
      </c>
      <c r="H698">
        <f>northwind_order_details[[#This Row],[unit_price]]*northwind_order_details[[#This Row],[quantity]]</f>
        <v>75</v>
      </c>
      <c r="I698" s="1">
        <f>northwind_order_details[[#This Row],[purchase amount]]*northwind_order_details[[#This Row],[discount]]</f>
        <v>0</v>
      </c>
      <c r="J698" s="1">
        <f>northwind_order_details[[#This Row],[purchase amount]]-northwind_order_details[[#This Row],[discount amount]]</f>
        <v>75</v>
      </c>
      <c r="K698" s="6" t="str">
        <f>IF(northwind_order_details[[#This Row],[discount amount]]&gt;0,"Yes","No")</f>
        <v>No</v>
      </c>
      <c r="L698" s="1" t="str">
        <f>IF(northwind_order_details[[#This Row],[Revenue]]&gt;1000,"High",IF(northwind_order_details[[#This Row],[Revenue]]&gt;300,"Medium","Low"))</f>
        <v>Low</v>
      </c>
      <c r="M6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699" spans="1:13" x14ac:dyDescent="0.25">
      <c r="A699">
        <v>10522</v>
      </c>
      <c r="B699">
        <v>1</v>
      </c>
      <c r="C699" s="6" t="s">
        <v>24</v>
      </c>
      <c r="D699">
        <v>40</v>
      </c>
      <c r="E699" s="6">
        <v>0.2</v>
      </c>
      <c r="F699" t="str">
        <f>_xlfn.XLOOKUP(northwind_order_details[[#This Row],[order_id]],northwind_orders[order_id],northwind_orders[ship_country])</f>
        <v>Germany</v>
      </c>
      <c r="G699">
        <f>INDEX(northwind_orders[],MATCH(northwind_order_details[[#This Row],[order_id]], northwind_orders[order_id], 0), MATCH("employee_id", northwind_orders[#Headers], 0))</f>
        <v>4</v>
      </c>
      <c r="H699">
        <f>northwind_order_details[[#This Row],[unit_price]]*northwind_order_details[[#This Row],[quantity]]</f>
        <v>720</v>
      </c>
      <c r="I699" s="1">
        <f>northwind_order_details[[#This Row],[purchase amount]]*northwind_order_details[[#This Row],[discount]]</f>
        <v>144</v>
      </c>
      <c r="J699" s="1">
        <f>northwind_order_details[[#This Row],[purchase amount]]-northwind_order_details[[#This Row],[discount amount]]</f>
        <v>576</v>
      </c>
      <c r="K699" s="6" t="str">
        <f>IF(northwind_order_details[[#This Row],[discount amount]]&gt;0,"Yes","No")</f>
        <v>Yes</v>
      </c>
      <c r="L699" s="1" t="str">
        <f>IF(northwind_order_details[[#This Row],[Revenue]]&gt;1000,"High",IF(northwind_order_details[[#This Row],[Revenue]]&gt;300,"Medium","Low"))</f>
        <v>Medium</v>
      </c>
      <c r="M6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0" spans="1:13" x14ac:dyDescent="0.25">
      <c r="A700">
        <v>10522</v>
      </c>
      <c r="B700">
        <v>8</v>
      </c>
      <c r="C700" s="6" t="s">
        <v>27</v>
      </c>
      <c r="D700">
        <v>24</v>
      </c>
      <c r="E700" s="6" t="s">
        <v>6</v>
      </c>
      <c r="F700" t="str">
        <f>_xlfn.XLOOKUP(northwind_order_details[[#This Row],[order_id]],northwind_orders[order_id],northwind_orders[ship_country])</f>
        <v>Germany</v>
      </c>
      <c r="G700">
        <f>INDEX(northwind_orders[],MATCH(northwind_order_details[[#This Row],[order_id]], northwind_orders[order_id], 0), MATCH("employee_id", northwind_orders[#Headers], 0))</f>
        <v>4</v>
      </c>
      <c r="H700">
        <f>northwind_order_details[[#This Row],[unit_price]]*northwind_order_details[[#This Row],[quantity]]</f>
        <v>960</v>
      </c>
      <c r="I700" s="1">
        <f>northwind_order_details[[#This Row],[purchase amount]]*northwind_order_details[[#This Row],[discount]]</f>
        <v>0</v>
      </c>
      <c r="J700" s="1">
        <f>northwind_order_details[[#This Row],[purchase amount]]-northwind_order_details[[#This Row],[discount amount]]</f>
        <v>960</v>
      </c>
      <c r="K700" s="6" t="str">
        <f>IF(northwind_order_details[[#This Row],[discount amount]]&gt;0,"Yes","No")</f>
        <v>No</v>
      </c>
      <c r="L700" s="1" t="str">
        <f>IF(northwind_order_details[[#This Row],[Revenue]]&gt;1000,"High",IF(northwind_order_details[[#This Row],[Revenue]]&gt;300,"Medium","Low"))</f>
        <v>Medium</v>
      </c>
      <c r="M7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1" spans="1:13" x14ac:dyDescent="0.25">
      <c r="A701">
        <v>10522</v>
      </c>
      <c r="B701">
        <v>30</v>
      </c>
      <c r="C701" s="6">
        <v>25.89</v>
      </c>
      <c r="D701">
        <v>20</v>
      </c>
      <c r="E701" s="6">
        <v>0.2</v>
      </c>
      <c r="F701" t="str">
        <f>_xlfn.XLOOKUP(northwind_order_details[[#This Row],[order_id]],northwind_orders[order_id],northwind_orders[ship_country])</f>
        <v>Germany</v>
      </c>
      <c r="G701">
        <f>INDEX(northwind_orders[],MATCH(northwind_order_details[[#This Row],[order_id]], northwind_orders[order_id], 0), MATCH("employee_id", northwind_orders[#Headers], 0))</f>
        <v>4</v>
      </c>
      <c r="H701">
        <f>northwind_order_details[[#This Row],[unit_price]]*northwind_order_details[[#This Row],[quantity]]</f>
        <v>517.79999999999995</v>
      </c>
      <c r="I701" s="1">
        <f>northwind_order_details[[#This Row],[purchase amount]]*northwind_order_details[[#This Row],[discount]]</f>
        <v>103.56</v>
      </c>
      <c r="J701" s="1">
        <f>northwind_order_details[[#This Row],[purchase amount]]-northwind_order_details[[#This Row],[discount amount]]</f>
        <v>414.23999999999995</v>
      </c>
      <c r="K701" s="6" t="str">
        <f>IF(northwind_order_details[[#This Row],[discount amount]]&gt;0,"Yes","No")</f>
        <v>Yes</v>
      </c>
      <c r="L701" s="1" t="str">
        <f>IF(northwind_order_details[[#This Row],[Revenue]]&gt;1000,"High",IF(northwind_order_details[[#This Row],[Revenue]]&gt;300,"Medium","Low"))</f>
        <v>Medium</v>
      </c>
      <c r="M70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02" spans="1:13" x14ac:dyDescent="0.25">
      <c r="A702">
        <v>10522</v>
      </c>
      <c r="B702">
        <v>40</v>
      </c>
      <c r="C702" s="6">
        <v>18.399999999999999</v>
      </c>
      <c r="D702">
        <v>25</v>
      </c>
      <c r="E702" s="6">
        <v>0.2</v>
      </c>
      <c r="F702" t="str">
        <f>_xlfn.XLOOKUP(northwind_order_details[[#This Row],[order_id]],northwind_orders[order_id],northwind_orders[ship_country])</f>
        <v>Germany</v>
      </c>
      <c r="G702">
        <f>INDEX(northwind_orders[],MATCH(northwind_order_details[[#This Row],[order_id]], northwind_orders[order_id], 0), MATCH("employee_id", northwind_orders[#Headers], 0))</f>
        <v>4</v>
      </c>
      <c r="H702">
        <f>northwind_order_details[[#This Row],[unit_price]]*northwind_order_details[[#This Row],[quantity]]</f>
        <v>459.99999999999994</v>
      </c>
      <c r="I702" s="1">
        <f>northwind_order_details[[#This Row],[purchase amount]]*northwind_order_details[[#This Row],[discount]]</f>
        <v>92</v>
      </c>
      <c r="J702" s="1">
        <f>northwind_order_details[[#This Row],[purchase amount]]-northwind_order_details[[#This Row],[discount amount]]</f>
        <v>367.99999999999994</v>
      </c>
      <c r="K702" s="6" t="str">
        <f>IF(northwind_order_details[[#This Row],[discount amount]]&gt;0,"Yes","No")</f>
        <v>Yes</v>
      </c>
      <c r="L702" s="1" t="str">
        <f>IF(northwind_order_details[[#This Row],[Revenue]]&gt;1000,"High",IF(northwind_order_details[[#This Row],[Revenue]]&gt;300,"Medium","Low"))</f>
        <v>Medium</v>
      </c>
      <c r="M7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03" spans="1:13" x14ac:dyDescent="0.25">
      <c r="A703">
        <v>10523</v>
      </c>
      <c r="B703">
        <v>17</v>
      </c>
      <c r="C703" s="6" t="s">
        <v>35</v>
      </c>
      <c r="D703">
        <v>25</v>
      </c>
      <c r="E703" s="6">
        <v>0.1</v>
      </c>
      <c r="F703" t="str">
        <f>_xlfn.XLOOKUP(northwind_order_details[[#This Row],[order_id]],northwind_orders[order_id],northwind_orders[ship_country])</f>
        <v>UK</v>
      </c>
      <c r="G703">
        <f>INDEX(northwind_orders[],MATCH(northwind_order_details[[#This Row],[order_id]], northwind_orders[order_id], 0), MATCH("employee_id", northwind_orders[#Headers], 0))</f>
        <v>7</v>
      </c>
      <c r="H703">
        <f>northwind_order_details[[#This Row],[unit_price]]*northwind_order_details[[#This Row],[quantity]]</f>
        <v>975</v>
      </c>
      <c r="I703" s="1">
        <f>northwind_order_details[[#This Row],[purchase amount]]*northwind_order_details[[#This Row],[discount]]</f>
        <v>97.5</v>
      </c>
      <c r="J703" s="1">
        <f>northwind_order_details[[#This Row],[purchase amount]]-northwind_order_details[[#This Row],[discount amount]]</f>
        <v>877.5</v>
      </c>
      <c r="K703" s="6" t="str">
        <f>IF(northwind_order_details[[#This Row],[discount amount]]&gt;0,"Yes","No")</f>
        <v>Yes</v>
      </c>
      <c r="L703" s="1" t="str">
        <f>IF(northwind_order_details[[#This Row],[Revenue]]&gt;1000,"High",IF(northwind_order_details[[#This Row],[Revenue]]&gt;300,"Medium","Low"))</f>
        <v>Medium</v>
      </c>
      <c r="M7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4" spans="1:13" x14ac:dyDescent="0.25">
      <c r="A704">
        <v>10523</v>
      </c>
      <c r="B704">
        <v>20</v>
      </c>
      <c r="C704" s="6" t="s">
        <v>29</v>
      </c>
      <c r="D704">
        <v>15</v>
      </c>
      <c r="E704" s="6">
        <v>0.1</v>
      </c>
      <c r="F704" t="str">
        <f>_xlfn.XLOOKUP(northwind_order_details[[#This Row],[order_id]],northwind_orders[order_id],northwind_orders[ship_country])</f>
        <v>UK</v>
      </c>
      <c r="G704">
        <f>INDEX(northwind_orders[],MATCH(northwind_order_details[[#This Row],[order_id]], northwind_orders[order_id], 0), MATCH("employee_id", northwind_orders[#Headers], 0))</f>
        <v>7</v>
      </c>
      <c r="H704">
        <f>northwind_order_details[[#This Row],[unit_price]]*northwind_order_details[[#This Row],[quantity]]</f>
        <v>1215</v>
      </c>
      <c r="I704" s="1">
        <f>northwind_order_details[[#This Row],[purchase amount]]*northwind_order_details[[#This Row],[discount]]</f>
        <v>121.5</v>
      </c>
      <c r="J704" s="1">
        <f>northwind_order_details[[#This Row],[purchase amount]]-northwind_order_details[[#This Row],[discount amount]]</f>
        <v>1093.5</v>
      </c>
      <c r="K704" s="6" t="str">
        <f>IF(northwind_order_details[[#This Row],[discount amount]]&gt;0,"Yes","No")</f>
        <v>Yes</v>
      </c>
      <c r="L704" s="1" t="str">
        <f>IF(northwind_order_details[[#This Row],[Revenue]]&gt;1000,"High",IF(northwind_order_details[[#This Row],[Revenue]]&gt;300,"Medium","Low"))</f>
        <v>High</v>
      </c>
      <c r="M7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5" spans="1:13" x14ac:dyDescent="0.25">
      <c r="A705">
        <v>10523</v>
      </c>
      <c r="B705">
        <v>37</v>
      </c>
      <c r="C705" s="6" t="s">
        <v>36</v>
      </c>
      <c r="D705">
        <v>18</v>
      </c>
      <c r="E705" s="6">
        <v>0.1</v>
      </c>
      <c r="F705" t="str">
        <f>_xlfn.XLOOKUP(northwind_order_details[[#This Row],[order_id]],northwind_orders[order_id],northwind_orders[ship_country])</f>
        <v>UK</v>
      </c>
      <c r="G705">
        <f>INDEX(northwind_orders[],MATCH(northwind_order_details[[#This Row],[order_id]], northwind_orders[order_id], 0), MATCH("employee_id", northwind_orders[#Headers], 0))</f>
        <v>7</v>
      </c>
      <c r="H705">
        <f>northwind_order_details[[#This Row],[unit_price]]*northwind_order_details[[#This Row],[quantity]]</f>
        <v>468</v>
      </c>
      <c r="I705" s="1">
        <f>northwind_order_details[[#This Row],[purchase amount]]*northwind_order_details[[#This Row],[discount]]</f>
        <v>46.800000000000004</v>
      </c>
      <c r="J705" s="1">
        <f>northwind_order_details[[#This Row],[purchase amount]]-northwind_order_details[[#This Row],[discount amount]]</f>
        <v>421.2</v>
      </c>
      <c r="K705" s="6" t="str">
        <f>IF(northwind_order_details[[#This Row],[discount amount]]&gt;0,"Yes","No")</f>
        <v>Yes</v>
      </c>
      <c r="L705" s="1" t="str">
        <f>IF(northwind_order_details[[#This Row],[Revenue]]&gt;1000,"High",IF(northwind_order_details[[#This Row],[Revenue]]&gt;300,"Medium","Low"))</f>
        <v>Medium</v>
      </c>
      <c r="M7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6" spans="1:13" x14ac:dyDescent="0.25">
      <c r="A706">
        <v>10523</v>
      </c>
      <c r="B706">
        <v>41</v>
      </c>
      <c r="C706" s="6">
        <v>9.65</v>
      </c>
      <c r="D706">
        <v>6</v>
      </c>
      <c r="E706" s="6">
        <v>0.1</v>
      </c>
      <c r="F706" t="str">
        <f>_xlfn.XLOOKUP(northwind_order_details[[#This Row],[order_id]],northwind_orders[order_id],northwind_orders[ship_country])</f>
        <v>UK</v>
      </c>
      <c r="G706">
        <f>INDEX(northwind_orders[],MATCH(northwind_order_details[[#This Row],[order_id]], northwind_orders[order_id], 0), MATCH("employee_id", northwind_orders[#Headers], 0))</f>
        <v>7</v>
      </c>
      <c r="H706">
        <f>northwind_order_details[[#This Row],[unit_price]]*northwind_order_details[[#This Row],[quantity]]</f>
        <v>57.900000000000006</v>
      </c>
      <c r="I706" s="1">
        <f>northwind_order_details[[#This Row],[purchase amount]]*northwind_order_details[[#This Row],[discount]]</f>
        <v>5.7900000000000009</v>
      </c>
      <c r="J706" s="1">
        <f>northwind_order_details[[#This Row],[purchase amount]]-northwind_order_details[[#This Row],[discount amount]]</f>
        <v>52.110000000000007</v>
      </c>
      <c r="K706" s="6" t="str">
        <f>IF(northwind_order_details[[#This Row],[discount amount]]&gt;0,"Yes","No")</f>
        <v>Yes</v>
      </c>
      <c r="L706" s="1" t="str">
        <f>IF(northwind_order_details[[#This Row],[Revenue]]&gt;1000,"High",IF(northwind_order_details[[#This Row],[Revenue]]&gt;300,"Medium","Low"))</f>
        <v>Low</v>
      </c>
      <c r="M70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07" spans="1:13" x14ac:dyDescent="0.25">
      <c r="A707">
        <v>10524</v>
      </c>
      <c r="B707">
        <v>10</v>
      </c>
      <c r="C707" s="6" t="s">
        <v>34</v>
      </c>
      <c r="D707">
        <v>2</v>
      </c>
      <c r="E707" s="6" t="s">
        <v>6</v>
      </c>
      <c r="F707" t="str">
        <f>_xlfn.XLOOKUP(northwind_order_details[[#This Row],[order_id]],northwind_orders[order_id],northwind_orders[ship_country])</f>
        <v>Sweden</v>
      </c>
      <c r="G707">
        <f>INDEX(northwind_orders[],MATCH(northwind_order_details[[#This Row],[order_id]], northwind_orders[order_id], 0), MATCH("employee_id", northwind_orders[#Headers], 0))</f>
        <v>1</v>
      </c>
      <c r="H707">
        <f>northwind_order_details[[#This Row],[unit_price]]*northwind_order_details[[#This Row],[quantity]]</f>
        <v>62</v>
      </c>
      <c r="I707" s="1">
        <f>northwind_order_details[[#This Row],[purchase amount]]*northwind_order_details[[#This Row],[discount]]</f>
        <v>0</v>
      </c>
      <c r="J707" s="1">
        <f>northwind_order_details[[#This Row],[purchase amount]]-northwind_order_details[[#This Row],[discount amount]]</f>
        <v>62</v>
      </c>
      <c r="K707" s="6" t="str">
        <f>IF(northwind_order_details[[#This Row],[discount amount]]&gt;0,"Yes","No")</f>
        <v>No</v>
      </c>
      <c r="L707" s="1" t="str">
        <f>IF(northwind_order_details[[#This Row],[Revenue]]&gt;1000,"High",IF(northwind_order_details[[#This Row],[Revenue]]&gt;300,"Medium","Low"))</f>
        <v>Low</v>
      </c>
      <c r="M7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08" spans="1:13" x14ac:dyDescent="0.25">
      <c r="A708">
        <v>10524</v>
      </c>
      <c r="B708">
        <v>30</v>
      </c>
      <c r="C708" s="6">
        <v>25.89</v>
      </c>
      <c r="D708">
        <v>10</v>
      </c>
      <c r="E708" s="6" t="s">
        <v>6</v>
      </c>
      <c r="F708" t="str">
        <f>_xlfn.XLOOKUP(northwind_order_details[[#This Row],[order_id]],northwind_orders[order_id],northwind_orders[ship_country])</f>
        <v>Sweden</v>
      </c>
      <c r="G708">
        <f>INDEX(northwind_orders[],MATCH(northwind_order_details[[#This Row],[order_id]], northwind_orders[order_id], 0), MATCH("employee_id", northwind_orders[#Headers], 0))</f>
        <v>1</v>
      </c>
      <c r="H708">
        <f>northwind_order_details[[#This Row],[unit_price]]*northwind_order_details[[#This Row],[quantity]]</f>
        <v>258.89999999999998</v>
      </c>
      <c r="I708" s="1">
        <f>northwind_order_details[[#This Row],[purchase amount]]*northwind_order_details[[#This Row],[discount]]</f>
        <v>0</v>
      </c>
      <c r="J708" s="1">
        <f>northwind_order_details[[#This Row],[purchase amount]]-northwind_order_details[[#This Row],[discount amount]]</f>
        <v>258.89999999999998</v>
      </c>
      <c r="K708" s="6" t="str">
        <f>IF(northwind_order_details[[#This Row],[discount amount]]&gt;0,"Yes","No")</f>
        <v>No</v>
      </c>
      <c r="L708" s="1" t="str">
        <f>IF(northwind_order_details[[#This Row],[Revenue]]&gt;1000,"High",IF(northwind_order_details[[#This Row],[Revenue]]&gt;300,"Medium","Low"))</f>
        <v>Low</v>
      </c>
      <c r="M7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09" spans="1:13" x14ac:dyDescent="0.25">
      <c r="A709">
        <v>10524</v>
      </c>
      <c r="B709">
        <v>43</v>
      </c>
      <c r="C709" s="6" t="s">
        <v>22</v>
      </c>
      <c r="D709">
        <v>60</v>
      </c>
      <c r="E709" s="6" t="s">
        <v>6</v>
      </c>
      <c r="F709" t="str">
        <f>_xlfn.XLOOKUP(northwind_order_details[[#This Row],[order_id]],northwind_orders[order_id],northwind_orders[ship_country])</f>
        <v>Sweden</v>
      </c>
      <c r="G709">
        <f>INDEX(northwind_orders[],MATCH(northwind_order_details[[#This Row],[order_id]], northwind_orders[order_id], 0), MATCH("employee_id", northwind_orders[#Headers], 0))</f>
        <v>1</v>
      </c>
      <c r="H709">
        <f>northwind_order_details[[#This Row],[unit_price]]*northwind_order_details[[#This Row],[quantity]]</f>
        <v>2760</v>
      </c>
      <c r="I709" s="1">
        <f>northwind_order_details[[#This Row],[purchase amount]]*northwind_order_details[[#This Row],[discount]]</f>
        <v>0</v>
      </c>
      <c r="J709" s="1">
        <f>northwind_order_details[[#This Row],[purchase amount]]-northwind_order_details[[#This Row],[discount amount]]</f>
        <v>2760</v>
      </c>
      <c r="K709" s="6" t="str">
        <f>IF(northwind_order_details[[#This Row],[discount amount]]&gt;0,"Yes","No")</f>
        <v>No</v>
      </c>
      <c r="L709" s="1" t="str">
        <f>IF(northwind_order_details[[#This Row],[Revenue]]&gt;1000,"High",IF(northwind_order_details[[#This Row],[Revenue]]&gt;300,"Medium","Low"))</f>
        <v>High</v>
      </c>
      <c r="M7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0" spans="1:13" x14ac:dyDescent="0.25">
      <c r="A710">
        <v>10524</v>
      </c>
      <c r="B710">
        <v>54</v>
      </c>
      <c r="C710" s="6">
        <v>7.45</v>
      </c>
      <c r="D710">
        <v>15</v>
      </c>
      <c r="E710" s="6" t="s">
        <v>6</v>
      </c>
      <c r="F710" t="str">
        <f>_xlfn.XLOOKUP(northwind_order_details[[#This Row],[order_id]],northwind_orders[order_id],northwind_orders[ship_country])</f>
        <v>Sweden</v>
      </c>
      <c r="G710">
        <f>INDEX(northwind_orders[],MATCH(northwind_order_details[[#This Row],[order_id]], northwind_orders[order_id], 0), MATCH("employee_id", northwind_orders[#Headers], 0))</f>
        <v>1</v>
      </c>
      <c r="H710">
        <f>northwind_order_details[[#This Row],[unit_price]]*northwind_order_details[[#This Row],[quantity]]</f>
        <v>111.75</v>
      </c>
      <c r="I710" s="1">
        <f>northwind_order_details[[#This Row],[purchase amount]]*northwind_order_details[[#This Row],[discount]]</f>
        <v>0</v>
      </c>
      <c r="J710" s="1">
        <f>northwind_order_details[[#This Row],[purchase amount]]-northwind_order_details[[#This Row],[discount amount]]</f>
        <v>111.75</v>
      </c>
      <c r="K710" s="6" t="str">
        <f>IF(northwind_order_details[[#This Row],[discount amount]]&gt;0,"Yes","No")</f>
        <v>No</v>
      </c>
      <c r="L710" s="1" t="str">
        <f>IF(northwind_order_details[[#This Row],[Revenue]]&gt;1000,"High",IF(northwind_order_details[[#This Row],[Revenue]]&gt;300,"Medium","Low"))</f>
        <v>Low</v>
      </c>
      <c r="M71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11" spans="1:13" x14ac:dyDescent="0.25">
      <c r="A711">
        <v>10525</v>
      </c>
      <c r="B711">
        <v>36</v>
      </c>
      <c r="C711" s="6" t="s">
        <v>20</v>
      </c>
      <c r="D711">
        <v>30</v>
      </c>
      <c r="E711" s="6" t="s">
        <v>6</v>
      </c>
      <c r="F711" t="str">
        <f>_xlfn.XLOOKUP(northwind_order_details[[#This Row],[order_id]],northwind_orders[order_id],northwind_orders[ship_country])</f>
        <v>France</v>
      </c>
      <c r="G711">
        <f>INDEX(northwind_orders[],MATCH(northwind_order_details[[#This Row],[order_id]], northwind_orders[order_id], 0), MATCH("employee_id", northwind_orders[#Headers], 0))</f>
        <v>1</v>
      </c>
      <c r="H711">
        <f>northwind_order_details[[#This Row],[unit_price]]*northwind_order_details[[#This Row],[quantity]]</f>
        <v>570</v>
      </c>
      <c r="I711" s="1">
        <f>northwind_order_details[[#This Row],[purchase amount]]*northwind_order_details[[#This Row],[discount]]</f>
        <v>0</v>
      </c>
      <c r="J711" s="1">
        <f>northwind_order_details[[#This Row],[purchase amount]]-northwind_order_details[[#This Row],[discount amount]]</f>
        <v>570</v>
      </c>
      <c r="K711" s="6" t="str">
        <f>IF(northwind_order_details[[#This Row],[discount amount]]&gt;0,"Yes","No")</f>
        <v>No</v>
      </c>
      <c r="L711" s="1" t="str">
        <f>IF(northwind_order_details[[#This Row],[Revenue]]&gt;1000,"High",IF(northwind_order_details[[#This Row],[Revenue]]&gt;300,"Medium","Low"))</f>
        <v>Medium</v>
      </c>
      <c r="M7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2" spans="1:13" x14ac:dyDescent="0.25">
      <c r="A712">
        <v>10525</v>
      </c>
      <c r="B712">
        <v>40</v>
      </c>
      <c r="C712" s="6">
        <v>18.399999999999999</v>
      </c>
      <c r="D712">
        <v>15</v>
      </c>
      <c r="E712" s="6">
        <v>0.1</v>
      </c>
      <c r="F712" t="str">
        <f>_xlfn.XLOOKUP(northwind_order_details[[#This Row],[order_id]],northwind_orders[order_id],northwind_orders[ship_country])</f>
        <v>France</v>
      </c>
      <c r="G712">
        <f>INDEX(northwind_orders[],MATCH(northwind_order_details[[#This Row],[order_id]], northwind_orders[order_id], 0), MATCH("employee_id", northwind_orders[#Headers], 0))</f>
        <v>1</v>
      </c>
      <c r="H712">
        <f>northwind_order_details[[#This Row],[unit_price]]*northwind_order_details[[#This Row],[quantity]]</f>
        <v>276</v>
      </c>
      <c r="I712" s="1">
        <f>northwind_order_details[[#This Row],[purchase amount]]*northwind_order_details[[#This Row],[discount]]</f>
        <v>27.6</v>
      </c>
      <c r="J712" s="1">
        <f>northwind_order_details[[#This Row],[purchase amount]]-northwind_order_details[[#This Row],[discount amount]]</f>
        <v>248.4</v>
      </c>
      <c r="K712" s="6" t="str">
        <f>IF(northwind_order_details[[#This Row],[discount amount]]&gt;0,"Yes","No")</f>
        <v>Yes</v>
      </c>
      <c r="L712" s="1" t="str">
        <f>IF(northwind_order_details[[#This Row],[Revenue]]&gt;1000,"High",IF(northwind_order_details[[#This Row],[Revenue]]&gt;300,"Medium","Low"))</f>
        <v>Low</v>
      </c>
      <c r="M71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13" spans="1:13" x14ac:dyDescent="0.25">
      <c r="A713">
        <v>10526</v>
      </c>
      <c r="B713">
        <v>1</v>
      </c>
      <c r="C713" s="6" t="s">
        <v>24</v>
      </c>
      <c r="D713">
        <v>8</v>
      </c>
      <c r="E713" s="6">
        <v>0.15</v>
      </c>
      <c r="F713" t="str">
        <f>_xlfn.XLOOKUP(northwind_order_details[[#This Row],[order_id]],northwind_orders[order_id],northwind_orders[ship_country])</f>
        <v>Finland</v>
      </c>
      <c r="G713">
        <f>INDEX(northwind_orders[],MATCH(northwind_order_details[[#This Row],[order_id]], northwind_orders[order_id], 0), MATCH("employee_id", northwind_orders[#Headers], 0))</f>
        <v>4</v>
      </c>
      <c r="H713">
        <f>northwind_order_details[[#This Row],[unit_price]]*northwind_order_details[[#This Row],[quantity]]</f>
        <v>144</v>
      </c>
      <c r="I713" s="1">
        <f>northwind_order_details[[#This Row],[purchase amount]]*northwind_order_details[[#This Row],[discount]]</f>
        <v>21.599999999999998</v>
      </c>
      <c r="J713" s="1">
        <f>northwind_order_details[[#This Row],[purchase amount]]-northwind_order_details[[#This Row],[discount amount]]</f>
        <v>122.4</v>
      </c>
      <c r="K713" s="6" t="str">
        <f>IF(northwind_order_details[[#This Row],[discount amount]]&gt;0,"Yes","No")</f>
        <v>Yes</v>
      </c>
      <c r="L713" s="1" t="str">
        <f>IF(northwind_order_details[[#This Row],[Revenue]]&gt;1000,"High",IF(northwind_order_details[[#This Row],[Revenue]]&gt;300,"Medium","Low"))</f>
        <v>Low</v>
      </c>
      <c r="M7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4" spans="1:13" x14ac:dyDescent="0.25">
      <c r="A714">
        <v>10526</v>
      </c>
      <c r="B714">
        <v>13</v>
      </c>
      <c r="C714" s="6" t="s">
        <v>23</v>
      </c>
      <c r="D714">
        <v>10</v>
      </c>
      <c r="E714" s="6" t="s">
        <v>6</v>
      </c>
      <c r="F714" t="str">
        <f>_xlfn.XLOOKUP(northwind_order_details[[#This Row],[order_id]],northwind_orders[order_id],northwind_orders[ship_country])</f>
        <v>Finland</v>
      </c>
      <c r="G714">
        <f>INDEX(northwind_orders[],MATCH(northwind_order_details[[#This Row],[order_id]], northwind_orders[order_id], 0), MATCH("employee_id", northwind_orders[#Headers], 0))</f>
        <v>4</v>
      </c>
      <c r="H714">
        <f>northwind_order_details[[#This Row],[unit_price]]*northwind_order_details[[#This Row],[quantity]]</f>
        <v>60</v>
      </c>
      <c r="I714" s="1">
        <f>northwind_order_details[[#This Row],[purchase amount]]*northwind_order_details[[#This Row],[discount]]</f>
        <v>0</v>
      </c>
      <c r="J714" s="1">
        <f>northwind_order_details[[#This Row],[purchase amount]]-northwind_order_details[[#This Row],[discount amount]]</f>
        <v>60</v>
      </c>
      <c r="K714" s="6" t="str">
        <f>IF(northwind_order_details[[#This Row],[discount amount]]&gt;0,"Yes","No")</f>
        <v>No</v>
      </c>
      <c r="L714" s="1" t="str">
        <f>IF(northwind_order_details[[#This Row],[Revenue]]&gt;1000,"High",IF(northwind_order_details[[#This Row],[Revenue]]&gt;300,"Medium","Low"))</f>
        <v>Low</v>
      </c>
      <c r="M7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5" spans="1:13" x14ac:dyDescent="0.25">
      <c r="A715">
        <v>10526</v>
      </c>
      <c r="B715">
        <v>56</v>
      </c>
      <c r="C715" s="6" t="s">
        <v>30</v>
      </c>
      <c r="D715">
        <v>30</v>
      </c>
      <c r="E715" s="6">
        <v>0.15</v>
      </c>
      <c r="F715" t="str">
        <f>_xlfn.XLOOKUP(northwind_order_details[[#This Row],[order_id]],northwind_orders[order_id],northwind_orders[ship_country])</f>
        <v>Finland</v>
      </c>
      <c r="G715">
        <f>INDEX(northwind_orders[],MATCH(northwind_order_details[[#This Row],[order_id]], northwind_orders[order_id], 0), MATCH("employee_id", northwind_orders[#Headers], 0))</f>
        <v>4</v>
      </c>
      <c r="H715">
        <f>northwind_order_details[[#This Row],[unit_price]]*northwind_order_details[[#This Row],[quantity]]</f>
        <v>1140</v>
      </c>
      <c r="I715" s="1">
        <f>northwind_order_details[[#This Row],[purchase amount]]*northwind_order_details[[#This Row],[discount]]</f>
        <v>171</v>
      </c>
      <c r="J715" s="1">
        <f>northwind_order_details[[#This Row],[purchase amount]]-northwind_order_details[[#This Row],[discount amount]]</f>
        <v>969</v>
      </c>
      <c r="K715" s="6" t="str">
        <f>IF(northwind_order_details[[#This Row],[discount amount]]&gt;0,"Yes","No")</f>
        <v>Yes</v>
      </c>
      <c r="L715" s="1" t="str">
        <f>IF(northwind_order_details[[#This Row],[Revenue]]&gt;1000,"High",IF(northwind_order_details[[#This Row],[Revenue]]&gt;300,"Medium","Low"))</f>
        <v>Medium</v>
      </c>
      <c r="M7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6" spans="1:13" x14ac:dyDescent="0.25">
      <c r="A716">
        <v>10527</v>
      </c>
      <c r="B716">
        <v>4</v>
      </c>
      <c r="C716" s="6" t="s">
        <v>25</v>
      </c>
      <c r="D716">
        <v>50</v>
      </c>
      <c r="E716" s="6">
        <v>0.1</v>
      </c>
      <c r="F716" t="str">
        <f>_xlfn.XLOOKUP(northwind_order_details[[#This Row],[order_id]],northwind_orders[order_id],northwind_orders[ship_country])</f>
        <v>Germany</v>
      </c>
      <c r="G716">
        <f>INDEX(northwind_orders[],MATCH(northwind_order_details[[#This Row],[order_id]], northwind_orders[order_id], 0), MATCH("employee_id", northwind_orders[#Headers], 0))</f>
        <v>7</v>
      </c>
      <c r="H716">
        <f>northwind_order_details[[#This Row],[unit_price]]*northwind_order_details[[#This Row],[quantity]]</f>
        <v>1100</v>
      </c>
      <c r="I716" s="1">
        <f>northwind_order_details[[#This Row],[purchase amount]]*northwind_order_details[[#This Row],[discount]]</f>
        <v>110</v>
      </c>
      <c r="J716" s="1">
        <f>northwind_order_details[[#This Row],[purchase amount]]-northwind_order_details[[#This Row],[discount amount]]</f>
        <v>990</v>
      </c>
      <c r="K716" s="6" t="str">
        <f>IF(northwind_order_details[[#This Row],[discount amount]]&gt;0,"Yes","No")</f>
        <v>Yes</v>
      </c>
      <c r="L716" s="1" t="str">
        <f>IF(northwind_order_details[[#This Row],[Revenue]]&gt;1000,"High",IF(northwind_order_details[[#This Row],[Revenue]]&gt;300,"Medium","Low"))</f>
        <v>Medium</v>
      </c>
      <c r="M7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7" spans="1:13" x14ac:dyDescent="0.25">
      <c r="A717">
        <v>10527</v>
      </c>
      <c r="B717">
        <v>36</v>
      </c>
      <c r="C717" s="6" t="s">
        <v>20</v>
      </c>
      <c r="D717">
        <v>30</v>
      </c>
      <c r="E717" s="6">
        <v>0.1</v>
      </c>
      <c r="F717" t="str">
        <f>_xlfn.XLOOKUP(northwind_order_details[[#This Row],[order_id]],northwind_orders[order_id],northwind_orders[ship_country])</f>
        <v>Germany</v>
      </c>
      <c r="G717">
        <f>INDEX(northwind_orders[],MATCH(northwind_order_details[[#This Row],[order_id]], northwind_orders[order_id], 0), MATCH("employee_id", northwind_orders[#Headers], 0))</f>
        <v>7</v>
      </c>
      <c r="H717">
        <f>northwind_order_details[[#This Row],[unit_price]]*northwind_order_details[[#This Row],[quantity]]</f>
        <v>570</v>
      </c>
      <c r="I717" s="1">
        <f>northwind_order_details[[#This Row],[purchase amount]]*northwind_order_details[[#This Row],[discount]]</f>
        <v>57</v>
      </c>
      <c r="J717" s="1">
        <f>northwind_order_details[[#This Row],[purchase amount]]-northwind_order_details[[#This Row],[discount amount]]</f>
        <v>513</v>
      </c>
      <c r="K717" s="6" t="str">
        <f>IF(northwind_order_details[[#This Row],[discount amount]]&gt;0,"Yes","No")</f>
        <v>Yes</v>
      </c>
      <c r="L717" s="1" t="str">
        <f>IF(northwind_order_details[[#This Row],[Revenue]]&gt;1000,"High",IF(northwind_order_details[[#This Row],[Revenue]]&gt;300,"Medium","Low"))</f>
        <v>Medium</v>
      </c>
      <c r="M7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8" spans="1:13" x14ac:dyDescent="0.25">
      <c r="A718">
        <v>10528</v>
      </c>
      <c r="B718">
        <v>11</v>
      </c>
      <c r="C718" s="6" t="s">
        <v>37</v>
      </c>
      <c r="D718">
        <v>3</v>
      </c>
      <c r="E718" s="6" t="s">
        <v>6</v>
      </c>
      <c r="F718" t="str">
        <f>_xlfn.XLOOKUP(northwind_order_details[[#This Row],[order_id]],northwind_orders[order_id],northwind_orders[ship_country])</f>
        <v>USA</v>
      </c>
      <c r="G718">
        <f>INDEX(northwind_orders[],MATCH(northwind_order_details[[#This Row],[order_id]], northwind_orders[order_id], 0), MATCH("employee_id", northwind_orders[#Headers], 0))</f>
        <v>6</v>
      </c>
      <c r="H718">
        <f>northwind_order_details[[#This Row],[unit_price]]*northwind_order_details[[#This Row],[quantity]]</f>
        <v>63</v>
      </c>
      <c r="I718" s="1">
        <f>northwind_order_details[[#This Row],[purchase amount]]*northwind_order_details[[#This Row],[discount]]</f>
        <v>0</v>
      </c>
      <c r="J718" s="1">
        <f>northwind_order_details[[#This Row],[purchase amount]]-northwind_order_details[[#This Row],[discount amount]]</f>
        <v>63</v>
      </c>
      <c r="K718" s="6" t="str">
        <f>IF(northwind_order_details[[#This Row],[discount amount]]&gt;0,"Yes","No")</f>
        <v>No</v>
      </c>
      <c r="L718" s="1" t="str">
        <f>IF(northwind_order_details[[#This Row],[Revenue]]&gt;1000,"High",IF(northwind_order_details[[#This Row],[Revenue]]&gt;300,"Medium","Low"))</f>
        <v>Low</v>
      </c>
      <c r="M7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19" spans="1:13" x14ac:dyDescent="0.25">
      <c r="A719">
        <v>10528</v>
      </c>
      <c r="B719">
        <v>33</v>
      </c>
      <c r="C719" s="6">
        <v>2.5</v>
      </c>
      <c r="D719">
        <v>8</v>
      </c>
      <c r="E719" s="6">
        <v>0.2</v>
      </c>
      <c r="F719" t="str">
        <f>_xlfn.XLOOKUP(northwind_order_details[[#This Row],[order_id]],northwind_orders[order_id],northwind_orders[ship_country])</f>
        <v>USA</v>
      </c>
      <c r="G719">
        <f>INDEX(northwind_orders[],MATCH(northwind_order_details[[#This Row],[order_id]], northwind_orders[order_id], 0), MATCH("employee_id", northwind_orders[#Headers], 0))</f>
        <v>6</v>
      </c>
      <c r="H719">
        <f>northwind_order_details[[#This Row],[unit_price]]*northwind_order_details[[#This Row],[quantity]]</f>
        <v>20</v>
      </c>
      <c r="I719" s="1">
        <f>northwind_order_details[[#This Row],[purchase amount]]*northwind_order_details[[#This Row],[discount]]</f>
        <v>4</v>
      </c>
      <c r="J719" s="1">
        <f>northwind_order_details[[#This Row],[purchase amount]]-northwind_order_details[[#This Row],[discount amount]]</f>
        <v>16</v>
      </c>
      <c r="K719" s="6" t="str">
        <f>IF(northwind_order_details[[#This Row],[discount amount]]&gt;0,"Yes","No")</f>
        <v>Yes</v>
      </c>
      <c r="L719" s="1" t="str">
        <f>IF(northwind_order_details[[#This Row],[Revenue]]&gt;1000,"High",IF(northwind_order_details[[#This Row],[Revenue]]&gt;300,"Medium","Low"))</f>
        <v>Low</v>
      </c>
      <c r="M71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20" spans="1:13" x14ac:dyDescent="0.25">
      <c r="A720">
        <v>10528</v>
      </c>
      <c r="B720">
        <v>72</v>
      </c>
      <c r="C720" s="6">
        <v>34.799999999999997</v>
      </c>
      <c r="D720">
        <v>9</v>
      </c>
      <c r="E720" s="6" t="s">
        <v>6</v>
      </c>
      <c r="F720" t="str">
        <f>_xlfn.XLOOKUP(northwind_order_details[[#This Row],[order_id]],northwind_orders[order_id],northwind_orders[ship_country])</f>
        <v>USA</v>
      </c>
      <c r="G720">
        <f>INDEX(northwind_orders[],MATCH(northwind_order_details[[#This Row],[order_id]], northwind_orders[order_id], 0), MATCH("employee_id", northwind_orders[#Headers], 0))</f>
        <v>6</v>
      </c>
      <c r="H720">
        <f>northwind_order_details[[#This Row],[unit_price]]*northwind_order_details[[#This Row],[quantity]]</f>
        <v>313.2</v>
      </c>
      <c r="I720" s="1">
        <f>northwind_order_details[[#This Row],[purchase amount]]*northwind_order_details[[#This Row],[discount]]</f>
        <v>0</v>
      </c>
      <c r="J720" s="1">
        <f>northwind_order_details[[#This Row],[purchase amount]]-northwind_order_details[[#This Row],[discount amount]]</f>
        <v>313.2</v>
      </c>
      <c r="K720" s="6" t="str">
        <f>IF(northwind_order_details[[#This Row],[discount amount]]&gt;0,"Yes","No")</f>
        <v>No</v>
      </c>
      <c r="L720" s="1" t="str">
        <f>IF(northwind_order_details[[#This Row],[Revenue]]&gt;1000,"High",IF(northwind_order_details[[#This Row],[Revenue]]&gt;300,"Medium","Low"))</f>
        <v>Medium</v>
      </c>
      <c r="M7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21" spans="1:13" x14ac:dyDescent="0.25">
      <c r="A721">
        <v>10529</v>
      </c>
      <c r="B721">
        <v>55</v>
      </c>
      <c r="C721" s="6" t="s">
        <v>14</v>
      </c>
      <c r="D721">
        <v>14</v>
      </c>
      <c r="E721" s="6" t="s">
        <v>6</v>
      </c>
      <c r="F721" t="str">
        <f>_xlfn.XLOOKUP(northwind_order_details[[#This Row],[order_id]],northwind_orders[order_id],northwind_orders[ship_country])</f>
        <v>Belgium</v>
      </c>
      <c r="G721">
        <f>INDEX(northwind_orders[],MATCH(northwind_order_details[[#This Row],[order_id]], northwind_orders[order_id], 0), MATCH("employee_id", northwind_orders[#Headers], 0))</f>
        <v>5</v>
      </c>
      <c r="H721">
        <f>northwind_order_details[[#This Row],[unit_price]]*northwind_order_details[[#This Row],[quantity]]</f>
        <v>336</v>
      </c>
      <c r="I721" s="1">
        <f>northwind_order_details[[#This Row],[purchase amount]]*northwind_order_details[[#This Row],[discount]]</f>
        <v>0</v>
      </c>
      <c r="J721" s="1">
        <f>northwind_order_details[[#This Row],[purchase amount]]-northwind_order_details[[#This Row],[discount amount]]</f>
        <v>336</v>
      </c>
      <c r="K721" s="6" t="str">
        <f>IF(northwind_order_details[[#This Row],[discount amount]]&gt;0,"Yes","No")</f>
        <v>No</v>
      </c>
      <c r="L721" s="1" t="str">
        <f>IF(northwind_order_details[[#This Row],[Revenue]]&gt;1000,"High",IF(northwind_order_details[[#This Row],[Revenue]]&gt;300,"Medium","Low"))</f>
        <v>Medium</v>
      </c>
      <c r="M7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2" spans="1:13" x14ac:dyDescent="0.25">
      <c r="A722">
        <v>10529</v>
      </c>
      <c r="B722">
        <v>68</v>
      </c>
      <c r="C722" s="6">
        <v>12.5</v>
      </c>
      <c r="D722">
        <v>20</v>
      </c>
      <c r="E722" s="6" t="s">
        <v>6</v>
      </c>
      <c r="F722" t="str">
        <f>_xlfn.XLOOKUP(northwind_order_details[[#This Row],[order_id]],northwind_orders[order_id],northwind_orders[ship_country])</f>
        <v>Belgium</v>
      </c>
      <c r="G722">
        <f>INDEX(northwind_orders[],MATCH(northwind_order_details[[#This Row],[order_id]], northwind_orders[order_id], 0), MATCH("employee_id", northwind_orders[#Headers], 0))</f>
        <v>5</v>
      </c>
      <c r="H722">
        <f>northwind_order_details[[#This Row],[unit_price]]*northwind_order_details[[#This Row],[quantity]]</f>
        <v>250</v>
      </c>
      <c r="I722" s="1">
        <f>northwind_order_details[[#This Row],[purchase amount]]*northwind_order_details[[#This Row],[discount]]</f>
        <v>0</v>
      </c>
      <c r="J722" s="1">
        <f>northwind_order_details[[#This Row],[purchase amount]]-northwind_order_details[[#This Row],[discount amount]]</f>
        <v>250</v>
      </c>
      <c r="K722" s="6" t="str">
        <f>IF(northwind_order_details[[#This Row],[discount amount]]&gt;0,"Yes","No")</f>
        <v>No</v>
      </c>
      <c r="L722" s="1" t="str">
        <f>IF(northwind_order_details[[#This Row],[Revenue]]&gt;1000,"High",IF(northwind_order_details[[#This Row],[Revenue]]&gt;300,"Medium","Low"))</f>
        <v>Low</v>
      </c>
      <c r="M72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23" spans="1:13" x14ac:dyDescent="0.25">
      <c r="A723">
        <v>10529</v>
      </c>
      <c r="B723">
        <v>69</v>
      </c>
      <c r="C723" s="6" t="s">
        <v>38</v>
      </c>
      <c r="D723">
        <v>10</v>
      </c>
      <c r="E723" s="6" t="s">
        <v>6</v>
      </c>
      <c r="F723" t="str">
        <f>_xlfn.XLOOKUP(northwind_order_details[[#This Row],[order_id]],northwind_orders[order_id],northwind_orders[ship_country])</f>
        <v>Belgium</v>
      </c>
      <c r="G723">
        <f>INDEX(northwind_orders[],MATCH(northwind_order_details[[#This Row],[order_id]], northwind_orders[order_id], 0), MATCH("employee_id", northwind_orders[#Headers], 0))</f>
        <v>5</v>
      </c>
      <c r="H723">
        <f>northwind_order_details[[#This Row],[unit_price]]*northwind_order_details[[#This Row],[quantity]]</f>
        <v>360</v>
      </c>
      <c r="I723" s="1">
        <f>northwind_order_details[[#This Row],[purchase amount]]*northwind_order_details[[#This Row],[discount]]</f>
        <v>0</v>
      </c>
      <c r="J723" s="1">
        <f>northwind_order_details[[#This Row],[purchase amount]]-northwind_order_details[[#This Row],[discount amount]]</f>
        <v>360</v>
      </c>
      <c r="K723" s="6" t="str">
        <f>IF(northwind_order_details[[#This Row],[discount amount]]&gt;0,"Yes","No")</f>
        <v>No</v>
      </c>
      <c r="L723" s="1" t="str">
        <f>IF(northwind_order_details[[#This Row],[Revenue]]&gt;1000,"High",IF(northwind_order_details[[#This Row],[Revenue]]&gt;300,"Medium","Low"))</f>
        <v>Medium</v>
      </c>
      <c r="M7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4" spans="1:13" x14ac:dyDescent="0.25">
      <c r="A724">
        <v>10530</v>
      </c>
      <c r="B724">
        <v>17</v>
      </c>
      <c r="C724" s="6" t="s">
        <v>35</v>
      </c>
      <c r="D724">
        <v>40</v>
      </c>
      <c r="E724" s="6" t="s">
        <v>6</v>
      </c>
      <c r="F724" t="str">
        <f>_xlfn.XLOOKUP(northwind_order_details[[#This Row],[order_id]],northwind_orders[order_id],northwind_orders[ship_country])</f>
        <v>Austria</v>
      </c>
      <c r="G724">
        <f>INDEX(northwind_orders[],MATCH(northwind_order_details[[#This Row],[order_id]], northwind_orders[order_id], 0), MATCH("employee_id", northwind_orders[#Headers], 0))</f>
        <v>3</v>
      </c>
      <c r="H724">
        <f>northwind_order_details[[#This Row],[unit_price]]*northwind_order_details[[#This Row],[quantity]]</f>
        <v>1560</v>
      </c>
      <c r="I724" s="1">
        <f>northwind_order_details[[#This Row],[purchase amount]]*northwind_order_details[[#This Row],[discount]]</f>
        <v>0</v>
      </c>
      <c r="J724" s="1">
        <f>northwind_order_details[[#This Row],[purchase amount]]-northwind_order_details[[#This Row],[discount amount]]</f>
        <v>1560</v>
      </c>
      <c r="K724" s="6" t="str">
        <f>IF(northwind_order_details[[#This Row],[discount amount]]&gt;0,"Yes","No")</f>
        <v>No</v>
      </c>
      <c r="L724" s="1" t="str">
        <f>IF(northwind_order_details[[#This Row],[Revenue]]&gt;1000,"High",IF(northwind_order_details[[#This Row],[Revenue]]&gt;300,"Medium","Low"))</f>
        <v>High</v>
      </c>
      <c r="M7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5" spans="1:13" x14ac:dyDescent="0.25">
      <c r="A725">
        <v>10530</v>
      </c>
      <c r="B725">
        <v>43</v>
      </c>
      <c r="C725" s="6" t="s">
        <v>22</v>
      </c>
      <c r="D725">
        <v>25</v>
      </c>
      <c r="E725" s="6" t="s">
        <v>6</v>
      </c>
      <c r="F725" t="str">
        <f>_xlfn.XLOOKUP(northwind_order_details[[#This Row],[order_id]],northwind_orders[order_id],northwind_orders[ship_country])</f>
        <v>Austria</v>
      </c>
      <c r="G725">
        <f>INDEX(northwind_orders[],MATCH(northwind_order_details[[#This Row],[order_id]], northwind_orders[order_id], 0), MATCH("employee_id", northwind_orders[#Headers], 0))</f>
        <v>3</v>
      </c>
      <c r="H725">
        <f>northwind_order_details[[#This Row],[unit_price]]*northwind_order_details[[#This Row],[quantity]]</f>
        <v>1150</v>
      </c>
      <c r="I725" s="1">
        <f>northwind_order_details[[#This Row],[purchase amount]]*northwind_order_details[[#This Row],[discount]]</f>
        <v>0</v>
      </c>
      <c r="J725" s="1">
        <f>northwind_order_details[[#This Row],[purchase amount]]-northwind_order_details[[#This Row],[discount amount]]</f>
        <v>1150</v>
      </c>
      <c r="K725" s="6" t="str">
        <f>IF(northwind_order_details[[#This Row],[discount amount]]&gt;0,"Yes","No")</f>
        <v>No</v>
      </c>
      <c r="L725" s="1" t="str">
        <f>IF(northwind_order_details[[#This Row],[Revenue]]&gt;1000,"High",IF(northwind_order_details[[#This Row],[Revenue]]&gt;300,"Medium","Low"))</f>
        <v>High</v>
      </c>
      <c r="M7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6" spans="1:13" x14ac:dyDescent="0.25">
      <c r="A726">
        <v>10530</v>
      </c>
      <c r="B726">
        <v>61</v>
      </c>
      <c r="C726" s="6">
        <v>28.5</v>
      </c>
      <c r="D726">
        <v>20</v>
      </c>
      <c r="E726" s="6" t="s">
        <v>6</v>
      </c>
      <c r="F726" t="str">
        <f>_xlfn.XLOOKUP(northwind_order_details[[#This Row],[order_id]],northwind_orders[order_id],northwind_orders[ship_country])</f>
        <v>Austria</v>
      </c>
      <c r="G726">
        <f>INDEX(northwind_orders[],MATCH(northwind_order_details[[#This Row],[order_id]], northwind_orders[order_id], 0), MATCH("employee_id", northwind_orders[#Headers], 0))</f>
        <v>3</v>
      </c>
      <c r="H726">
        <f>northwind_order_details[[#This Row],[unit_price]]*northwind_order_details[[#This Row],[quantity]]</f>
        <v>570</v>
      </c>
      <c r="I726" s="1">
        <f>northwind_order_details[[#This Row],[purchase amount]]*northwind_order_details[[#This Row],[discount]]</f>
        <v>0</v>
      </c>
      <c r="J726" s="1">
        <f>northwind_order_details[[#This Row],[purchase amount]]-northwind_order_details[[#This Row],[discount amount]]</f>
        <v>570</v>
      </c>
      <c r="K726" s="6" t="str">
        <f>IF(northwind_order_details[[#This Row],[discount amount]]&gt;0,"Yes","No")</f>
        <v>No</v>
      </c>
      <c r="L726" s="1" t="str">
        <f>IF(northwind_order_details[[#This Row],[Revenue]]&gt;1000,"High",IF(northwind_order_details[[#This Row],[Revenue]]&gt;300,"Medium","Low"))</f>
        <v>Medium</v>
      </c>
      <c r="M7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27" spans="1:13" x14ac:dyDescent="0.25">
      <c r="A727">
        <v>10530</v>
      </c>
      <c r="B727">
        <v>76</v>
      </c>
      <c r="C727" s="6" t="s">
        <v>24</v>
      </c>
      <c r="D727">
        <v>50</v>
      </c>
      <c r="E727" s="6" t="s">
        <v>6</v>
      </c>
      <c r="F727" t="str">
        <f>_xlfn.XLOOKUP(northwind_order_details[[#This Row],[order_id]],northwind_orders[order_id],northwind_orders[ship_country])</f>
        <v>Austria</v>
      </c>
      <c r="G727">
        <f>INDEX(northwind_orders[],MATCH(northwind_order_details[[#This Row],[order_id]], northwind_orders[order_id], 0), MATCH("employee_id", northwind_orders[#Headers], 0))</f>
        <v>3</v>
      </c>
      <c r="H727">
        <f>northwind_order_details[[#This Row],[unit_price]]*northwind_order_details[[#This Row],[quantity]]</f>
        <v>900</v>
      </c>
      <c r="I727" s="1">
        <f>northwind_order_details[[#This Row],[purchase amount]]*northwind_order_details[[#This Row],[discount]]</f>
        <v>0</v>
      </c>
      <c r="J727" s="1">
        <f>northwind_order_details[[#This Row],[purchase amount]]-northwind_order_details[[#This Row],[discount amount]]</f>
        <v>900</v>
      </c>
      <c r="K727" s="6" t="str">
        <f>IF(northwind_order_details[[#This Row],[discount amount]]&gt;0,"Yes","No")</f>
        <v>No</v>
      </c>
      <c r="L727" s="1" t="str">
        <f>IF(northwind_order_details[[#This Row],[Revenue]]&gt;1000,"High",IF(northwind_order_details[[#This Row],[Revenue]]&gt;300,"Medium","Low"))</f>
        <v>Medium</v>
      </c>
      <c r="M7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8" spans="1:13" x14ac:dyDescent="0.25">
      <c r="A728">
        <v>10531</v>
      </c>
      <c r="B728">
        <v>59</v>
      </c>
      <c r="C728" s="6" t="s">
        <v>33</v>
      </c>
      <c r="D728">
        <v>2</v>
      </c>
      <c r="E728" s="6" t="s">
        <v>6</v>
      </c>
      <c r="F728" t="str">
        <f>_xlfn.XLOOKUP(northwind_order_details[[#This Row],[order_id]],northwind_orders[order_id],northwind_orders[ship_country])</f>
        <v>Argentina</v>
      </c>
      <c r="G728">
        <f>INDEX(northwind_orders[],MATCH(northwind_order_details[[#This Row],[order_id]], northwind_orders[order_id], 0), MATCH("employee_id", northwind_orders[#Headers], 0))</f>
        <v>7</v>
      </c>
      <c r="H728">
        <f>northwind_order_details[[#This Row],[unit_price]]*northwind_order_details[[#This Row],[quantity]]</f>
        <v>110</v>
      </c>
      <c r="I728" s="1">
        <f>northwind_order_details[[#This Row],[purchase amount]]*northwind_order_details[[#This Row],[discount]]</f>
        <v>0</v>
      </c>
      <c r="J728" s="1">
        <f>northwind_order_details[[#This Row],[purchase amount]]-northwind_order_details[[#This Row],[discount amount]]</f>
        <v>110</v>
      </c>
      <c r="K728" s="6" t="str">
        <f>IF(northwind_order_details[[#This Row],[discount amount]]&gt;0,"Yes","No")</f>
        <v>No</v>
      </c>
      <c r="L728" s="1" t="str">
        <f>IF(northwind_order_details[[#This Row],[Revenue]]&gt;1000,"High",IF(northwind_order_details[[#This Row],[Revenue]]&gt;300,"Medium","Low"))</f>
        <v>Low</v>
      </c>
      <c r="M7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29" spans="1:13" x14ac:dyDescent="0.25">
      <c r="A729">
        <v>10532</v>
      </c>
      <c r="B729">
        <v>30</v>
      </c>
      <c r="C729" s="6">
        <v>25.89</v>
      </c>
      <c r="D729">
        <v>15</v>
      </c>
      <c r="E729" s="6" t="s">
        <v>6</v>
      </c>
      <c r="F729" t="str">
        <f>_xlfn.XLOOKUP(northwind_order_details[[#This Row],[order_id]],northwind_orders[order_id],northwind_orders[ship_country])</f>
        <v>UK</v>
      </c>
      <c r="G729">
        <f>INDEX(northwind_orders[],MATCH(northwind_order_details[[#This Row],[order_id]], northwind_orders[order_id], 0), MATCH("employee_id", northwind_orders[#Headers], 0))</f>
        <v>7</v>
      </c>
      <c r="H729">
        <f>northwind_order_details[[#This Row],[unit_price]]*northwind_order_details[[#This Row],[quantity]]</f>
        <v>388.35</v>
      </c>
      <c r="I729" s="1">
        <f>northwind_order_details[[#This Row],[purchase amount]]*northwind_order_details[[#This Row],[discount]]</f>
        <v>0</v>
      </c>
      <c r="J729" s="1">
        <f>northwind_order_details[[#This Row],[purchase amount]]-northwind_order_details[[#This Row],[discount amount]]</f>
        <v>388.35</v>
      </c>
      <c r="K729" s="6" t="str">
        <f>IF(northwind_order_details[[#This Row],[discount amount]]&gt;0,"Yes","No")</f>
        <v>No</v>
      </c>
      <c r="L729" s="1" t="str">
        <f>IF(northwind_order_details[[#This Row],[Revenue]]&gt;1000,"High",IF(northwind_order_details[[#This Row],[Revenue]]&gt;300,"Medium","Low"))</f>
        <v>Medium</v>
      </c>
      <c r="M7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30" spans="1:13" x14ac:dyDescent="0.25">
      <c r="A730">
        <v>10532</v>
      </c>
      <c r="B730">
        <v>66</v>
      </c>
      <c r="C730" s="6" t="s">
        <v>12</v>
      </c>
      <c r="D730">
        <v>24</v>
      </c>
      <c r="E730" s="6" t="s">
        <v>6</v>
      </c>
      <c r="F730" t="str">
        <f>_xlfn.XLOOKUP(northwind_order_details[[#This Row],[order_id]],northwind_orders[order_id],northwind_orders[ship_country])</f>
        <v>UK</v>
      </c>
      <c r="G730">
        <f>INDEX(northwind_orders[],MATCH(northwind_order_details[[#This Row],[order_id]], northwind_orders[order_id], 0), MATCH("employee_id", northwind_orders[#Headers], 0))</f>
        <v>7</v>
      </c>
      <c r="H730">
        <f>northwind_order_details[[#This Row],[unit_price]]*northwind_order_details[[#This Row],[quantity]]</f>
        <v>408</v>
      </c>
      <c r="I730" s="1">
        <f>northwind_order_details[[#This Row],[purchase amount]]*northwind_order_details[[#This Row],[discount]]</f>
        <v>0</v>
      </c>
      <c r="J730" s="1">
        <f>northwind_order_details[[#This Row],[purchase amount]]-northwind_order_details[[#This Row],[discount amount]]</f>
        <v>408</v>
      </c>
      <c r="K730" s="6" t="str">
        <f>IF(northwind_order_details[[#This Row],[discount amount]]&gt;0,"Yes","No")</f>
        <v>No</v>
      </c>
      <c r="L730" s="1" t="str">
        <f>IF(northwind_order_details[[#This Row],[Revenue]]&gt;1000,"High",IF(northwind_order_details[[#This Row],[Revenue]]&gt;300,"Medium","Low"))</f>
        <v>Medium</v>
      </c>
      <c r="M7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31" spans="1:13" x14ac:dyDescent="0.25">
      <c r="A731">
        <v>10533</v>
      </c>
      <c r="B731">
        <v>4</v>
      </c>
      <c r="C731" s="6" t="s">
        <v>25</v>
      </c>
      <c r="D731">
        <v>50</v>
      </c>
      <c r="E731" s="6">
        <v>0.05</v>
      </c>
      <c r="F731" t="str">
        <f>_xlfn.XLOOKUP(northwind_order_details[[#This Row],[order_id]],northwind_orders[order_id],northwind_orders[ship_country])</f>
        <v>Sweden</v>
      </c>
      <c r="G731">
        <f>INDEX(northwind_orders[],MATCH(northwind_order_details[[#This Row],[order_id]], northwind_orders[order_id], 0), MATCH("employee_id", northwind_orders[#Headers], 0))</f>
        <v>8</v>
      </c>
      <c r="H731">
        <f>northwind_order_details[[#This Row],[unit_price]]*northwind_order_details[[#This Row],[quantity]]</f>
        <v>1100</v>
      </c>
      <c r="I731" s="1">
        <f>northwind_order_details[[#This Row],[purchase amount]]*northwind_order_details[[#This Row],[discount]]</f>
        <v>55</v>
      </c>
      <c r="J731" s="1">
        <f>northwind_order_details[[#This Row],[purchase amount]]-northwind_order_details[[#This Row],[discount amount]]</f>
        <v>1045</v>
      </c>
      <c r="K731" s="6" t="str">
        <f>IF(northwind_order_details[[#This Row],[discount amount]]&gt;0,"Yes","No")</f>
        <v>Yes</v>
      </c>
      <c r="L731" s="1" t="str">
        <f>IF(northwind_order_details[[#This Row],[Revenue]]&gt;1000,"High",IF(northwind_order_details[[#This Row],[Revenue]]&gt;300,"Medium","Low"))</f>
        <v>High</v>
      </c>
      <c r="M7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32" spans="1:13" x14ac:dyDescent="0.25">
      <c r="A732">
        <v>10533</v>
      </c>
      <c r="B732">
        <v>72</v>
      </c>
      <c r="C732" s="6">
        <v>34.799999999999997</v>
      </c>
      <c r="D732">
        <v>24</v>
      </c>
      <c r="E732" s="6" t="s">
        <v>6</v>
      </c>
      <c r="F732" t="str">
        <f>_xlfn.XLOOKUP(northwind_order_details[[#This Row],[order_id]],northwind_orders[order_id],northwind_orders[ship_country])</f>
        <v>Sweden</v>
      </c>
      <c r="G732">
        <f>INDEX(northwind_orders[],MATCH(northwind_order_details[[#This Row],[order_id]], northwind_orders[order_id], 0), MATCH("employee_id", northwind_orders[#Headers], 0))</f>
        <v>8</v>
      </c>
      <c r="H732">
        <f>northwind_order_details[[#This Row],[unit_price]]*northwind_order_details[[#This Row],[quantity]]</f>
        <v>835.19999999999993</v>
      </c>
      <c r="I732" s="1">
        <f>northwind_order_details[[#This Row],[purchase amount]]*northwind_order_details[[#This Row],[discount]]</f>
        <v>0</v>
      </c>
      <c r="J732" s="1">
        <f>northwind_order_details[[#This Row],[purchase amount]]-northwind_order_details[[#This Row],[discount amount]]</f>
        <v>835.19999999999993</v>
      </c>
      <c r="K732" s="6" t="str">
        <f>IF(northwind_order_details[[#This Row],[discount amount]]&gt;0,"Yes","No")</f>
        <v>No</v>
      </c>
      <c r="L732" s="1" t="str">
        <f>IF(northwind_order_details[[#This Row],[Revenue]]&gt;1000,"High",IF(northwind_order_details[[#This Row],[Revenue]]&gt;300,"Medium","Low"))</f>
        <v>Medium</v>
      </c>
      <c r="M7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33" spans="1:13" x14ac:dyDescent="0.25">
      <c r="A733">
        <v>10533</v>
      </c>
      <c r="B733">
        <v>73</v>
      </c>
      <c r="C733" s="6" t="s">
        <v>21</v>
      </c>
      <c r="D733">
        <v>24</v>
      </c>
      <c r="E733" s="6">
        <v>0.05</v>
      </c>
      <c r="F733" t="str">
        <f>_xlfn.XLOOKUP(northwind_order_details[[#This Row],[order_id]],northwind_orders[order_id],northwind_orders[ship_country])</f>
        <v>Sweden</v>
      </c>
      <c r="G733">
        <f>INDEX(northwind_orders[],MATCH(northwind_order_details[[#This Row],[order_id]], northwind_orders[order_id], 0), MATCH("employee_id", northwind_orders[#Headers], 0))</f>
        <v>8</v>
      </c>
      <c r="H733">
        <f>northwind_order_details[[#This Row],[unit_price]]*northwind_order_details[[#This Row],[quantity]]</f>
        <v>360</v>
      </c>
      <c r="I733" s="1">
        <f>northwind_order_details[[#This Row],[purchase amount]]*northwind_order_details[[#This Row],[discount]]</f>
        <v>18</v>
      </c>
      <c r="J733" s="1">
        <f>northwind_order_details[[#This Row],[purchase amount]]-northwind_order_details[[#This Row],[discount amount]]</f>
        <v>342</v>
      </c>
      <c r="K733" s="6" t="str">
        <f>IF(northwind_order_details[[#This Row],[discount amount]]&gt;0,"Yes","No")</f>
        <v>Yes</v>
      </c>
      <c r="L733" s="1" t="str">
        <f>IF(northwind_order_details[[#This Row],[Revenue]]&gt;1000,"High",IF(northwind_order_details[[#This Row],[Revenue]]&gt;300,"Medium","Low"))</f>
        <v>Medium</v>
      </c>
      <c r="M7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34" spans="1:13" x14ac:dyDescent="0.25">
      <c r="A734">
        <v>10534</v>
      </c>
      <c r="B734">
        <v>30</v>
      </c>
      <c r="C734" s="6">
        <v>25.89</v>
      </c>
      <c r="D734">
        <v>10</v>
      </c>
      <c r="E734" s="6" t="s">
        <v>6</v>
      </c>
      <c r="F734" t="str">
        <f>_xlfn.XLOOKUP(northwind_order_details[[#This Row],[order_id]],northwind_orders[order_id],northwind_orders[ship_country])</f>
        <v>Germany</v>
      </c>
      <c r="G734">
        <f>INDEX(northwind_orders[],MATCH(northwind_order_details[[#This Row],[order_id]], northwind_orders[order_id], 0), MATCH("employee_id", northwind_orders[#Headers], 0))</f>
        <v>8</v>
      </c>
      <c r="H734">
        <f>northwind_order_details[[#This Row],[unit_price]]*northwind_order_details[[#This Row],[quantity]]</f>
        <v>258.89999999999998</v>
      </c>
      <c r="I734" s="1">
        <f>northwind_order_details[[#This Row],[purchase amount]]*northwind_order_details[[#This Row],[discount]]</f>
        <v>0</v>
      </c>
      <c r="J734" s="1">
        <f>northwind_order_details[[#This Row],[purchase amount]]-northwind_order_details[[#This Row],[discount amount]]</f>
        <v>258.89999999999998</v>
      </c>
      <c r="K734" s="6" t="str">
        <f>IF(northwind_order_details[[#This Row],[discount amount]]&gt;0,"Yes","No")</f>
        <v>No</v>
      </c>
      <c r="L734" s="1" t="str">
        <f>IF(northwind_order_details[[#This Row],[Revenue]]&gt;1000,"High",IF(northwind_order_details[[#This Row],[Revenue]]&gt;300,"Medium","Low"))</f>
        <v>Low</v>
      </c>
      <c r="M73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35" spans="1:13" x14ac:dyDescent="0.25">
      <c r="A735">
        <v>10534</v>
      </c>
      <c r="B735">
        <v>40</v>
      </c>
      <c r="C735" s="6">
        <v>18.399999999999999</v>
      </c>
      <c r="D735">
        <v>10</v>
      </c>
      <c r="E735" s="6">
        <v>0.2</v>
      </c>
      <c r="F735" t="str">
        <f>_xlfn.XLOOKUP(northwind_order_details[[#This Row],[order_id]],northwind_orders[order_id],northwind_orders[ship_country])</f>
        <v>Germany</v>
      </c>
      <c r="G735">
        <f>INDEX(northwind_orders[],MATCH(northwind_order_details[[#This Row],[order_id]], northwind_orders[order_id], 0), MATCH("employee_id", northwind_orders[#Headers], 0))</f>
        <v>8</v>
      </c>
      <c r="H735">
        <f>northwind_order_details[[#This Row],[unit_price]]*northwind_order_details[[#This Row],[quantity]]</f>
        <v>184</v>
      </c>
      <c r="I735" s="1">
        <f>northwind_order_details[[#This Row],[purchase amount]]*northwind_order_details[[#This Row],[discount]]</f>
        <v>36.800000000000004</v>
      </c>
      <c r="J735" s="1">
        <f>northwind_order_details[[#This Row],[purchase amount]]-northwind_order_details[[#This Row],[discount amount]]</f>
        <v>147.19999999999999</v>
      </c>
      <c r="K735" s="6" t="str">
        <f>IF(northwind_order_details[[#This Row],[discount amount]]&gt;0,"Yes","No")</f>
        <v>Yes</v>
      </c>
      <c r="L735" s="1" t="str">
        <f>IF(northwind_order_details[[#This Row],[Revenue]]&gt;1000,"High",IF(northwind_order_details[[#This Row],[Revenue]]&gt;300,"Medium","Low"))</f>
        <v>Low</v>
      </c>
      <c r="M73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36" spans="1:13" x14ac:dyDescent="0.25">
      <c r="A736">
        <v>10534</v>
      </c>
      <c r="B736">
        <v>54</v>
      </c>
      <c r="C736" s="6">
        <v>7.45</v>
      </c>
      <c r="D736">
        <v>10</v>
      </c>
      <c r="E736" s="6">
        <v>0.2</v>
      </c>
      <c r="F736" t="str">
        <f>_xlfn.XLOOKUP(northwind_order_details[[#This Row],[order_id]],northwind_orders[order_id],northwind_orders[ship_country])</f>
        <v>Germany</v>
      </c>
      <c r="G736">
        <f>INDEX(northwind_orders[],MATCH(northwind_order_details[[#This Row],[order_id]], northwind_orders[order_id], 0), MATCH("employee_id", northwind_orders[#Headers], 0))</f>
        <v>8</v>
      </c>
      <c r="H736">
        <f>northwind_order_details[[#This Row],[unit_price]]*northwind_order_details[[#This Row],[quantity]]</f>
        <v>74.5</v>
      </c>
      <c r="I736" s="1">
        <f>northwind_order_details[[#This Row],[purchase amount]]*northwind_order_details[[#This Row],[discount]]</f>
        <v>14.9</v>
      </c>
      <c r="J736" s="1">
        <f>northwind_order_details[[#This Row],[purchase amount]]-northwind_order_details[[#This Row],[discount amount]]</f>
        <v>59.6</v>
      </c>
      <c r="K736" s="6" t="str">
        <f>IF(northwind_order_details[[#This Row],[discount amount]]&gt;0,"Yes","No")</f>
        <v>Yes</v>
      </c>
      <c r="L736" s="1" t="str">
        <f>IF(northwind_order_details[[#This Row],[Revenue]]&gt;1000,"High",IF(northwind_order_details[[#This Row],[Revenue]]&gt;300,"Medium","Low"))</f>
        <v>Low</v>
      </c>
      <c r="M73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37" spans="1:13" x14ac:dyDescent="0.25">
      <c r="A737">
        <v>10535</v>
      </c>
      <c r="B737">
        <v>11</v>
      </c>
      <c r="C737" s="6" t="s">
        <v>37</v>
      </c>
      <c r="D737">
        <v>50</v>
      </c>
      <c r="E737" s="6">
        <v>0.1</v>
      </c>
      <c r="F737" t="str">
        <f>_xlfn.XLOOKUP(northwind_order_details[[#This Row],[order_id]],northwind_orders[order_id],northwind_orders[ship_country])</f>
        <v>Mexico</v>
      </c>
      <c r="G737">
        <f>INDEX(northwind_orders[],MATCH(northwind_order_details[[#This Row],[order_id]], northwind_orders[order_id], 0), MATCH("employee_id", northwind_orders[#Headers], 0))</f>
        <v>4</v>
      </c>
      <c r="H737">
        <f>northwind_order_details[[#This Row],[unit_price]]*northwind_order_details[[#This Row],[quantity]]</f>
        <v>1050</v>
      </c>
      <c r="I737" s="1">
        <f>northwind_order_details[[#This Row],[purchase amount]]*northwind_order_details[[#This Row],[discount]]</f>
        <v>105</v>
      </c>
      <c r="J737" s="1">
        <f>northwind_order_details[[#This Row],[purchase amount]]-northwind_order_details[[#This Row],[discount amount]]</f>
        <v>945</v>
      </c>
      <c r="K737" s="6" t="str">
        <f>IF(northwind_order_details[[#This Row],[discount amount]]&gt;0,"Yes","No")</f>
        <v>Yes</v>
      </c>
      <c r="L737" s="1" t="str">
        <f>IF(northwind_order_details[[#This Row],[Revenue]]&gt;1000,"High",IF(northwind_order_details[[#This Row],[Revenue]]&gt;300,"Medium","Low"))</f>
        <v>Medium</v>
      </c>
      <c r="M7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38" spans="1:13" x14ac:dyDescent="0.25">
      <c r="A738">
        <v>10535</v>
      </c>
      <c r="B738">
        <v>40</v>
      </c>
      <c r="C738" s="6">
        <v>18.399999999999999</v>
      </c>
      <c r="D738">
        <v>10</v>
      </c>
      <c r="E738" s="6">
        <v>0.1</v>
      </c>
      <c r="F738" t="str">
        <f>_xlfn.XLOOKUP(northwind_order_details[[#This Row],[order_id]],northwind_orders[order_id],northwind_orders[ship_country])</f>
        <v>Mexico</v>
      </c>
      <c r="G738">
        <f>INDEX(northwind_orders[],MATCH(northwind_order_details[[#This Row],[order_id]], northwind_orders[order_id], 0), MATCH("employee_id", northwind_orders[#Headers], 0))</f>
        <v>4</v>
      </c>
      <c r="H738">
        <f>northwind_order_details[[#This Row],[unit_price]]*northwind_order_details[[#This Row],[quantity]]</f>
        <v>184</v>
      </c>
      <c r="I738" s="1">
        <f>northwind_order_details[[#This Row],[purchase amount]]*northwind_order_details[[#This Row],[discount]]</f>
        <v>18.400000000000002</v>
      </c>
      <c r="J738" s="1">
        <f>northwind_order_details[[#This Row],[purchase amount]]-northwind_order_details[[#This Row],[discount amount]]</f>
        <v>165.6</v>
      </c>
      <c r="K738" s="6" t="str">
        <f>IF(northwind_order_details[[#This Row],[discount amount]]&gt;0,"Yes","No")</f>
        <v>Yes</v>
      </c>
      <c r="L738" s="1" t="str">
        <f>IF(northwind_order_details[[#This Row],[Revenue]]&gt;1000,"High",IF(northwind_order_details[[#This Row],[Revenue]]&gt;300,"Medium","Low"))</f>
        <v>Low</v>
      </c>
      <c r="M73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39" spans="1:13" x14ac:dyDescent="0.25">
      <c r="A739">
        <v>10535</v>
      </c>
      <c r="B739">
        <v>57</v>
      </c>
      <c r="C739" s="6">
        <v>19.5</v>
      </c>
      <c r="D739">
        <v>5</v>
      </c>
      <c r="E739" s="6">
        <v>0.1</v>
      </c>
      <c r="F739" t="str">
        <f>_xlfn.XLOOKUP(northwind_order_details[[#This Row],[order_id]],northwind_orders[order_id],northwind_orders[ship_country])</f>
        <v>Mexico</v>
      </c>
      <c r="G739">
        <f>INDEX(northwind_orders[],MATCH(northwind_order_details[[#This Row],[order_id]], northwind_orders[order_id], 0), MATCH("employee_id", northwind_orders[#Headers], 0))</f>
        <v>4</v>
      </c>
      <c r="H739">
        <f>northwind_order_details[[#This Row],[unit_price]]*northwind_order_details[[#This Row],[quantity]]</f>
        <v>97.5</v>
      </c>
      <c r="I739" s="1">
        <f>northwind_order_details[[#This Row],[purchase amount]]*northwind_order_details[[#This Row],[discount]]</f>
        <v>9.75</v>
      </c>
      <c r="J739" s="1">
        <f>northwind_order_details[[#This Row],[purchase amount]]-northwind_order_details[[#This Row],[discount amount]]</f>
        <v>87.75</v>
      </c>
      <c r="K739" s="6" t="str">
        <f>IF(northwind_order_details[[#This Row],[discount amount]]&gt;0,"Yes","No")</f>
        <v>Yes</v>
      </c>
      <c r="L739" s="1" t="str">
        <f>IF(northwind_order_details[[#This Row],[Revenue]]&gt;1000,"High",IF(northwind_order_details[[#This Row],[Revenue]]&gt;300,"Medium","Low"))</f>
        <v>Low</v>
      </c>
      <c r="M7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40" spans="1:13" x14ac:dyDescent="0.25">
      <c r="A740">
        <v>10535</v>
      </c>
      <c r="B740">
        <v>59</v>
      </c>
      <c r="C740" s="6" t="s">
        <v>33</v>
      </c>
      <c r="D740">
        <v>15</v>
      </c>
      <c r="E740" s="6">
        <v>0.1</v>
      </c>
      <c r="F740" t="str">
        <f>_xlfn.XLOOKUP(northwind_order_details[[#This Row],[order_id]],northwind_orders[order_id],northwind_orders[ship_country])</f>
        <v>Mexico</v>
      </c>
      <c r="G740">
        <f>INDEX(northwind_orders[],MATCH(northwind_order_details[[#This Row],[order_id]], northwind_orders[order_id], 0), MATCH("employee_id", northwind_orders[#Headers], 0))</f>
        <v>4</v>
      </c>
      <c r="H740">
        <f>northwind_order_details[[#This Row],[unit_price]]*northwind_order_details[[#This Row],[quantity]]</f>
        <v>825</v>
      </c>
      <c r="I740" s="1">
        <f>northwind_order_details[[#This Row],[purchase amount]]*northwind_order_details[[#This Row],[discount]]</f>
        <v>82.5</v>
      </c>
      <c r="J740" s="1">
        <f>northwind_order_details[[#This Row],[purchase amount]]-northwind_order_details[[#This Row],[discount amount]]</f>
        <v>742.5</v>
      </c>
      <c r="K740" s="6" t="str">
        <f>IF(northwind_order_details[[#This Row],[discount amount]]&gt;0,"Yes","No")</f>
        <v>Yes</v>
      </c>
      <c r="L740" s="1" t="str">
        <f>IF(northwind_order_details[[#This Row],[Revenue]]&gt;1000,"High",IF(northwind_order_details[[#This Row],[Revenue]]&gt;300,"Medium","Low"))</f>
        <v>Medium</v>
      </c>
      <c r="M7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41" spans="1:13" x14ac:dyDescent="0.25">
      <c r="A741">
        <v>10536</v>
      </c>
      <c r="B741">
        <v>12</v>
      </c>
      <c r="C741" s="6" t="s">
        <v>30</v>
      </c>
      <c r="D741">
        <v>15</v>
      </c>
      <c r="E741" s="6">
        <v>0.25</v>
      </c>
      <c r="F741" t="str">
        <f>_xlfn.XLOOKUP(northwind_order_details[[#This Row],[order_id]],northwind_orders[order_id],northwind_orders[ship_country])</f>
        <v>Germany</v>
      </c>
      <c r="G741">
        <f>INDEX(northwind_orders[],MATCH(northwind_order_details[[#This Row],[order_id]], northwind_orders[order_id], 0), MATCH("employee_id", northwind_orders[#Headers], 0))</f>
        <v>3</v>
      </c>
      <c r="H741">
        <f>northwind_order_details[[#This Row],[unit_price]]*northwind_order_details[[#This Row],[quantity]]</f>
        <v>570</v>
      </c>
      <c r="I741" s="1">
        <f>northwind_order_details[[#This Row],[purchase amount]]*northwind_order_details[[#This Row],[discount]]</f>
        <v>142.5</v>
      </c>
      <c r="J741" s="1">
        <f>northwind_order_details[[#This Row],[purchase amount]]-northwind_order_details[[#This Row],[discount amount]]</f>
        <v>427.5</v>
      </c>
      <c r="K741" s="6" t="str">
        <f>IF(northwind_order_details[[#This Row],[discount amount]]&gt;0,"Yes","No")</f>
        <v>Yes</v>
      </c>
      <c r="L741" s="1" t="str">
        <f>IF(northwind_order_details[[#This Row],[Revenue]]&gt;1000,"High",IF(northwind_order_details[[#This Row],[Revenue]]&gt;300,"Medium","Low"))</f>
        <v>Medium</v>
      </c>
      <c r="M7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42" spans="1:13" x14ac:dyDescent="0.25">
      <c r="A742">
        <v>10536</v>
      </c>
      <c r="B742">
        <v>31</v>
      </c>
      <c r="C742" s="6">
        <v>12.5</v>
      </c>
      <c r="D742">
        <v>20</v>
      </c>
      <c r="E742" s="6" t="s">
        <v>6</v>
      </c>
      <c r="F742" t="str">
        <f>_xlfn.XLOOKUP(northwind_order_details[[#This Row],[order_id]],northwind_orders[order_id],northwind_orders[ship_country])</f>
        <v>Germany</v>
      </c>
      <c r="G742">
        <f>INDEX(northwind_orders[],MATCH(northwind_order_details[[#This Row],[order_id]], northwind_orders[order_id], 0), MATCH("employee_id", northwind_orders[#Headers], 0))</f>
        <v>3</v>
      </c>
      <c r="H742">
        <f>northwind_order_details[[#This Row],[unit_price]]*northwind_order_details[[#This Row],[quantity]]</f>
        <v>250</v>
      </c>
      <c r="I742" s="1">
        <f>northwind_order_details[[#This Row],[purchase amount]]*northwind_order_details[[#This Row],[discount]]</f>
        <v>0</v>
      </c>
      <c r="J742" s="1">
        <f>northwind_order_details[[#This Row],[purchase amount]]-northwind_order_details[[#This Row],[discount amount]]</f>
        <v>250</v>
      </c>
      <c r="K742" s="6" t="str">
        <f>IF(northwind_order_details[[#This Row],[discount amount]]&gt;0,"Yes","No")</f>
        <v>No</v>
      </c>
      <c r="L742" s="1" t="str">
        <f>IF(northwind_order_details[[#This Row],[Revenue]]&gt;1000,"High",IF(northwind_order_details[[#This Row],[Revenue]]&gt;300,"Medium","Low"))</f>
        <v>Low</v>
      </c>
      <c r="M74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43" spans="1:13" x14ac:dyDescent="0.25">
      <c r="A743">
        <v>10536</v>
      </c>
      <c r="B743">
        <v>33</v>
      </c>
      <c r="C743" s="6">
        <v>2.5</v>
      </c>
      <c r="D743">
        <v>30</v>
      </c>
      <c r="E743" s="6" t="s">
        <v>6</v>
      </c>
      <c r="F743" t="str">
        <f>_xlfn.XLOOKUP(northwind_order_details[[#This Row],[order_id]],northwind_orders[order_id],northwind_orders[ship_country])</f>
        <v>Germany</v>
      </c>
      <c r="G743">
        <f>INDEX(northwind_orders[],MATCH(northwind_order_details[[#This Row],[order_id]], northwind_orders[order_id], 0), MATCH("employee_id", northwind_orders[#Headers], 0))</f>
        <v>3</v>
      </c>
      <c r="H743">
        <f>northwind_order_details[[#This Row],[unit_price]]*northwind_order_details[[#This Row],[quantity]]</f>
        <v>75</v>
      </c>
      <c r="I743" s="1">
        <f>northwind_order_details[[#This Row],[purchase amount]]*northwind_order_details[[#This Row],[discount]]</f>
        <v>0</v>
      </c>
      <c r="J743" s="1">
        <f>northwind_order_details[[#This Row],[purchase amount]]-northwind_order_details[[#This Row],[discount amount]]</f>
        <v>75</v>
      </c>
      <c r="K743" s="6" t="str">
        <f>IF(northwind_order_details[[#This Row],[discount amount]]&gt;0,"Yes","No")</f>
        <v>No</v>
      </c>
      <c r="L743" s="1" t="str">
        <f>IF(northwind_order_details[[#This Row],[Revenue]]&gt;1000,"High",IF(northwind_order_details[[#This Row],[Revenue]]&gt;300,"Medium","Low"))</f>
        <v>Low</v>
      </c>
      <c r="M7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44" spans="1:13" x14ac:dyDescent="0.25">
      <c r="A744">
        <v>10536</v>
      </c>
      <c r="B744">
        <v>60</v>
      </c>
      <c r="C744" s="6" t="s">
        <v>28</v>
      </c>
      <c r="D744">
        <v>35</v>
      </c>
      <c r="E744" s="6">
        <v>0.25</v>
      </c>
      <c r="F744" t="str">
        <f>_xlfn.XLOOKUP(northwind_order_details[[#This Row],[order_id]],northwind_orders[order_id],northwind_orders[ship_country])</f>
        <v>Germany</v>
      </c>
      <c r="G744">
        <f>INDEX(northwind_orders[],MATCH(northwind_order_details[[#This Row],[order_id]], northwind_orders[order_id], 0), MATCH("employee_id", northwind_orders[#Headers], 0))</f>
        <v>3</v>
      </c>
      <c r="H744">
        <f>northwind_order_details[[#This Row],[unit_price]]*northwind_order_details[[#This Row],[quantity]]</f>
        <v>1190</v>
      </c>
      <c r="I744" s="1">
        <f>northwind_order_details[[#This Row],[purchase amount]]*northwind_order_details[[#This Row],[discount]]</f>
        <v>297.5</v>
      </c>
      <c r="J744" s="1">
        <f>northwind_order_details[[#This Row],[purchase amount]]-northwind_order_details[[#This Row],[discount amount]]</f>
        <v>892.5</v>
      </c>
      <c r="K744" s="6" t="str">
        <f>IF(northwind_order_details[[#This Row],[discount amount]]&gt;0,"Yes","No")</f>
        <v>Yes</v>
      </c>
      <c r="L744" s="1" t="str">
        <f>IF(northwind_order_details[[#This Row],[Revenue]]&gt;1000,"High",IF(northwind_order_details[[#This Row],[Revenue]]&gt;300,"Medium","Low"))</f>
        <v>Medium</v>
      </c>
      <c r="M7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45" spans="1:13" x14ac:dyDescent="0.25">
      <c r="A745">
        <v>10537</v>
      </c>
      <c r="B745">
        <v>31</v>
      </c>
      <c r="C745" s="6">
        <v>12.5</v>
      </c>
      <c r="D745">
        <v>30</v>
      </c>
      <c r="E745" s="6" t="s">
        <v>6</v>
      </c>
      <c r="F745" t="str">
        <f>_xlfn.XLOOKUP(northwind_order_details[[#This Row],[order_id]],northwind_orders[order_id],northwind_orders[ship_country])</f>
        <v>Switzerland</v>
      </c>
      <c r="G745">
        <f>INDEX(northwind_orders[],MATCH(northwind_order_details[[#This Row],[order_id]], northwind_orders[order_id], 0), MATCH("employee_id", northwind_orders[#Headers], 0))</f>
        <v>1</v>
      </c>
      <c r="H745">
        <f>northwind_order_details[[#This Row],[unit_price]]*northwind_order_details[[#This Row],[quantity]]</f>
        <v>375</v>
      </c>
      <c r="I745" s="1">
        <f>northwind_order_details[[#This Row],[purchase amount]]*northwind_order_details[[#This Row],[discount]]</f>
        <v>0</v>
      </c>
      <c r="J745" s="1">
        <f>northwind_order_details[[#This Row],[purchase amount]]-northwind_order_details[[#This Row],[discount amount]]</f>
        <v>375</v>
      </c>
      <c r="K745" s="6" t="str">
        <f>IF(northwind_order_details[[#This Row],[discount amount]]&gt;0,"Yes","No")</f>
        <v>No</v>
      </c>
      <c r="L745" s="1" t="str">
        <f>IF(northwind_order_details[[#This Row],[Revenue]]&gt;1000,"High",IF(northwind_order_details[[#This Row],[Revenue]]&gt;300,"Medium","Low"))</f>
        <v>Medium</v>
      </c>
      <c r="M7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46" spans="1:13" x14ac:dyDescent="0.25">
      <c r="A746">
        <v>10537</v>
      </c>
      <c r="B746">
        <v>51</v>
      </c>
      <c r="C746" s="6" t="s">
        <v>39</v>
      </c>
      <c r="D746">
        <v>6</v>
      </c>
      <c r="E746" s="6" t="s">
        <v>6</v>
      </c>
      <c r="F746" t="str">
        <f>_xlfn.XLOOKUP(northwind_order_details[[#This Row],[order_id]],northwind_orders[order_id],northwind_orders[ship_country])</f>
        <v>Switzerland</v>
      </c>
      <c r="G746">
        <f>INDEX(northwind_orders[],MATCH(northwind_order_details[[#This Row],[order_id]], northwind_orders[order_id], 0), MATCH("employee_id", northwind_orders[#Headers], 0))</f>
        <v>1</v>
      </c>
      <c r="H746">
        <f>northwind_order_details[[#This Row],[unit_price]]*northwind_order_details[[#This Row],[quantity]]</f>
        <v>318</v>
      </c>
      <c r="I746" s="1">
        <f>northwind_order_details[[#This Row],[purchase amount]]*northwind_order_details[[#This Row],[discount]]</f>
        <v>0</v>
      </c>
      <c r="J746" s="1">
        <f>northwind_order_details[[#This Row],[purchase amount]]-northwind_order_details[[#This Row],[discount amount]]</f>
        <v>318</v>
      </c>
      <c r="K746" s="6" t="str">
        <f>IF(northwind_order_details[[#This Row],[discount amount]]&gt;0,"Yes","No")</f>
        <v>No</v>
      </c>
      <c r="L746" s="1" t="str">
        <f>IF(northwind_order_details[[#This Row],[Revenue]]&gt;1000,"High",IF(northwind_order_details[[#This Row],[Revenue]]&gt;300,"Medium","Low"))</f>
        <v>Medium</v>
      </c>
      <c r="M7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47" spans="1:13" x14ac:dyDescent="0.25">
      <c r="A747">
        <v>10537</v>
      </c>
      <c r="B747">
        <v>58</v>
      </c>
      <c r="C747" s="6">
        <v>13.25</v>
      </c>
      <c r="D747">
        <v>20</v>
      </c>
      <c r="E747" s="6" t="s">
        <v>6</v>
      </c>
      <c r="F747" t="str">
        <f>_xlfn.XLOOKUP(northwind_order_details[[#This Row],[order_id]],northwind_orders[order_id],northwind_orders[ship_country])</f>
        <v>Switzerland</v>
      </c>
      <c r="G747">
        <f>INDEX(northwind_orders[],MATCH(northwind_order_details[[#This Row],[order_id]], northwind_orders[order_id], 0), MATCH("employee_id", northwind_orders[#Headers], 0))</f>
        <v>1</v>
      </c>
      <c r="H747">
        <f>northwind_order_details[[#This Row],[unit_price]]*northwind_order_details[[#This Row],[quantity]]</f>
        <v>265</v>
      </c>
      <c r="I747" s="1">
        <f>northwind_order_details[[#This Row],[purchase amount]]*northwind_order_details[[#This Row],[discount]]</f>
        <v>0</v>
      </c>
      <c r="J747" s="1">
        <f>northwind_order_details[[#This Row],[purchase amount]]-northwind_order_details[[#This Row],[discount amount]]</f>
        <v>265</v>
      </c>
      <c r="K747" s="6" t="str">
        <f>IF(northwind_order_details[[#This Row],[discount amount]]&gt;0,"Yes","No")</f>
        <v>No</v>
      </c>
      <c r="L747" s="1" t="str">
        <f>IF(northwind_order_details[[#This Row],[Revenue]]&gt;1000,"High",IF(northwind_order_details[[#This Row],[Revenue]]&gt;300,"Medium","Low"))</f>
        <v>Low</v>
      </c>
      <c r="M7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48" spans="1:13" x14ac:dyDescent="0.25">
      <c r="A748">
        <v>10537</v>
      </c>
      <c r="B748">
        <v>72</v>
      </c>
      <c r="C748" s="6">
        <v>34.799999999999997</v>
      </c>
      <c r="D748">
        <v>21</v>
      </c>
      <c r="E748" s="6" t="s">
        <v>6</v>
      </c>
      <c r="F748" t="str">
        <f>_xlfn.XLOOKUP(northwind_order_details[[#This Row],[order_id]],northwind_orders[order_id],northwind_orders[ship_country])</f>
        <v>Switzerland</v>
      </c>
      <c r="G748">
        <f>INDEX(northwind_orders[],MATCH(northwind_order_details[[#This Row],[order_id]], northwind_orders[order_id], 0), MATCH("employee_id", northwind_orders[#Headers], 0))</f>
        <v>1</v>
      </c>
      <c r="H748">
        <f>northwind_order_details[[#This Row],[unit_price]]*northwind_order_details[[#This Row],[quantity]]</f>
        <v>730.8</v>
      </c>
      <c r="I748" s="1">
        <f>northwind_order_details[[#This Row],[purchase amount]]*northwind_order_details[[#This Row],[discount]]</f>
        <v>0</v>
      </c>
      <c r="J748" s="1">
        <f>northwind_order_details[[#This Row],[purchase amount]]-northwind_order_details[[#This Row],[discount amount]]</f>
        <v>730.8</v>
      </c>
      <c r="K748" s="6" t="str">
        <f>IF(northwind_order_details[[#This Row],[discount amount]]&gt;0,"Yes","No")</f>
        <v>No</v>
      </c>
      <c r="L748" s="1" t="str">
        <f>IF(northwind_order_details[[#This Row],[Revenue]]&gt;1000,"High",IF(northwind_order_details[[#This Row],[Revenue]]&gt;300,"Medium","Low"))</f>
        <v>Medium</v>
      </c>
      <c r="M74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49" spans="1:13" x14ac:dyDescent="0.25">
      <c r="A749">
        <v>10537</v>
      </c>
      <c r="B749">
        <v>73</v>
      </c>
      <c r="C749" s="6" t="s">
        <v>21</v>
      </c>
      <c r="D749">
        <v>9</v>
      </c>
      <c r="E749" s="6" t="s">
        <v>6</v>
      </c>
      <c r="F749" t="str">
        <f>_xlfn.XLOOKUP(northwind_order_details[[#This Row],[order_id]],northwind_orders[order_id],northwind_orders[ship_country])</f>
        <v>Switzerland</v>
      </c>
      <c r="G749">
        <f>INDEX(northwind_orders[],MATCH(northwind_order_details[[#This Row],[order_id]], northwind_orders[order_id], 0), MATCH("employee_id", northwind_orders[#Headers], 0))</f>
        <v>1</v>
      </c>
      <c r="H749">
        <f>northwind_order_details[[#This Row],[unit_price]]*northwind_order_details[[#This Row],[quantity]]</f>
        <v>135</v>
      </c>
      <c r="I749" s="1">
        <f>northwind_order_details[[#This Row],[purchase amount]]*northwind_order_details[[#This Row],[discount]]</f>
        <v>0</v>
      </c>
      <c r="J749" s="1">
        <f>northwind_order_details[[#This Row],[purchase amount]]-northwind_order_details[[#This Row],[discount amount]]</f>
        <v>135</v>
      </c>
      <c r="K749" s="6" t="str">
        <f>IF(northwind_order_details[[#This Row],[discount amount]]&gt;0,"Yes","No")</f>
        <v>No</v>
      </c>
      <c r="L749" s="1" t="str">
        <f>IF(northwind_order_details[[#This Row],[Revenue]]&gt;1000,"High",IF(northwind_order_details[[#This Row],[Revenue]]&gt;300,"Medium","Low"))</f>
        <v>Low</v>
      </c>
      <c r="M7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0" spans="1:13" x14ac:dyDescent="0.25">
      <c r="A750">
        <v>10538</v>
      </c>
      <c r="B750">
        <v>70</v>
      </c>
      <c r="C750" s="6" t="s">
        <v>21</v>
      </c>
      <c r="D750">
        <v>7</v>
      </c>
      <c r="E750" s="6" t="s">
        <v>6</v>
      </c>
      <c r="F750" t="str">
        <f>_xlfn.XLOOKUP(northwind_order_details[[#This Row],[order_id]],northwind_orders[order_id],northwind_orders[ship_country])</f>
        <v>UK</v>
      </c>
      <c r="G750">
        <f>INDEX(northwind_orders[],MATCH(northwind_order_details[[#This Row],[order_id]], northwind_orders[order_id], 0), MATCH("employee_id", northwind_orders[#Headers], 0))</f>
        <v>9</v>
      </c>
      <c r="H750">
        <f>northwind_order_details[[#This Row],[unit_price]]*northwind_order_details[[#This Row],[quantity]]</f>
        <v>105</v>
      </c>
      <c r="I750" s="1">
        <f>northwind_order_details[[#This Row],[purchase amount]]*northwind_order_details[[#This Row],[discount]]</f>
        <v>0</v>
      </c>
      <c r="J750" s="1">
        <f>northwind_order_details[[#This Row],[purchase amount]]-northwind_order_details[[#This Row],[discount amount]]</f>
        <v>105</v>
      </c>
      <c r="K750" s="6" t="str">
        <f>IF(northwind_order_details[[#This Row],[discount amount]]&gt;0,"Yes","No")</f>
        <v>No</v>
      </c>
      <c r="L750" s="1" t="str">
        <f>IF(northwind_order_details[[#This Row],[Revenue]]&gt;1000,"High",IF(northwind_order_details[[#This Row],[Revenue]]&gt;300,"Medium","Low"))</f>
        <v>Low</v>
      </c>
      <c r="M7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1" spans="1:13" x14ac:dyDescent="0.25">
      <c r="A751">
        <v>10538</v>
      </c>
      <c r="B751">
        <v>72</v>
      </c>
      <c r="C751" s="6">
        <v>34.799999999999997</v>
      </c>
      <c r="D751">
        <v>1</v>
      </c>
      <c r="E751" s="6" t="s">
        <v>6</v>
      </c>
      <c r="F751" t="str">
        <f>_xlfn.XLOOKUP(northwind_order_details[[#This Row],[order_id]],northwind_orders[order_id],northwind_orders[ship_country])</f>
        <v>UK</v>
      </c>
      <c r="G751">
        <f>INDEX(northwind_orders[],MATCH(northwind_order_details[[#This Row],[order_id]], northwind_orders[order_id], 0), MATCH("employee_id", northwind_orders[#Headers], 0))</f>
        <v>9</v>
      </c>
      <c r="H751">
        <f>northwind_order_details[[#This Row],[unit_price]]*northwind_order_details[[#This Row],[quantity]]</f>
        <v>34.799999999999997</v>
      </c>
      <c r="I751" s="1">
        <f>northwind_order_details[[#This Row],[purchase amount]]*northwind_order_details[[#This Row],[discount]]</f>
        <v>0</v>
      </c>
      <c r="J751" s="1">
        <f>northwind_order_details[[#This Row],[purchase amount]]-northwind_order_details[[#This Row],[discount amount]]</f>
        <v>34.799999999999997</v>
      </c>
      <c r="K751" s="6" t="str">
        <f>IF(northwind_order_details[[#This Row],[discount amount]]&gt;0,"Yes","No")</f>
        <v>No</v>
      </c>
      <c r="L751" s="1" t="str">
        <f>IF(northwind_order_details[[#This Row],[Revenue]]&gt;1000,"High",IF(northwind_order_details[[#This Row],[Revenue]]&gt;300,"Medium","Low"))</f>
        <v>Low</v>
      </c>
      <c r="M7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52" spans="1:13" x14ac:dyDescent="0.25">
      <c r="A752">
        <v>10539</v>
      </c>
      <c r="B752">
        <v>13</v>
      </c>
      <c r="C752" s="6" t="s">
        <v>23</v>
      </c>
      <c r="D752">
        <v>8</v>
      </c>
      <c r="E752" s="6" t="s">
        <v>6</v>
      </c>
      <c r="F752" t="str">
        <f>_xlfn.XLOOKUP(northwind_order_details[[#This Row],[order_id]],northwind_orders[order_id],northwind_orders[ship_country])</f>
        <v>UK</v>
      </c>
      <c r="G752">
        <f>INDEX(northwind_orders[],MATCH(northwind_order_details[[#This Row],[order_id]], northwind_orders[order_id], 0), MATCH("employee_id", northwind_orders[#Headers], 0))</f>
        <v>6</v>
      </c>
      <c r="H752">
        <f>northwind_order_details[[#This Row],[unit_price]]*northwind_order_details[[#This Row],[quantity]]</f>
        <v>48</v>
      </c>
      <c r="I752" s="1">
        <f>northwind_order_details[[#This Row],[purchase amount]]*northwind_order_details[[#This Row],[discount]]</f>
        <v>0</v>
      </c>
      <c r="J752" s="1">
        <f>northwind_order_details[[#This Row],[purchase amount]]-northwind_order_details[[#This Row],[discount amount]]</f>
        <v>48</v>
      </c>
      <c r="K752" s="6" t="str">
        <f>IF(northwind_order_details[[#This Row],[discount amount]]&gt;0,"Yes","No")</f>
        <v>No</v>
      </c>
      <c r="L752" s="1" t="str">
        <f>IF(northwind_order_details[[#This Row],[Revenue]]&gt;1000,"High",IF(northwind_order_details[[#This Row],[Revenue]]&gt;300,"Medium","Low"))</f>
        <v>Low</v>
      </c>
      <c r="M7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3" spans="1:13" x14ac:dyDescent="0.25">
      <c r="A753">
        <v>10539</v>
      </c>
      <c r="B753">
        <v>21</v>
      </c>
      <c r="C753" s="6" t="s">
        <v>8</v>
      </c>
      <c r="D753">
        <v>15</v>
      </c>
      <c r="E753" s="6" t="s">
        <v>6</v>
      </c>
      <c r="F753" t="str">
        <f>_xlfn.XLOOKUP(northwind_order_details[[#This Row],[order_id]],northwind_orders[order_id],northwind_orders[ship_country])</f>
        <v>UK</v>
      </c>
      <c r="G753">
        <f>INDEX(northwind_orders[],MATCH(northwind_order_details[[#This Row],[order_id]], northwind_orders[order_id], 0), MATCH("employee_id", northwind_orders[#Headers], 0))</f>
        <v>6</v>
      </c>
      <c r="H753">
        <f>northwind_order_details[[#This Row],[unit_price]]*northwind_order_details[[#This Row],[quantity]]</f>
        <v>150</v>
      </c>
      <c r="I753" s="1">
        <f>northwind_order_details[[#This Row],[purchase amount]]*northwind_order_details[[#This Row],[discount]]</f>
        <v>0</v>
      </c>
      <c r="J753" s="1">
        <f>northwind_order_details[[#This Row],[purchase amount]]-northwind_order_details[[#This Row],[discount amount]]</f>
        <v>150</v>
      </c>
      <c r="K753" s="6" t="str">
        <f>IF(northwind_order_details[[#This Row],[discount amount]]&gt;0,"Yes","No")</f>
        <v>No</v>
      </c>
      <c r="L753" s="1" t="str">
        <f>IF(northwind_order_details[[#This Row],[Revenue]]&gt;1000,"High",IF(northwind_order_details[[#This Row],[Revenue]]&gt;300,"Medium","Low"))</f>
        <v>Low</v>
      </c>
      <c r="M7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4" spans="1:13" x14ac:dyDescent="0.25">
      <c r="A754">
        <v>10539</v>
      </c>
      <c r="B754">
        <v>33</v>
      </c>
      <c r="C754" s="6">
        <v>2.5</v>
      </c>
      <c r="D754">
        <v>15</v>
      </c>
      <c r="E754" s="6" t="s">
        <v>6</v>
      </c>
      <c r="F754" t="str">
        <f>_xlfn.XLOOKUP(northwind_order_details[[#This Row],[order_id]],northwind_orders[order_id],northwind_orders[ship_country])</f>
        <v>UK</v>
      </c>
      <c r="G754">
        <f>INDEX(northwind_orders[],MATCH(northwind_order_details[[#This Row],[order_id]], northwind_orders[order_id], 0), MATCH("employee_id", northwind_orders[#Headers], 0))</f>
        <v>6</v>
      </c>
      <c r="H754">
        <f>northwind_order_details[[#This Row],[unit_price]]*northwind_order_details[[#This Row],[quantity]]</f>
        <v>37.5</v>
      </c>
      <c r="I754" s="1">
        <f>northwind_order_details[[#This Row],[purchase amount]]*northwind_order_details[[#This Row],[discount]]</f>
        <v>0</v>
      </c>
      <c r="J754" s="1">
        <f>northwind_order_details[[#This Row],[purchase amount]]-northwind_order_details[[#This Row],[discount amount]]</f>
        <v>37.5</v>
      </c>
      <c r="K754" s="6" t="str">
        <f>IF(northwind_order_details[[#This Row],[discount amount]]&gt;0,"Yes","No")</f>
        <v>No</v>
      </c>
      <c r="L754" s="1" t="str">
        <f>IF(northwind_order_details[[#This Row],[Revenue]]&gt;1000,"High",IF(northwind_order_details[[#This Row],[Revenue]]&gt;300,"Medium","Low"))</f>
        <v>Low</v>
      </c>
      <c r="M75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55" spans="1:13" x14ac:dyDescent="0.25">
      <c r="A755">
        <v>10539</v>
      </c>
      <c r="B755">
        <v>49</v>
      </c>
      <c r="C755" s="6" t="s">
        <v>17</v>
      </c>
      <c r="D755">
        <v>6</v>
      </c>
      <c r="E755" s="6" t="s">
        <v>6</v>
      </c>
      <c r="F755" t="str">
        <f>_xlfn.XLOOKUP(northwind_order_details[[#This Row],[order_id]],northwind_orders[order_id],northwind_orders[ship_country])</f>
        <v>UK</v>
      </c>
      <c r="G755">
        <f>INDEX(northwind_orders[],MATCH(northwind_order_details[[#This Row],[order_id]], northwind_orders[order_id], 0), MATCH("employee_id", northwind_orders[#Headers], 0))</f>
        <v>6</v>
      </c>
      <c r="H755">
        <f>northwind_order_details[[#This Row],[unit_price]]*northwind_order_details[[#This Row],[quantity]]</f>
        <v>120</v>
      </c>
      <c r="I755" s="1">
        <f>northwind_order_details[[#This Row],[purchase amount]]*northwind_order_details[[#This Row],[discount]]</f>
        <v>0</v>
      </c>
      <c r="J755" s="1">
        <f>northwind_order_details[[#This Row],[purchase amount]]-northwind_order_details[[#This Row],[discount amount]]</f>
        <v>120</v>
      </c>
      <c r="K755" s="6" t="str">
        <f>IF(northwind_order_details[[#This Row],[discount amount]]&gt;0,"Yes","No")</f>
        <v>No</v>
      </c>
      <c r="L755" s="1" t="str">
        <f>IF(northwind_order_details[[#This Row],[Revenue]]&gt;1000,"High",IF(northwind_order_details[[#This Row],[Revenue]]&gt;300,"Medium","Low"))</f>
        <v>Low</v>
      </c>
      <c r="M7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6" spans="1:13" x14ac:dyDescent="0.25">
      <c r="A756">
        <v>10540</v>
      </c>
      <c r="B756">
        <v>3</v>
      </c>
      <c r="C756" s="6" t="s">
        <v>8</v>
      </c>
      <c r="D756">
        <v>60</v>
      </c>
      <c r="E756" s="6" t="s">
        <v>6</v>
      </c>
      <c r="F756" t="str">
        <f>_xlfn.XLOOKUP(northwind_order_details[[#This Row],[order_id]],northwind_orders[order_id],northwind_orders[ship_country])</f>
        <v>Germany</v>
      </c>
      <c r="G756">
        <f>INDEX(northwind_orders[],MATCH(northwind_order_details[[#This Row],[order_id]], northwind_orders[order_id], 0), MATCH("employee_id", northwind_orders[#Headers], 0))</f>
        <v>3</v>
      </c>
      <c r="H756">
        <f>northwind_order_details[[#This Row],[unit_price]]*northwind_order_details[[#This Row],[quantity]]</f>
        <v>600</v>
      </c>
      <c r="I756" s="1">
        <f>northwind_order_details[[#This Row],[purchase amount]]*northwind_order_details[[#This Row],[discount]]</f>
        <v>0</v>
      </c>
      <c r="J756" s="1">
        <f>northwind_order_details[[#This Row],[purchase amount]]-northwind_order_details[[#This Row],[discount amount]]</f>
        <v>600</v>
      </c>
      <c r="K756" s="6" t="str">
        <f>IF(northwind_order_details[[#This Row],[discount amount]]&gt;0,"Yes","No")</f>
        <v>No</v>
      </c>
      <c r="L756" s="1" t="str">
        <f>IF(northwind_order_details[[#This Row],[Revenue]]&gt;1000,"High",IF(northwind_order_details[[#This Row],[Revenue]]&gt;300,"Medium","Low"))</f>
        <v>Medium</v>
      </c>
      <c r="M7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57" spans="1:13" x14ac:dyDescent="0.25">
      <c r="A757">
        <v>10540</v>
      </c>
      <c r="B757">
        <v>26</v>
      </c>
      <c r="C757" s="6">
        <v>31.23</v>
      </c>
      <c r="D757">
        <v>40</v>
      </c>
      <c r="E757" s="6" t="s">
        <v>6</v>
      </c>
      <c r="F757" t="str">
        <f>_xlfn.XLOOKUP(northwind_order_details[[#This Row],[order_id]],northwind_orders[order_id],northwind_orders[ship_country])</f>
        <v>Germany</v>
      </c>
      <c r="G757">
        <f>INDEX(northwind_orders[],MATCH(northwind_order_details[[#This Row],[order_id]], northwind_orders[order_id], 0), MATCH("employee_id", northwind_orders[#Headers], 0))</f>
        <v>3</v>
      </c>
      <c r="H757">
        <f>northwind_order_details[[#This Row],[unit_price]]*northwind_order_details[[#This Row],[quantity]]</f>
        <v>1249.2</v>
      </c>
      <c r="I757" s="1">
        <f>northwind_order_details[[#This Row],[purchase amount]]*northwind_order_details[[#This Row],[discount]]</f>
        <v>0</v>
      </c>
      <c r="J757" s="1">
        <f>northwind_order_details[[#This Row],[purchase amount]]-northwind_order_details[[#This Row],[discount amount]]</f>
        <v>1249.2</v>
      </c>
      <c r="K757" s="6" t="str">
        <f>IF(northwind_order_details[[#This Row],[discount amount]]&gt;0,"Yes","No")</f>
        <v>No</v>
      </c>
      <c r="L757" s="1" t="str">
        <f>IF(northwind_order_details[[#This Row],[Revenue]]&gt;1000,"High",IF(northwind_order_details[[#This Row],[Revenue]]&gt;300,"Medium","Low"))</f>
        <v>High</v>
      </c>
      <c r="M75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58" spans="1:13" x14ac:dyDescent="0.25">
      <c r="A758">
        <v>10540</v>
      </c>
      <c r="B758">
        <v>38</v>
      </c>
      <c r="C758" s="6">
        <v>263.5</v>
      </c>
      <c r="D758">
        <v>30</v>
      </c>
      <c r="E758" s="6" t="s">
        <v>6</v>
      </c>
      <c r="F758" t="str">
        <f>_xlfn.XLOOKUP(northwind_order_details[[#This Row],[order_id]],northwind_orders[order_id],northwind_orders[ship_country])</f>
        <v>Germany</v>
      </c>
      <c r="G758">
        <f>INDEX(northwind_orders[],MATCH(northwind_order_details[[#This Row],[order_id]], northwind_orders[order_id], 0), MATCH("employee_id", northwind_orders[#Headers], 0))</f>
        <v>3</v>
      </c>
      <c r="H758">
        <f>northwind_order_details[[#This Row],[unit_price]]*northwind_order_details[[#This Row],[quantity]]</f>
        <v>7905</v>
      </c>
      <c r="I758" s="1">
        <f>northwind_order_details[[#This Row],[purchase amount]]*northwind_order_details[[#This Row],[discount]]</f>
        <v>0</v>
      </c>
      <c r="J758" s="1">
        <f>northwind_order_details[[#This Row],[purchase amount]]-northwind_order_details[[#This Row],[discount amount]]</f>
        <v>7905</v>
      </c>
      <c r="K758" s="6" t="str">
        <f>IF(northwind_order_details[[#This Row],[discount amount]]&gt;0,"Yes","No")</f>
        <v>No</v>
      </c>
      <c r="L758" s="1" t="str">
        <f>IF(northwind_order_details[[#This Row],[Revenue]]&gt;1000,"High",IF(northwind_order_details[[#This Row],[Revenue]]&gt;300,"Medium","Low"))</f>
        <v>High</v>
      </c>
      <c r="M75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59" spans="1:13" x14ac:dyDescent="0.25">
      <c r="A759">
        <v>10540</v>
      </c>
      <c r="B759">
        <v>68</v>
      </c>
      <c r="C759" s="6">
        <v>12.5</v>
      </c>
      <c r="D759">
        <v>35</v>
      </c>
      <c r="E759" s="6" t="s">
        <v>6</v>
      </c>
      <c r="F759" t="str">
        <f>_xlfn.XLOOKUP(northwind_order_details[[#This Row],[order_id]],northwind_orders[order_id],northwind_orders[ship_country])</f>
        <v>Germany</v>
      </c>
      <c r="G759">
        <f>INDEX(northwind_orders[],MATCH(northwind_order_details[[#This Row],[order_id]], northwind_orders[order_id], 0), MATCH("employee_id", northwind_orders[#Headers], 0))</f>
        <v>3</v>
      </c>
      <c r="H759">
        <f>northwind_order_details[[#This Row],[unit_price]]*northwind_order_details[[#This Row],[quantity]]</f>
        <v>437.5</v>
      </c>
      <c r="I759" s="1">
        <f>northwind_order_details[[#This Row],[purchase amount]]*northwind_order_details[[#This Row],[discount]]</f>
        <v>0</v>
      </c>
      <c r="J759" s="1">
        <f>northwind_order_details[[#This Row],[purchase amount]]-northwind_order_details[[#This Row],[discount amount]]</f>
        <v>437.5</v>
      </c>
      <c r="K759" s="6" t="str">
        <f>IF(northwind_order_details[[#This Row],[discount amount]]&gt;0,"Yes","No")</f>
        <v>No</v>
      </c>
      <c r="L759" s="1" t="str">
        <f>IF(northwind_order_details[[#This Row],[Revenue]]&gt;1000,"High",IF(northwind_order_details[[#This Row],[Revenue]]&gt;300,"Medium","Low"))</f>
        <v>Medium</v>
      </c>
      <c r="M7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0" spans="1:13" x14ac:dyDescent="0.25">
      <c r="A760">
        <v>10541</v>
      </c>
      <c r="B760">
        <v>24</v>
      </c>
      <c r="C760" s="6">
        <v>4.5</v>
      </c>
      <c r="D760">
        <v>35</v>
      </c>
      <c r="E760" s="6">
        <v>0.1</v>
      </c>
      <c r="F760" t="str">
        <f>_xlfn.XLOOKUP(northwind_order_details[[#This Row],[order_id]],northwind_orders[order_id],northwind_orders[ship_country])</f>
        <v>Brazil</v>
      </c>
      <c r="G760">
        <f>INDEX(northwind_orders[],MATCH(northwind_order_details[[#This Row],[order_id]], northwind_orders[order_id], 0), MATCH("employee_id", northwind_orders[#Headers], 0))</f>
        <v>2</v>
      </c>
      <c r="H760">
        <f>northwind_order_details[[#This Row],[unit_price]]*northwind_order_details[[#This Row],[quantity]]</f>
        <v>157.5</v>
      </c>
      <c r="I760" s="1">
        <f>northwind_order_details[[#This Row],[purchase amount]]*northwind_order_details[[#This Row],[discount]]</f>
        <v>15.75</v>
      </c>
      <c r="J760" s="1">
        <f>northwind_order_details[[#This Row],[purchase amount]]-northwind_order_details[[#This Row],[discount amount]]</f>
        <v>141.75</v>
      </c>
      <c r="K760" s="6" t="str">
        <f>IF(northwind_order_details[[#This Row],[discount amount]]&gt;0,"Yes","No")</f>
        <v>Yes</v>
      </c>
      <c r="L760" s="1" t="str">
        <f>IF(northwind_order_details[[#This Row],[Revenue]]&gt;1000,"High",IF(northwind_order_details[[#This Row],[Revenue]]&gt;300,"Medium","Low"))</f>
        <v>Low</v>
      </c>
      <c r="M76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1" spans="1:13" x14ac:dyDescent="0.25">
      <c r="A761">
        <v>10541</v>
      </c>
      <c r="B761">
        <v>38</v>
      </c>
      <c r="C761" s="6">
        <v>263.5</v>
      </c>
      <c r="D761">
        <v>4</v>
      </c>
      <c r="E761" s="6">
        <v>0.1</v>
      </c>
      <c r="F761" t="str">
        <f>_xlfn.XLOOKUP(northwind_order_details[[#This Row],[order_id]],northwind_orders[order_id],northwind_orders[ship_country])</f>
        <v>Brazil</v>
      </c>
      <c r="G761">
        <f>INDEX(northwind_orders[],MATCH(northwind_order_details[[#This Row],[order_id]], northwind_orders[order_id], 0), MATCH("employee_id", northwind_orders[#Headers], 0))</f>
        <v>2</v>
      </c>
      <c r="H761">
        <f>northwind_order_details[[#This Row],[unit_price]]*northwind_order_details[[#This Row],[quantity]]</f>
        <v>1054</v>
      </c>
      <c r="I761" s="1">
        <f>northwind_order_details[[#This Row],[purchase amount]]*northwind_order_details[[#This Row],[discount]]</f>
        <v>105.4</v>
      </c>
      <c r="J761" s="1">
        <f>northwind_order_details[[#This Row],[purchase amount]]-northwind_order_details[[#This Row],[discount amount]]</f>
        <v>948.6</v>
      </c>
      <c r="K761" s="6" t="str">
        <f>IF(northwind_order_details[[#This Row],[discount amount]]&gt;0,"Yes","No")</f>
        <v>Yes</v>
      </c>
      <c r="L761" s="1" t="str">
        <f>IF(northwind_order_details[[#This Row],[Revenue]]&gt;1000,"High",IF(northwind_order_details[[#This Row],[Revenue]]&gt;300,"Medium","Low"))</f>
        <v>Medium</v>
      </c>
      <c r="M7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2" spans="1:13" x14ac:dyDescent="0.25">
      <c r="A762">
        <v>10541</v>
      </c>
      <c r="B762">
        <v>65</v>
      </c>
      <c r="C762" s="6">
        <v>21.05</v>
      </c>
      <c r="D762">
        <v>36</v>
      </c>
      <c r="E762" s="6">
        <v>0.1</v>
      </c>
      <c r="F762" t="str">
        <f>_xlfn.XLOOKUP(northwind_order_details[[#This Row],[order_id]],northwind_orders[order_id],northwind_orders[ship_country])</f>
        <v>Brazil</v>
      </c>
      <c r="G762">
        <f>INDEX(northwind_orders[],MATCH(northwind_order_details[[#This Row],[order_id]], northwind_orders[order_id], 0), MATCH("employee_id", northwind_orders[#Headers], 0))</f>
        <v>2</v>
      </c>
      <c r="H762">
        <f>northwind_order_details[[#This Row],[unit_price]]*northwind_order_details[[#This Row],[quantity]]</f>
        <v>757.80000000000007</v>
      </c>
      <c r="I762" s="1">
        <f>northwind_order_details[[#This Row],[purchase amount]]*northwind_order_details[[#This Row],[discount]]</f>
        <v>75.780000000000015</v>
      </c>
      <c r="J762" s="1">
        <f>northwind_order_details[[#This Row],[purchase amount]]-northwind_order_details[[#This Row],[discount amount]]</f>
        <v>682.0200000000001</v>
      </c>
      <c r="K762" s="6" t="str">
        <f>IF(northwind_order_details[[#This Row],[discount amount]]&gt;0,"Yes","No")</f>
        <v>Yes</v>
      </c>
      <c r="L762" s="1" t="str">
        <f>IF(northwind_order_details[[#This Row],[Revenue]]&gt;1000,"High",IF(northwind_order_details[[#This Row],[Revenue]]&gt;300,"Medium","Low"))</f>
        <v>Medium</v>
      </c>
      <c r="M7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3" spans="1:13" x14ac:dyDescent="0.25">
      <c r="A763">
        <v>10541</v>
      </c>
      <c r="B763">
        <v>71</v>
      </c>
      <c r="C763" s="6">
        <v>21.5</v>
      </c>
      <c r="D763">
        <v>9</v>
      </c>
      <c r="E763" s="6">
        <v>0.1</v>
      </c>
      <c r="F763" t="str">
        <f>_xlfn.XLOOKUP(northwind_order_details[[#This Row],[order_id]],northwind_orders[order_id],northwind_orders[ship_country])</f>
        <v>Brazil</v>
      </c>
      <c r="G763">
        <f>INDEX(northwind_orders[],MATCH(northwind_order_details[[#This Row],[order_id]], northwind_orders[order_id], 0), MATCH("employee_id", northwind_orders[#Headers], 0))</f>
        <v>2</v>
      </c>
      <c r="H763">
        <f>northwind_order_details[[#This Row],[unit_price]]*northwind_order_details[[#This Row],[quantity]]</f>
        <v>193.5</v>
      </c>
      <c r="I763" s="1">
        <f>northwind_order_details[[#This Row],[purchase amount]]*northwind_order_details[[#This Row],[discount]]</f>
        <v>19.350000000000001</v>
      </c>
      <c r="J763" s="1">
        <f>northwind_order_details[[#This Row],[purchase amount]]-northwind_order_details[[#This Row],[discount amount]]</f>
        <v>174.15</v>
      </c>
      <c r="K763" s="6" t="str">
        <f>IF(northwind_order_details[[#This Row],[discount amount]]&gt;0,"Yes","No")</f>
        <v>Yes</v>
      </c>
      <c r="L763" s="1" t="str">
        <f>IF(northwind_order_details[[#This Row],[Revenue]]&gt;1000,"High",IF(northwind_order_details[[#This Row],[Revenue]]&gt;300,"Medium","Low"))</f>
        <v>Low</v>
      </c>
      <c r="M7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4" spans="1:13" x14ac:dyDescent="0.25">
      <c r="A764">
        <v>10542</v>
      </c>
      <c r="B764">
        <v>11</v>
      </c>
      <c r="C764" s="6" t="s">
        <v>37</v>
      </c>
      <c r="D764">
        <v>15</v>
      </c>
      <c r="E764" s="6">
        <v>0.05</v>
      </c>
      <c r="F764" t="str">
        <f>_xlfn.XLOOKUP(northwind_order_details[[#This Row],[order_id]],northwind_orders[order_id],northwind_orders[ship_country])</f>
        <v>Germany</v>
      </c>
      <c r="G764">
        <f>INDEX(northwind_orders[],MATCH(northwind_order_details[[#This Row],[order_id]], northwind_orders[order_id], 0), MATCH("employee_id", northwind_orders[#Headers], 0))</f>
        <v>1</v>
      </c>
      <c r="H764">
        <f>northwind_order_details[[#This Row],[unit_price]]*northwind_order_details[[#This Row],[quantity]]</f>
        <v>315</v>
      </c>
      <c r="I764" s="1">
        <f>northwind_order_details[[#This Row],[purchase amount]]*northwind_order_details[[#This Row],[discount]]</f>
        <v>15.75</v>
      </c>
      <c r="J764" s="1">
        <f>northwind_order_details[[#This Row],[purchase amount]]-northwind_order_details[[#This Row],[discount amount]]</f>
        <v>299.25</v>
      </c>
      <c r="K764" s="6" t="str">
        <f>IF(northwind_order_details[[#This Row],[discount amount]]&gt;0,"Yes","No")</f>
        <v>Yes</v>
      </c>
      <c r="L764" s="1" t="str">
        <f>IF(northwind_order_details[[#This Row],[Revenue]]&gt;1000,"High",IF(northwind_order_details[[#This Row],[Revenue]]&gt;300,"Medium","Low"))</f>
        <v>Low</v>
      </c>
      <c r="M7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65" spans="1:13" x14ac:dyDescent="0.25">
      <c r="A765">
        <v>10542</v>
      </c>
      <c r="B765">
        <v>54</v>
      </c>
      <c r="C765" s="6">
        <v>7.45</v>
      </c>
      <c r="D765">
        <v>24</v>
      </c>
      <c r="E765" s="6">
        <v>0.05</v>
      </c>
      <c r="F765" t="str">
        <f>_xlfn.XLOOKUP(northwind_order_details[[#This Row],[order_id]],northwind_orders[order_id],northwind_orders[ship_country])</f>
        <v>Germany</v>
      </c>
      <c r="G765">
        <f>INDEX(northwind_orders[],MATCH(northwind_order_details[[#This Row],[order_id]], northwind_orders[order_id], 0), MATCH("employee_id", northwind_orders[#Headers], 0))</f>
        <v>1</v>
      </c>
      <c r="H765">
        <f>northwind_order_details[[#This Row],[unit_price]]*northwind_order_details[[#This Row],[quantity]]</f>
        <v>178.8</v>
      </c>
      <c r="I765" s="1">
        <f>northwind_order_details[[#This Row],[purchase amount]]*northwind_order_details[[#This Row],[discount]]</f>
        <v>8.9400000000000013</v>
      </c>
      <c r="J765" s="1">
        <f>northwind_order_details[[#This Row],[purchase amount]]-northwind_order_details[[#This Row],[discount amount]]</f>
        <v>169.86</v>
      </c>
      <c r="K765" s="6" t="str">
        <f>IF(northwind_order_details[[#This Row],[discount amount]]&gt;0,"Yes","No")</f>
        <v>Yes</v>
      </c>
      <c r="L765" s="1" t="str">
        <f>IF(northwind_order_details[[#This Row],[Revenue]]&gt;1000,"High",IF(northwind_order_details[[#This Row],[Revenue]]&gt;300,"Medium","Low"))</f>
        <v>Low</v>
      </c>
      <c r="M7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6" spans="1:13" x14ac:dyDescent="0.25">
      <c r="A766">
        <v>10543</v>
      </c>
      <c r="B766">
        <v>12</v>
      </c>
      <c r="C766" s="6" t="s">
        <v>30</v>
      </c>
      <c r="D766">
        <v>30</v>
      </c>
      <c r="E766" s="6">
        <v>0.15</v>
      </c>
      <c r="F766" t="str">
        <f>_xlfn.XLOOKUP(northwind_order_details[[#This Row],[order_id]],northwind_orders[order_id],northwind_orders[ship_country])</f>
        <v>Venezuela</v>
      </c>
      <c r="G766">
        <f>INDEX(northwind_orders[],MATCH(northwind_order_details[[#This Row],[order_id]], northwind_orders[order_id], 0), MATCH("employee_id", northwind_orders[#Headers], 0))</f>
        <v>8</v>
      </c>
      <c r="H766">
        <f>northwind_order_details[[#This Row],[unit_price]]*northwind_order_details[[#This Row],[quantity]]</f>
        <v>1140</v>
      </c>
      <c r="I766" s="1">
        <f>northwind_order_details[[#This Row],[purchase amount]]*northwind_order_details[[#This Row],[discount]]</f>
        <v>171</v>
      </c>
      <c r="J766" s="1">
        <f>northwind_order_details[[#This Row],[purchase amount]]-northwind_order_details[[#This Row],[discount amount]]</f>
        <v>969</v>
      </c>
      <c r="K766" s="6" t="str">
        <f>IF(northwind_order_details[[#This Row],[discount amount]]&gt;0,"Yes","No")</f>
        <v>Yes</v>
      </c>
      <c r="L766" s="1" t="str">
        <f>IF(northwind_order_details[[#This Row],[Revenue]]&gt;1000,"High",IF(northwind_order_details[[#This Row],[Revenue]]&gt;300,"Medium","Low"))</f>
        <v>Medium</v>
      </c>
      <c r="M7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67" spans="1:13" x14ac:dyDescent="0.25">
      <c r="A767">
        <v>10543</v>
      </c>
      <c r="B767">
        <v>23</v>
      </c>
      <c r="C767" s="6" t="s">
        <v>40</v>
      </c>
      <c r="D767">
        <v>70</v>
      </c>
      <c r="E767" s="6">
        <v>0.15</v>
      </c>
      <c r="F767" t="str">
        <f>_xlfn.XLOOKUP(northwind_order_details[[#This Row],[order_id]],northwind_orders[order_id],northwind_orders[ship_country])</f>
        <v>Venezuela</v>
      </c>
      <c r="G767">
        <f>INDEX(northwind_orders[],MATCH(northwind_order_details[[#This Row],[order_id]], northwind_orders[order_id], 0), MATCH("employee_id", northwind_orders[#Headers], 0))</f>
        <v>8</v>
      </c>
      <c r="H767">
        <f>northwind_order_details[[#This Row],[unit_price]]*northwind_order_details[[#This Row],[quantity]]</f>
        <v>630</v>
      </c>
      <c r="I767" s="1">
        <f>northwind_order_details[[#This Row],[purchase amount]]*northwind_order_details[[#This Row],[discount]]</f>
        <v>94.5</v>
      </c>
      <c r="J767" s="1">
        <f>northwind_order_details[[#This Row],[purchase amount]]-northwind_order_details[[#This Row],[discount amount]]</f>
        <v>535.5</v>
      </c>
      <c r="K767" s="6" t="str">
        <f>IF(northwind_order_details[[#This Row],[discount amount]]&gt;0,"Yes","No")</f>
        <v>Yes</v>
      </c>
      <c r="L767" s="1" t="str">
        <f>IF(northwind_order_details[[#This Row],[Revenue]]&gt;1000,"High",IF(northwind_order_details[[#This Row],[Revenue]]&gt;300,"Medium","Low"))</f>
        <v>Medium</v>
      </c>
      <c r="M7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68" spans="1:13" x14ac:dyDescent="0.25">
      <c r="A768">
        <v>10544</v>
      </c>
      <c r="B768">
        <v>28</v>
      </c>
      <c r="C768" s="6">
        <v>45.6</v>
      </c>
      <c r="D768">
        <v>7</v>
      </c>
      <c r="E768" s="6" t="s">
        <v>6</v>
      </c>
      <c r="F768" t="str">
        <f>_xlfn.XLOOKUP(northwind_order_details[[#This Row],[order_id]],northwind_orders[order_id],northwind_orders[ship_country])</f>
        <v>USA</v>
      </c>
      <c r="G768">
        <f>INDEX(northwind_orders[],MATCH(northwind_order_details[[#This Row],[order_id]], northwind_orders[order_id], 0), MATCH("employee_id", northwind_orders[#Headers], 0))</f>
        <v>4</v>
      </c>
      <c r="H768">
        <f>northwind_order_details[[#This Row],[unit_price]]*northwind_order_details[[#This Row],[quantity]]</f>
        <v>319.2</v>
      </c>
      <c r="I768" s="1">
        <f>northwind_order_details[[#This Row],[purchase amount]]*northwind_order_details[[#This Row],[discount]]</f>
        <v>0</v>
      </c>
      <c r="J768" s="1">
        <f>northwind_order_details[[#This Row],[purchase amount]]-northwind_order_details[[#This Row],[discount amount]]</f>
        <v>319.2</v>
      </c>
      <c r="K768" s="6" t="str">
        <f>IF(northwind_order_details[[#This Row],[discount amount]]&gt;0,"Yes","No")</f>
        <v>No</v>
      </c>
      <c r="L768" s="1" t="str">
        <f>IF(northwind_order_details[[#This Row],[Revenue]]&gt;1000,"High",IF(northwind_order_details[[#This Row],[Revenue]]&gt;300,"Medium","Low"))</f>
        <v>Medium</v>
      </c>
      <c r="M7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69" spans="1:13" x14ac:dyDescent="0.25">
      <c r="A769">
        <v>10544</v>
      </c>
      <c r="B769">
        <v>67</v>
      </c>
      <c r="C769" s="6" t="s">
        <v>5</v>
      </c>
      <c r="D769">
        <v>7</v>
      </c>
      <c r="E769" s="6" t="s">
        <v>6</v>
      </c>
      <c r="F769" t="str">
        <f>_xlfn.XLOOKUP(northwind_order_details[[#This Row],[order_id]],northwind_orders[order_id],northwind_orders[ship_country])</f>
        <v>USA</v>
      </c>
      <c r="G769">
        <f>INDEX(northwind_orders[],MATCH(northwind_order_details[[#This Row],[order_id]], northwind_orders[order_id], 0), MATCH("employee_id", northwind_orders[#Headers], 0))</f>
        <v>4</v>
      </c>
      <c r="H769">
        <f>northwind_order_details[[#This Row],[unit_price]]*northwind_order_details[[#This Row],[quantity]]</f>
        <v>98</v>
      </c>
      <c r="I769" s="1">
        <f>northwind_order_details[[#This Row],[purchase amount]]*northwind_order_details[[#This Row],[discount]]</f>
        <v>0</v>
      </c>
      <c r="J769" s="1">
        <f>northwind_order_details[[#This Row],[purchase amount]]-northwind_order_details[[#This Row],[discount amount]]</f>
        <v>98</v>
      </c>
      <c r="K769" s="6" t="str">
        <f>IF(northwind_order_details[[#This Row],[discount amount]]&gt;0,"Yes","No")</f>
        <v>No</v>
      </c>
      <c r="L769" s="1" t="str">
        <f>IF(northwind_order_details[[#This Row],[Revenue]]&gt;1000,"High",IF(northwind_order_details[[#This Row],[Revenue]]&gt;300,"Medium","Low"))</f>
        <v>Low</v>
      </c>
      <c r="M7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0" spans="1:13" x14ac:dyDescent="0.25">
      <c r="A770">
        <v>10545</v>
      </c>
      <c r="B770">
        <v>11</v>
      </c>
      <c r="C770" s="6" t="s">
        <v>37</v>
      </c>
      <c r="D770">
        <v>10</v>
      </c>
      <c r="E770" s="6" t="s">
        <v>6</v>
      </c>
      <c r="F770" t="str">
        <f>_xlfn.XLOOKUP(northwind_order_details[[#This Row],[order_id]],northwind_orders[order_id],northwind_orders[ship_country])</f>
        <v>USA</v>
      </c>
      <c r="G770">
        <f>INDEX(northwind_orders[],MATCH(northwind_order_details[[#This Row],[order_id]], northwind_orders[order_id], 0), MATCH("employee_id", northwind_orders[#Headers], 0))</f>
        <v>8</v>
      </c>
      <c r="H770">
        <f>northwind_order_details[[#This Row],[unit_price]]*northwind_order_details[[#This Row],[quantity]]</f>
        <v>210</v>
      </c>
      <c r="I770" s="1">
        <f>northwind_order_details[[#This Row],[purchase amount]]*northwind_order_details[[#This Row],[discount]]</f>
        <v>0</v>
      </c>
      <c r="J770" s="1">
        <f>northwind_order_details[[#This Row],[purchase amount]]-northwind_order_details[[#This Row],[discount amount]]</f>
        <v>210</v>
      </c>
      <c r="K770" s="6" t="str">
        <f>IF(northwind_order_details[[#This Row],[discount amount]]&gt;0,"Yes","No")</f>
        <v>No</v>
      </c>
      <c r="L770" s="1" t="str">
        <f>IF(northwind_order_details[[#This Row],[Revenue]]&gt;1000,"High",IF(northwind_order_details[[#This Row],[Revenue]]&gt;300,"Medium","Low"))</f>
        <v>Low</v>
      </c>
      <c r="M7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1" spans="1:13" x14ac:dyDescent="0.25">
      <c r="A771">
        <v>10546</v>
      </c>
      <c r="B771">
        <v>7</v>
      </c>
      <c r="C771" s="6" t="s">
        <v>26</v>
      </c>
      <c r="D771">
        <v>10</v>
      </c>
      <c r="E771" s="6" t="s">
        <v>6</v>
      </c>
      <c r="F771" t="str">
        <f>_xlfn.XLOOKUP(northwind_order_details[[#This Row],[order_id]],northwind_orders[order_id],northwind_orders[ship_country])</f>
        <v>France</v>
      </c>
      <c r="G771">
        <f>INDEX(northwind_orders[],MATCH(northwind_order_details[[#This Row],[order_id]], northwind_orders[order_id], 0), MATCH("employee_id", northwind_orders[#Headers], 0))</f>
        <v>1</v>
      </c>
      <c r="H771">
        <f>northwind_order_details[[#This Row],[unit_price]]*northwind_order_details[[#This Row],[quantity]]</f>
        <v>300</v>
      </c>
      <c r="I771" s="1">
        <f>northwind_order_details[[#This Row],[purchase amount]]*northwind_order_details[[#This Row],[discount]]</f>
        <v>0</v>
      </c>
      <c r="J771" s="1">
        <f>northwind_order_details[[#This Row],[purchase amount]]-northwind_order_details[[#This Row],[discount amount]]</f>
        <v>300</v>
      </c>
      <c r="K771" s="6" t="str">
        <f>IF(northwind_order_details[[#This Row],[discount amount]]&gt;0,"Yes","No")</f>
        <v>No</v>
      </c>
      <c r="L771" s="1" t="str">
        <f>IF(northwind_order_details[[#This Row],[Revenue]]&gt;1000,"High",IF(northwind_order_details[[#This Row],[Revenue]]&gt;300,"Medium","Low"))</f>
        <v>Low</v>
      </c>
      <c r="M7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2" spans="1:13" x14ac:dyDescent="0.25">
      <c r="A772">
        <v>10546</v>
      </c>
      <c r="B772">
        <v>35</v>
      </c>
      <c r="C772" s="6" t="s">
        <v>24</v>
      </c>
      <c r="D772">
        <v>30</v>
      </c>
      <c r="E772" s="6" t="s">
        <v>6</v>
      </c>
      <c r="F772" t="str">
        <f>_xlfn.XLOOKUP(northwind_order_details[[#This Row],[order_id]],northwind_orders[order_id],northwind_orders[ship_country])</f>
        <v>France</v>
      </c>
      <c r="G772">
        <f>INDEX(northwind_orders[],MATCH(northwind_order_details[[#This Row],[order_id]], northwind_orders[order_id], 0), MATCH("employee_id", northwind_orders[#Headers], 0))</f>
        <v>1</v>
      </c>
      <c r="H772">
        <f>northwind_order_details[[#This Row],[unit_price]]*northwind_order_details[[#This Row],[quantity]]</f>
        <v>540</v>
      </c>
      <c r="I772" s="1">
        <f>northwind_order_details[[#This Row],[purchase amount]]*northwind_order_details[[#This Row],[discount]]</f>
        <v>0</v>
      </c>
      <c r="J772" s="1">
        <f>northwind_order_details[[#This Row],[purchase amount]]-northwind_order_details[[#This Row],[discount amount]]</f>
        <v>540</v>
      </c>
      <c r="K772" s="6" t="str">
        <f>IF(northwind_order_details[[#This Row],[discount amount]]&gt;0,"Yes","No")</f>
        <v>No</v>
      </c>
      <c r="L772" s="1" t="str">
        <f>IF(northwind_order_details[[#This Row],[Revenue]]&gt;1000,"High",IF(northwind_order_details[[#This Row],[Revenue]]&gt;300,"Medium","Low"))</f>
        <v>Medium</v>
      </c>
      <c r="M7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3" spans="1:13" x14ac:dyDescent="0.25">
      <c r="A773">
        <v>10546</v>
      </c>
      <c r="B773">
        <v>62</v>
      </c>
      <c r="C773" s="6">
        <v>49.3</v>
      </c>
      <c r="D773">
        <v>40</v>
      </c>
      <c r="E773" s="6" t="s">
        <v>6</v>
      </c>
      <c r="F773" t="str">
        <f>_xlfn.XLOOKUP(northwind_order_details[[#This Row],[order_id]],northwind_orders[order_id],northwind_orders[ship_country])</f>
        <v>France</v>
      </c>
      <c r="G773">
        <f>INDEX(northwind_orders[],MATCH(northwind_order_details[[#This Row],[order_id]], northwind_orders[order_id], 0), MATCH("employee_id", northwind_orders[#Headers], 0))</f>
        <v>1</v>
      </c>
      <c r="H773">
        <f>northwind_order_details[[#This Row],[unit_price]]*northwind_order_details[[#This Row],[quantity]]</f>
        <v>1972</v>
      </c>
      <c r="I773" s="1">
        <f>northwind_order_details[[#This Row],[purchase amount]]*northwind_order_details[[#This Row],[discount]]</f>
        <v>0</v>
      </c>
      <c r="J773" s="1">
        <f>northwind_order_details[[#This Row],[purchase amount]]-northwind_order_details[[#This Row],[discount amount]]</f>
        <v>1972</v>
      </c>
      <c r="K773" s="6" t="str">
        <f>IF(northwind_order_details[[#This Row],[discount amount]]&gt;0,"Yes","No")</f>
        <v>No</v>
      </c>
      <c r="L773" s="1" t="str">
        <f>IF(northwind_order_details[[#This Row],[Revenue]]&gt;1000,"High",IF(northwind_order_details[[#This Row],[Revenue]]&gt;300,"Medium","Low"))</f>
        <v>High</v>
      </c>
      <c r="M7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74" spans="1:13" x14ac:dyDescent="0.25">
      <c r="A774">
        <v>10547</v>
      </c>
      <c r="B774">
        <v>32</v>
      </c>
      <c r="C774" s="6" t="s">
        <v>18</v>
      </c>
      <c r="D774">
        <v>24</v>
      </c>
      <c r="E774" s="6">
        <v>0.15</v>
      </c>
      <c r="F774" t="str">
        <f>_xlfn.XLOOKUP(northwind_order_details[[#This Row],[order_id]],northwind_orders[order_id],northwind_orders[ship_country])</f>
        <v>UK</v>
      </c>
      <c r="G774">
        <f>INDEX(northwind_orders[],MATCH(northwind_order_details[[#This Row],[order_id]], northwind_orders[order_id], 0), MATCH("employee_id", northwind_orders[#Headers], 0))</f>
        <v>3</v>
      </c>
      <c r="H774">
        <f>northwind_order_details[[#This Row],[unit_price]]*northwind_order_details[[#This Row],[quantity]]</f>
        <v>768</v>
      </c>
      <c r="I774" s="1">
        <f>northwind_order_details[[#This Row],[purchase amount]]*northwind_order_details[[#This Row],[discount]]</f>
        <v>115.19999999999999</v>
      </c>
      <c r="J774" s="1">
        <f>northwind_order_details[[#This Row],[purchase amount]]-northwind_order_details[[#This Row],[discount amount]]</f>
        <v>652.79999999999995</v>
      </c>
      <c r="K774" s="6" t="str">
        <f>IF(northwind_order_details[[#This Row],[discount amount]]&gt;0,"Yes","No")</f>
        <v>Yes</v>
      </c>
      <c r="L774" s="1" t="str">
        <f>IF(northwind_order_details[[#This Row],[Revenue]]&gt;1000,"High",IF(northwind_order_details[[#This Row],[Revenue]]&gt;300,"Medium","Low"))</f>
        <v>Medium</v>
      </c>
      <c r="M7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5" spans="1:13" x14ac:dyDescent="0.25">
      <c r="A775">
        <v>10547</v>
      </c>
      <c r="B775">
        <v>36</v>
      </c>
      <c r="C775" s="6" t="s">
        <v>20</v>
      </c>
      <c r="D775">
        <v>60</v>
      </c>
      <c r="E775" s="6" t="s">
        <v>6</v>
      </c>
      <c r="F775" t="str">
        <f>_xlfn.XLOOKUP(northwind_order_details[[#This Row],[order_id]],northwind_orders[order_id],northwind_orders[ship_country])</f>
        <v>UK</v>
      </c>
      <c r="G775">
        <f>INDEX(northwind_orders[],MATCH(northwind_order_details[[#This Row],[order_id]], northwind_orders[order_id], 0), MATCH("employee_id", northwind_orders[#Headers], 0))</f>
        <v>3</v>
      </c>
      <c r="H775">
        <f>northwind_order_details[[#This Row],[unit_price]]*northwind_order_details[[#This Row],[quantity]]</f>
        <v>1140</v>
      </c>
      <c r="I775" s="1">
        <f>northwind_order_details[[#This Row],[purchase amount]]*northwind_order_details[[#This Row],[discount]]</f>
        <v>0</v>
      </c>
      <c r="J775" s="1">
        <f>northwind_order_details[[#This Row],[purchase amount]]-northwind_order_details[[#This Row],[discount amount]]</f>
        <v>1140</v>
      </c>
      <c r="K775" s="6" t="str">
        <f>IF(northwind_order_details[[#This Row],[discount amount]]&gt;0,"Yes","No")</f>
        <v>No</v>
      </c>
      <c r="L775" s="1" t="str">
        <f>IF(northwind_order_details[[#This Row],[Revenue]]&gt;1000,"High",IF(northwind_order_details[[#This Row],[Revenue]]&gt;300,"Medium","Low"))</f>
        <v>High</v>
      </c>
      <c r="M7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6" spans="1:13" x14ac:dyDescent="0.25">
      <c r="A776">
        <v>10548</v>
      </c>
      <c r="B776">
        <v>34</v>
      </c>
      <c r="C776" s="6" t="s">
        <v>5</v>
      </c>
      <c r="D776">
        <v>10</v>
      </c>
      <c r="E776" s="6">
        <v>0.25</v>
      </c>
      <c r="F776" t="str">
        <f>_xlfn.XLOOKUP(northwind_order_details[[#This Row],[order_id]],northwind_orders[order_id],northwind_orders[ship_country])</f>
        <v>Germany</v>
      </c>
      <c r="G776">
        <f>INDEX(northwind_orders[],MATCH(northwind_order_details[[#This Row],[order_id]], northwind_orders[order_id], 0), MATCH("employee_id", northwind_orders[#Headers], 0))</f>
        <v>3</v>
      </c>
      <c r="H776">
        <f>northwind_order_details[[#This Row],[unit_price]]*northwind_order_details[[#This Row],[quantity]]</f>
        <v>140</v>
      </c>
      <c r="I776" s="1">
        <f>northwind_order_details[[#This Row],[purchase amount]]*northwind_order_details[[#This Row],[discount]]</f>
        <v>35</v>
      </c>
      <c r="J776" s="1">
        <f>northwind_order_details[[#This Row],[purchase amount]]-northwind_order_details[[#This Row],[discount amount]]</f>
        <v>105</v>
      </c>
      <c r="K776" s="6" t="str">
        <f>IF(northwind_order_details[[#This Row],[discount amount]]&gt;0,"Yes","No")</f>
        <v>Yes</v>
      </c>
      <c r="L776" s="1" t="str">
        <f>IF(northwind_order_details[[#This Row],[Revenue]]&gt;1000,"High",IF(northwind_order_details[[#This Row],[Revenue]]&gt;300,"Medium","Low"))</f>
        <v>Low</v>
      </c>
      <c r="M7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77" spans="1:13" x14ac:dyDescent="0.25">
      <c r="A777">
        <v>10548</v>
      </c>
      <c r="B777">
        <v>41</v>
      </c>
      <c r="C777" s="6">
        <v>9.65</v>
      </c>
      <c r="D777">
        <v>14</v>
      </c>
      <c r="E777" s="6" t="s">
        <v>6</v>
      </c>
      <c r="F777" t="str">
        <f>_xlfn.XLOOKUP(northwind_order_details[[#This Row],[order_id]],northwind_orders[order_id],northwind_orders[ship_country])</f>
        <v>Germany</v>
      </c>
      <c r="G777">
        <f>INDEX(northwind_orders[],MATCH(northwind_order_details[[#This Row],[order_id]], northwind_orders[order_id], 0), MATCH("employee_id", northwind_orders[#Headers], 0))</f>
        <v>3</v>
      </c>
      <c r="H777">
        <f>northwind_order_details[[#This Row],[unit_price]]*northwind_order_details[[#This Row],[quantity]]</f>
        <v>135.1</v>
      </c>
      <c r="I777" s="1">
        <f>northwind_order_details[[#This Row],[purchase amount]]*northwind_order_details[[#This Row],[discount]]</f>
        <v>0</v>
      </c>
      <c r="J777" s="1">
        <f>northwind_order_details[[#This Row],[purchase amount]]-northwind_order_details[[#This Row],[discount amount]]</f>
        <v>135.1</v>
      </c>
      <c r="K777" s="6" t="str">
        <f>IF(northwind_order_details[[#This Row],[discount amount]]&gt;0,"Yes","No")</f>
        <v>No</v>
      </c>
      <c r="L777" s="1" t="str">
        <f>IF(northwind_order_details[[#This Row],[Revenue]]&gt;1000,"High",IF(northwind_order_details[[#This Row],[Revenue]]&gt;300,"Medium","Low"))</f>
        <v>Low</v>
      </c>
      <c r="M7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78" spans="1:13" x14ac:dyDescent="0.25">
      <c r="A778">
        <v>10549</v>
      </c>
      <c r="B778">
        <v>31</v>
      </c>
      <c r="C778" s="6">
        <v>12.5</v>
      </c>
      <c r="D778">
        <v>55</v>
      </c>
      <c r="E778" s="6">
        <v>0.15</v>
      </c>
      <c r="F778" t="str">
        <f>_xlfn.XLOOKUP(northwind_order_details[[#This Row],[order_id]],northwind_orders[order_id],northwind_orders[ship_country])</f>
        <v>Germany</v>
      </c>
      <c r="G778">
        <f>INDEX(northwind_orders[],MATCH(northwind_order_details[[#This Row],[order_id]], northwind_orders[order_id], 0), MATCH("employee_id", northwind_orders[#Headers], 0))</f>
        <v>5</v>
      </c>
      <c r="H778">
        <f>northwind_order_details[[#This Row],[unit_price]]*northwind_order_details[[#This Row],[quantity]]</f>
        <v>687.5</v>
      </c>
      <c r="I778" s="1">
        <f>northwind_order_details[[#This Row],[purchase amount]]*northwind_order_details[[#This Row],[discount]]</f>
        <v>103.125</v>
      </c>
      <c r="J778" s="1">
        <f>northwind_order_details[[#This Row],[purchase amount]]-northwind_order_details[[#This Row],[discount amount]]</f>
        <v>584.375</v>
      </c>
      <c r="K778" s="6" t="str">
        <f>IF(northwind_order_details[[#This Row],[discount amount]]&gt;0,"Yes","No")</f>
        <v>Yes</v>
      </c>
      <c r="L778" s="1" t="str">
        <f>IF(northwind_order_details[[#This Row],[Revenue]]&gt;1000,"High",IF(northwind_order_details[[#This Row],[Revenue]]&gt;300,"Medium","Low"))</f>
        <v>Medium</v>
      </c>
      <c r="M77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79" spans="1:13" x14ac:dyDescent="0.25">
      <c r="A779">
        <v>10549</v>
      </c>
      <c r="B779">
        <v>45</v>
      </c>
      <c r="C779" s="6">
        <v>9.5</v>
      </c>
      <c r="D779">
        <v>100</v>
      </c>
      <c r="E779" s="6">
        <v>0.15</v>
      </c>
      <c r="F779" t="str">
        <f>_xlfn.XLOOKUP(northwind_order_details[[#This Row],[order_id]],northwind_orders[order_id],northwind_orders[ship_country])</f>
        <v>Germany</v>
      </c>
      <c r="G779">
        <f>INDEX(northwind_orders[],MATCH(northwind_order_details[[#This Row],[order_id]], northwind_orders[order_id], 0), MATCH("employee_id", northwind_orders[#Headers], 0))</f>
        <v>5</v>
      </c>
      <c r="H779">
        <f>northwind_order_details[[#This Row],[unit_price]]*northwind_order_details[[#This Row],[quantity]]</f>
        <v>950</v>
      </c>
      <c r="I779" s="1">
        <f>northwind_order_details[[#This Row],[purchase amount]]*northwind_order_details[[#This Row],[discount]]</f>
        <v>142.5</v>
      </c>
      <c r="J779" s="1">
        <f>northwind_order_details[[#This Row],[purchase amount]]-northwind_order_details[[#This Row],[discount amount]]</f>
        <v>807.5</v>
      </c>
      <c r="K779" s="6" t="str">
        <f>IF(northwind_order_details[[#This Row],[discount amount]]&gt;0,"Yes","No")</f>
        <v>Yes</v>
      </c>
      <c r="L779" s="1" t="str">
        <f>IF(northwind_order_details[[#This Row],[Revenue]]&gt;1000,"High",IF(northwind_order_details[[#This Row],[Revenue]]&gt;300,"Medium","Low"))</f>
        <v>Medium</v>
      </c>
      <c r="M7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80" spans="1:13" x14ac:dyDescent="0.25">
      <c r="A780">
        <v>10549</v>
      </c>
      <c r="B780">
        <v>51</v>
      </c>
      <c r="C780" s="6" t="s">
        <v>39</v>
      </c>
      <c r="D780">
        <v>48</v>
      </c>
      <c r="E780" s="6">
        <v>0.15</v>
      </c>
      <c r="F780" t="str">
        <f>_xlfn.XLOOKUP(northwind_order_details[[#This Row],[order_id]],northwind_orders[order_id],northwind_orders[ship_country])</f>
        <v>Germany</v>
      </c>
      <c r="G780">
        <f>INDEX(northwind_orders[],MATCH(northwind_order_details[[#This Row],[order_id]], northwind_orders[order_id], 0), MATCH("employee_id", northwind_orders[#Headers], 0))</f>
        <v>5</v>
      </c>
      <c r="H780">
        <f>northwind_order_details[[#This Row],[unit_price]]*northwind_order_details[[#This Row],[quantity]]</f>
        <v>2544</v>
      </c>
      <c r="I780" s="1">
        <f>northwind_order_details[[#This Row],[purchase amount]]*northwind_order_details[[#This Row],[discount]]</f>
        <v>381.59999999999997</v>
      </c>
      <c r="J780" s="1">
        <f>northwind_order_details[[#This Row],[purchase amount]]-northwind_order_details[[#This Row],[discount amount]]</f>
        <v>2162.4</v>
      </c>
      <c r="K780" s="6" t="str">
        <f>IF(northwind_order_details[[#This Row],[discount amount]]&gt;0,"Yes","No")</f>
        <v>Yes</v>
      </c>
      <c r="L780" s="1" t="str">
        <f>IF(northwind_order_details[[#This Row],[Revenue]]&gt;1000,"High",IF(northwind_order_details[[#This Row],[Revenue]]&gt;300,"Medium","Low"))</f>
        <v>High</v>
      </c>
      <c r="M7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81" spans="1:13" x14ac:dyDescent="0.25">
      <c r="A781">
        <v>10550</v>
      </c>
      <c r="B781">
        <v>17</v>
      </c>
      <c r="C781" s="6" t="s">
        <v>35</v>
      </c>
      <c r="D781">
        <v>8</v>
      </c>
      <c r="E781" s="6">
        <v>0.1</v>
      </c>
      <c r="F781" t="str">
        <f>_xlfn.XLOOKUP(northwind_order_details[[#This Row],[order_id]],northwind_orders[order_id],northwind_orders[ship_country])</f>
        <v>Spain</v>
      </c>
      <c r="G781">
        <f>INDEX(northwind_orders[],MATCH(northwind_order_details[[#This Row],[order_id]], northwind_orders[order_id], 0), MATCH("employee_id", northwind_orders[#Headers], 0))</f>
        <v>7</v>
      </c>
      <c r="H781">
        <f>northwind_order_details[[#This Row],[unit_price]]*northwind_order_details[[#This Row],[quantity]]</f>
        <v>312</v>
      </c>
      <c r="I781" s="1">
        <f>northwind_order_details[[#This Row],[purchase amount]]*northwind_order_details[[#This Row],[discount]]</f>
        <v>31.200000000000003</v>
      </c>
      <c r="J781" s="1">
        <f>northwind_order_details[[#This Row],[purchase amount]]-northwind_order_details[[#This Row],[discount amount]]</f>
        <v>280.8</v>
      </c>
      <c r="K781" s="6" t="str">
        <f>IF(northwind_order_details[[#This Row],[discount amount]]&gt;0,"Yes","No")</f>
        <v>Yes</v>
      </c>
      <c r="L781" s="1" t="str">
        <f>IF(northwind_order_details[[#This Row],[Revenue]]&gt;1000,"High",IF(northwind_order_details[[#This Row],[Revenue]]&gt;300,"Medium","Low"))</f>
        <v>Low</v>
      </c>
      <c r="M7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82" spans="1:13" x14ac:dyDescent="0.25">
      <c r="A782">
        <v>10550</v>
      </c>
      <c r="B782">
        <v>19</v>
      </c>
      <c r="C782" s="6">
        <v>9.1999999999999993</v>
      </c>
      <c r="D782">
        <v>10</v>
      </c>
      <c r="E782" s="6" t="s">
        <v>6</v>
      </c>
      <c r="F782" t="str">
        <f>_xlfn.XLOOKUP(northwind_order_details[[#This Row],[order_id]],northwind_orders[order_id],northwind_orders[ship_country])</f>
        <v>Spain</v>
      </c>
      <c r="G782">
        <f>INDEX(northwind_orders[],MATCH(northwind_order_details[[#This Row],[order_id]], northwind_orders[order_id], 0), MATCH("employee_id", northwind_orders[#Headers], 0))</f>
        <v>7</v>
      </c>
      <c r="H782">
        <f>northwind_order_details[[#This Row],[unit_price]]*northwind_order_details[[#This Row],[quantity]]</f>
        <v>92</v>
      </c>
      <c r="I782" s="1">
        <f>northwind_order_details[[#This Row],[purchase amount]]*northwind_order_details[[#This Row],[discount]]</f>
        <v>0</v>
      </c>
      <c r="J782" s="1">
        <f>northwind_order_details[[#This Row],[purchase amount]]-northwind_order_details[[#This Row],[discount amount]]</f>
        <v>92</v>
      </c>
      <c r="K782" s="6" t="str">
        <f>IF(northwind_order_details[[#This Row],[discount amount]]&gt;0,"Yes","No")</f>
        <v>No</v>
      </c>
      <c r="L782" s="1" t="str">
        <f>IF(northwind_order_details[[#This Row],[Revenue]]&gt;1000,"High",IF(northwind_order_details[[#This Row],[Revenue]]&gt;300,"Medium","Low"))</f>
        <v>Low</v>
      </c>
      <c r="M7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83" spans="1:13" x14ac:dyDescent="0.25">
      <c r="A783">
        <v>10550</v>
      </c>
      <c r="B783">
        <v>21</v>
      </c>
      <c r="C783" s="6" t="s">
        <v>8</v>
      </c>
      <c r="D783">
        <v>6</v>
      </c>
      <c r="E783" s="6">
        <v>0.1</v>
      </c>
      <c r="F783" t="str">
        <f>_xlfn.XLOOKUP(northwind_order_details[[#This Row],[order_id]],northwind_orders[order_id],northwind_orders[ship_country])</f>
        <v>Spain</v>
      </c>
      <c r="G783">
        <f>INDEX(northwind_orders[],MATCH(northwind_order_details[[#This Row],[order_id]], northwind_orders[order_id], 0), MATCH("employee_id", northwind_orders[#Headers], 0))</f>
        <v>7</v>
      </c>
      <c r="H783">
        <f>northwind_order_details[[#This Row],[unit_price]]*northwind_order_details[[#This Row],[quantity]]</f>
        <v>60</v>
      </c>
      <c r="I783" s="1">
        <f>northwind_order_details[[#This Row],[purchase amount]]*northwind_order_details[[#This Row],[discount]]</f>
        <v>6</v>
      </c>
      <c r="J783" s="1">
        <f>northwind_order_details[[#This Row],[purchase amount]]-northwind_order_details[[#This Row],[discount amount]]</f>
        <v>54</v>
      </c>
      <c r="K783" s="6" t="str">
        <f>IF(northwind_order_details[[#This Row],[discount amount]]&gt;0,"Yes","No")</f>
        <v>Yes</v>
      </c>
      <c r="L783" s="1" t="str">
        <f>IF(northwind_order_details[[#This Row],[Revenue]]&gt;1000,"High",IF(northwind_order_details[[#This Row],[Revenue]]&gt;300,"Medium","Low"))</f>
        <v>Low</v>
      </c>
      <c r="M7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84" spans="1:13" x14ac:dyDescent="0.25">
      <c r="A784">
        <v>10550</v>
      </c>
      <c r="B784">
        <v>61</v>
      </c>
      <c r="C784" s="6">
        <v>28.5</v>
      </c>
      <c r="D784">
        <v>10</v>
      </c>
      <c r="E784" s="6">
        <v>0.1</v>
      </c>
      <c r="F784" t="str">
        <f>_xlfn.XLOOKUP(northwind_order_details[[#This Row],[order_id]],northwind_orders[order_id],northwind_orders[ship_country])</f>
        <v>Spain</v>
      </c>
      <c r="G784">
        <f>INDEX(northwind_orders[],MATCH(northwind_order_details[[#This Row],[order_id]], northwind_orders[order_id], 0), MATCH("employee_id", northwind_orders[#Headers], 0))</f>
        <v>7</v>
      </c>
      <c r="H784">
        <f>northwind_order_details[[#This Row],[unit_price]]*northwind_order_details[[#This Row],[quantity]]</f>
        <v>285</v>
      </c>
      <c r="I784" s="1">
        <f>northwind_order_details[[#This Row],[purchase amount]]*northwind_order_details[[#This Row],[discount]]</f>
        <v>28.5</v>
      </c>
      <c r="J784" s="1">
        <f>northwind_order_details[[#This Row],[purchase amount]]-northwind_order_details[[#This Row],[discount amount]]</f>
        <v>256.5</v>
      </c>
      <c r="K784" s="6" t="str">
        <f>IF(northwind_order_details[[#This Row],[discount amount]]&gt;0,"Yes","No")</f>
        <v>Yes</v>
      </c>
      <c r="L784" s="1" t="str">
        <f>IF(northwind_order_details[[#This Row],[Revenue]]&gt;1000,"High",IF(northwind_order_details[[#This Row],[Revenue]]&gt;300,"Medium","Low"))</f>
        <v>Low</v>
      </c>
      <c r="M7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85" spans="1:13" x14ac:dyDescent="0.25">
      <c r="A785">
        <v>10551</v>
      </c>
      <c r="B785">
        <v>16</v>
      </c>
      <c r="C785" s="6">
        <v>17.45</v>
      </c>
      <c r="D785">
        <v>40</v>
      </c>
      <c r="E785" s="6">
        <v>0.15</v>
      </c>
      <c r="F785" t="str">
        <f>_xlfn.XLOOKUP(northwind_order_details[[#This Row],[order_id]],northwind_orders[order_id],northwind_orders[ship_country])</f>
        <v>Portugal</v>
      </c>
      <c r="G785">
        <f>INDEX(northwind_orders[],MATCH(northwind_order_details[[#This Row],[order_id]], northwind_orders[order_id], 0), MATCH("employee_id", northwind_orders[#Headers], 0))</f>
        <v>4</v>
      </c>
      <c r="H785">
        <f>northwind_order_details[[#This Row],[unit_price]]*northwind_order_details[[#This Row],[quantity]]</f>
        <v>698</v>
      </c>
      <c r="I785" s="1">
        <f>northwind_order_details[[#This Row],[purchase amount]]*northwind_order_details[[#This Row],[discount]]</f>
        <v>104.7</v>
      </c>
      <c r="J785" s="1">
        <f>northwind_order_details[[#This Row],[purchase amount]]-northwind_order_details[[#This Row],[discount amount]]</f>
        <v>593.29999999999995</v>
      </c>
      <c r="K785" s="6" t="str">
        <f>IF(northwind_order_details[[#This Row],[discount amount]]&gt;0,"Yes","No")</f>
        <v>Yes</v>
      </c>
      <c r="L785" s="1" t="str">
        <f>IF(northwind_order_details[[#This Row],[Revenue]]&gt;1000,"High",IF(northwind_order_details[[#This Row],[Revenue]]&gt;300,"Medium","Low"))</f>
        <v>Medium</v>
      </c>
      <c r="M78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86" spans="1:13" x14ac:dyDescent="0.25">
      <c r="A786">
        <v>10551</v>
      </c>
      <c r="B786">
        <v>35</v>
      </c>
      <c r="C786" s="6" t="s">
        <v>24</v>
      </c>
      <c r="D786">
        <v>20</v>
      </c>
      <c r="E786" s="6">
        <v>0.15</v>
      </c>
      <c r="F786" t="str">
        <f>_xlfn.XLOOKUP(northwind_order_details[[#This Row],[order_id]],northwind_orders[order_id],northwind_orders[ship_country])</f>
        <v>Portugal</v>
      </c>
      <c r="G786">
        <f>INDEX(northwind_orders[],MATCH(northwind_order_details[[#This Row],[order_id]], northwind_orders[order_id], 0), MATCH("employee_id", northwind_orders[#Headers], 0))</f>
        <v>4</v>
      </c>
      <c r="H786">
        <f>northwind_order_details[[#This Row],[unit_price]]*northwind_order_details[[#This Row],[quantity]]</f>
        <v>360</v>
      </c>
      <c r="I786" s="1">
        <f>northwind_order_details[[#This Row],[purchase amount]]*northwind_order_details[[#This Row],[discount]]</f>
        <v>54</v>
      </c>
      <c r="J786" s="1">
        <f>northwind_order_details[[#This Row],[purchase amount]]-northwind_order_details[[#This Row],[discount amount]]</f>
        <v>306</v>
      </c>
      <c r="K786" s="6" t="str">
        <f>IF(northwind_order_details[[#This Row],[discount amount]]&gt;0,"Yes","No")</f>
        <v>Yes</v>
      </c>
      <c r="L786" s="1" t="str">
        <f>IF(northwind_order_details[[#This Row],[Revenue]]&gt;1000,"High",IF(northwind_order_details[[#This Row],[Revenue]]&gt;300,"Medium","Low"))</f>
        <v>Medium</v>
      </c>
      <c r="M7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87" spans="1:13" x14ac:dyDescent="0.25">
      <c r="A787">
        <v>10551</v>
      </c>
      <c r="B787">
        <v>44</v>
      </c>
      <c r="C787" s="6">
        <v>19.45</v>
      </c>
      <c r="D787">
        <v>40</v>
      </c>
      <c r="E787" s="6" t="s">
        <v>6</v>
      </c>
      <c r="F787" t="str">
        <f>_xlfn.XLOOKUP(northwind_order_details[[#This Row],[order_id]],northwind_orders[order_id],northwind_orders[ship_country])</f>
        <v>Portugal</v>
      </c>
      <c r="G787">
        <f>INDEX(northwind_orders[],MATCH(northwind_order_details[[#This Row],[order_id]], northwind_orders[order_id], 0), MATCH("employee_id", northwind_orders[#Headers], 0))</f>
        <v>4</v>
      </c>
      <c r="H787">
        <f>northwind_order_details[[#This Row],[unit_price]]*northwind_order_details[[#This Row],[quantity]]</f>
        <v>778</v>
      </c>
      <c r="I787" s="1">
        <f>northwind_order_details[[#This Row],[purchase amount]]*northwind_order_details[[#This Row],[discount]]</f>
        <v>0</v>
      </c>
      <c r="J787" s="1">
        <f>northwind_order_details[[#This Row],[purchase amount]]-northwind_order_details[[#This Row],[discount amount]]</f>
        <v>778</v>
      </c>
      <c r="K787" s="6" t="str">
        <f>IF(northwind_order_details[[#This Row],[discount amount]]&gt;0,"Yes","No")</f>
        <v>No</v>
      </c>
      <c r="L787" s="1" t="str">
        <f>IF(northwind_order_details[[#This Row],[Revenue]]&gt;1000,"High",IF(northwind_order_details[[#This Row],[Revenue]]&gt;300,"Medium","Low"))</f>
        <v>Medium</v>
      </c>
      <c r="M78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88" spans="1:13" x14ac:dyDescent="0.25">
      <c r="A788">
        <v>10552</v>
      </c>
      <c r="B788">
        <v>69</v>
      </c>
      <c r="C788" s="6" t="s">
        <v>38</v>
      </c>
      <c r="D788">
        <v>18</v>
      </c>
      <c r="E788" s="6" t="s">
        <v>6</v>
      </c>
      <c r="F788" t="str">
        <f>_xlfn.XLOOKUP(northwind_order_details[[#This Row],[order_id]],northwind_orders[order_id],northwind_orders[ship_country])</f>
        <v>Venezuela</v>
      </c>
      <c r="G788">
        <f>INDEX(northwind_orders[],MATCH(northwind_order_details[[#This Row],[order_id]], northwind_orders[order_id], 0), MATCH("employee_id", northwind_orders[#Headers], 0))</f>
        <v>2</v>
      </c>
      <c r="H788">
        <f>northwind_order_details[[#This Row],[unit_price]]*northwind_order_details[[#This Row],[quantity]]</f>
        <v>648</v>
      </c>
      <c r="I788" s="1">
        <f>northwind_order_details[[#This Row],[purchase amount]]*northwind_order_details[[#This Row],[discount]]</f>
        <v>0</v>
      </c>
      <c r="J788" s="1">
        <f>northwind_order_details[[#This Row],[purchase amount]]-northwind_order_details[[#This Row],[discount amount]]</f>
        <v>648</v>
      </c>
      <c r="K788" s="6" t="str">
        <f>IF(northwind_order_details[[#This Row],[discount amount]]&gt;0,"Yes","No")</f>
        <v>No</v>
      </c>
      <c r="L788" s="1" t="str">
        <f>IF(northwind_order_details[[#This Row],[Revenue]]&gt;1000,"High",IF(northwind_order_details[[#This Row],[Revenue]]&gt;300,"Medium","Low"))</f>
        <v>Medium</v>
      </c>
      <c r="M7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89" spans="1:13" x14ac:dyDescent="0.25">
      <c r="A789">
        <v>10552</v>
      </c>
      <c r="B789">
        <v>75</v>
      </c>
      <c r="C789" s="6">
        <v>7.75</v>
      </c>
      <c r="D789">
        <v>30</v>
      </c>
      <c r="E789" s="6" t="s">
        <v>6</v>
      </c>
      <c r="F789" t="str">
        <f>_xlfn.XLOOKUP(northwind_order_details[[#This Row],[order_id]],northwind_orders[order_id],northwind_orders[ship_country])</f>
        <v>Venezuela</v>
      </c>
      <c r="G789">
        <f>INDEX(northwind_orders[],MATCH(northwind_order_details[[#This Row],[order_id]], northwind_orders[order_id], 0), MATCH("employee_id", northwind_orders[#Headers], 0))</f>
        <v>2</v>
      </c>
      <c r="H789">
        <f>northwind_order_details[[#This Row],[unit_price]]*northwind_order_details[[#This Row],[quantity]]</f>
        <v>232.5</v>
      </c>
      <c r="I789" s="1">
        <f>northwind_order_details[[#This Row],[purchase amount]]*northwind_order_details[[#This Row],[discount]]</f>
        <v>0</v>
      </c>
      <c r="J789" s="1">
        <f>northwind_order_details[[#This Row],[purchase amount]]-northwind_order_details[[#This Row],[discount amount]]</f>
        <v>232.5</v>
      </c>
      <c r="K789" s="6" t="str">
        <f>IF(northwind_order_details[[#This Row],[discount amount]]&gt;0,"Yes","No")</f>
        <v>No</v>
      </c>
      <c r="L789" s="1" t="str">
        <f>IF(northwind_order_details[[#This Row],[Revenue]]&gt;1000,"High",IF(northwind_order_details[[#This Row],[Revenue]]&gt;300,"Medium","Low"))</f>
        <v>Low</v>
      </c>
      <c r="M7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90" spans="1:13" x14ac:dyDescent="0.25">
      <c r="A790">
        <v>10553</v>
      </c>
      <c r="B790">
        <v>11</v>
      </c>
      <c r="C790" s="6" t="s">
        <v>37</v>
      </c>
      <c r="D790">
        <v>15</v>
      </c>
      <c r="E790" s="6" t="s">
        <v>6</v>
      </c>
      <c r="F790" t="str">
        <f>_xlfn.XLOOKUP(northwind_order_details[[#This Row],[order_id]],northwind_orders[order_id],northwind_orders[ship_country])</f>
        <v>Finland</v>
      </c>
      <c r="G790">
        <f>INDEX(northwind_orders[],MATCH(northwind_order_details[[#This Row],[order_id]], northwind_orders[order_id], 0), MATCH("employee_id", northwind_orders[#Headers], 0))</f>
        <v>2</v>
      </c>
      <c r="H790">
        <f>northwind_order_details[[#This Row],[unit_price]]*northwind_order_details[[#This Row],[quantity]]</f>
        <v>315</v>
      </c>
      <c r="I790" s="1">
        <f>northwind_order_details[[#This Row],[purchase amount]]*northwind_order_details[[#This Row],[discount]]</f>
        <v>0</v>
      </c>
      <c r="J790" s="1">
        <f>northwind_order_details[[#This Row],[purchase amount]]-northwind_order_details[[#This Row],[discount amount]]</f>
        <v>315</v>
      </c>
      <c r="K790" s="6" t="str">
        <f>IF(northwind_order_details[[#This Row],[discount amount]]&gt;0,"Yes","No")</f>
        <v>No</v>
      </c>
      <c r="L790" s="1" t="str">
        <f>IF(northwind_order_details[[#This Row],[Revenue]]&gt;1000,"High",IF(northwind_order_details[[#This Row],[Revenue]]&gt;300,"Medium","Low"))</f>
        <v>Medium</v>
      </c>
      <c r="M7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91" spans="1:13" x14ac:dyDescent="0.25">
      <c r="A791">
        <v>10553</v>
      </c>
      <c r="B791">
        <v>16</v>
      </c>
      <c r="C791" s="6">
        <v>17.45</v>
      </c>
      <c r="D791">
        <v>14</v>
      </c>
      <c r="E791" s="6" t="s">
        <v>6</v>
      </c>
      <c r="F791" t="str">
        <f>_xlfn.XLOOKUP(northwind_order_details[[#This Row],[order_id]],northwind_orders[order_id],northwind_orders[ship_country])</f>
        <v>Finland</v>
      </c>
      <c r="G791">
        <f>INDEX(northwind_orders[],MATCH(northwind_order_details[[#This Row],[order_id]], northwind_orders[order_id], 0), MATCH("employee_id", northwind_orders[#Headers], 0))</f>
        <v>2</v>
      </c>
      <c r="H791">
        <f>northwind_order_details[[#This Row],[unit_price]]*northwind_order_details[[#This Row],[quantity]]</f>
        <v>244.29999999999998</v>
      </c>
      <c r="I791" s="1">
        <f>northwind_order_details[[#This Row],[purchase amount]]*northwind_order_details[[#This Row],[discount]]</f>
        <v>0</v>
      </c>
      <c r="J791" s="1">
        <f>northwind_order_details[[#This Row],[purchase amount]]-northwind_order_details[[#This Row],[discount amount]]</f>
        <v>244.29999999999998</v>
      </c>
      <c r="K791" s="6" t="str">
        <f>IF(northwind_order_details[[#This Row],[discount amount]]&gt;0,"Yes","No")</f>
        <v>No</v>
      </c>
      <c r="L791" s="1" t="str">
        <f>IF(northwind_order_details[[#This Row],[Revenue]]&gt;1000,"High",IF(northwind_order_details[[#This Row],[Revenue]]&gt;300,"Medium","Low"))</f>
        <v>Low</v>
      </c>
      <c r="M7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92" spans="1:13" x14ac:dyDescent="0.25">
      <c r="A792">
        <v>10553</v>
      </c>
      <c r="B792">
        <v>22</v>
      </c>
      <c r="C792" s="6" t="s">
        <v>37</v>
      </c>
      <c r="D792">
        <v>24</v>
      </c>
      <c r="E792" s="6" t="s">
        <v>6</v>
      </c>
      <c r="F792" t="str">
        <f>_xlfn.XLOOKUP(northwind_order_details[[#This Row],[order_id]],northwind_orders[order_id],northwind_orders[ship_country])</f>
        <v>Finland</v>
      </c>
      <c r="G792">
        <f>INDEX(northwind_orders[],MATCH(northwind_order_details[[#This Row],[order_id]], northwind_orders[order_id], 0), MATCH("employee_id", northwind_orders[#Headers], 0))</f>
        <v>2</v>
      </c>
      <c r="H792">
        <f>northwind_order_details[[#This Row],[unit_price]]*northwind_order_details[[#This Row],[quantity]]</f>
        <v>504</v>
      </c>
      <c r="I792" s="1">
        <f>northwind_order_details[[#This Row],[purchase amount]]*northwind_order_details[[#This Row],[discount]]</f>
        <v>0</v>
      </c>
      <c r="J792" s="1">
        <f>northwind_order_details[[#This Row],[purchase amount]]-northwind_order_details[[#This Row],[discount amount]]</f>
        <v>504</v>
      </c>
      <c r="K792" s="6" t="str">
        <f>IF(northwind_order_details[[#This Row],[discount amount]]&gt;0,"Yes","No")</f>
        <v>No</v>
      </c>
      <c r="L792" s="1" t="str">
        <f>IF(northwind_order_details[[#This Row],[Revenue]]&gt;1000,"High",IF(northwind_order_details[[#This Row],[Revenue]]&gt;300,"Medium","Low"))</f>
        <v>Medium</v>
      </c>
      <c r="M7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93" spans="1:13" x14ac:dyDescent="0.25">
      <c r="A793">
        <v>10553</v>
      </c>
      <c r="B793">
        <v>31</v>
      </c>
      <c r="C793" s="6">
        <v>12.5</v>
      </c>
      <c r="D793">
        <v>30</v>
      </c>
      <c r="E793" s="6" t="s">
        <v>6</v>
      </c>
      <c r="F793" t="str">
        <f>_xlfn.XLOOKUP(northwind_order_details[[#This Row],[order_id]],northwind_orders[order_id],northwind_orders[ship_country])</f>
        <v>Finland</v>
      </c>
      <c r="G793">
        <f>INDEX(northwind_orders[],MATCH(northwind_order_details[[#This Row],[order_id]], northwind_orders[order_id], 0), MATCH("employee_id", northwind_orders[#Headers], 0))</f>
        <v>2</v>
      </c>
      <c r="H793">
        <f>northwind_order_details[[#This Row],[unit_price]]*northwind_order_details[[#This Row],[quantity]]</f>
        <v>375</v>
      </c>
      <c r="I793" s="1">
        <f>northwind_order_details[[#This Row],[purchase amount]]*northwind_order_details[[#This Row],[discount]]</f>
        <v>0</v>
      </c>
      <c r="J793" s="1">
        <f>northwind_order_details[[#This Row],[purchase amount]]-northwind_order_details[[#This Row],[discount amount]]</f>
        <v>375</v>
      </c>
      <c r="K793" s="6" t="str">
        <f>IF(northwind_order_details[[#This Row],[discount amount]]&gt;0,"Yes","No")</f>
        <v>No</v>
      </c>
      <c r="L793" s="1" t="str">
        <f>IF(northwind_order_details[[#This Row],[Revenue]]&gt;1000,"High",IF(northwind_order_details[[#This Row],[Revenue]]&gt;300,"Medium","Low"))</f>
        <v>Medium</v>
      </c>
      <c r="M7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94" spans="1:13" x14ac:dyDescent="0.25">
      <c r="A794">
        <v>10553</v>
      </c>
      <c r="B794">
        <v>35</v>
      </c>
      <c r="C794" s="6" t="s">
        <v>24</v>
      </c>
      <c r="D794">
        <v>6</v>
      </c>
      <c r="E794" s="6" t="s">
        <v>6</v>
      </c>
      <c r="F794" t="str">
        <f>_xlfn.XLOOKUP(northwind_order_details[[#This Row],[order_id]],northwind_orders[order_id],northwind_orders[ship_country])</f>
        <v>Finland</v>
      </c>
      <c r="G794">
        <f>INDEX(northwind_orders[],MATCH(northwind_order_details[[#This Row],[order_id]], northwind_orders[order_id], 0), MATCH("employee_id", northwind_orders[#Headers], 0))</f>
        <v>2</v>
      </c>
      <c r="H794">
        <f>northwind_order_details[[#This Row],[unit_price]]*northwind_order_details[[#This Row],[quantity]]</f>
        <v>108</v>
      </c>
      <c r="I794" s="1">
        <f>northwind_order_details[[#This Row],[purchase amount]]*northwind_order_details[[#This Row],[discount]]</f>
        <v>0</v>
      </c>
      <c r="J794" s="1">
        <f>northwind_order_details[[#This Row],[purchase amount]]-northwind_order_details[[#This Row],[discount amount]]</f>
        <v>108</v>
      </c>
      <c r="K794" s="6" t="str">
        <f>IF(northwind_order_details[[#This Row],[discount amount]]&gt;0,"Yes","No")</f>
        <v>No</v>
      </c>
      <c r="L794" s="1" t="str">
        <f>IF(northwind_order_details[[#This Row],[Revenue]]&gt;1000,"High",IF(northwind_order_details[[#This Row],[Revenue]]&gt;300,"Medium","Low"))</f>
        <v>Low</v>
      </c>
      <c r="M7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95" spans="1:13" x14ac:dyDescent="0.25">
      <c r="A795">
        <v>10554</v>
      </c>
      <c r="B795">
        <v>16</v>
      </c>
      <c r="C795" s="6">
        <v>17.45</v>
      </c>
      <c r="D795">
        <v>30</v>
      </c>
      <c r="E795" s="6">
        <v>0.05</v>
      </c>
      <c r="F795" t="str">
        <f>_xlfn.XLOOKUP(northwind_order_details[[#This Row],[order_id]],northwind_orders[order_id],northwind_orders[ship_country])</f>
        <v>Germany</v>
      </c>
      <c r="G795">
        <f>INDEX(northwind_orders[],MATCH(northwind_order_details[[#This Row],[order_id]], northwind_orders[order_id], 0), MATCH("employee_id", northwind_orders[#Headers], 0))</f>
        <v>4</v>
      </c>
      <c r="H795">
        <f>northwind_order_details[[#This Row],[unit_price]]*northwind_order_details[[#This Row],[quantity]]</f>
        <v>523.5</v>
      </c>
      <c r="I795" s="1">
        <f>northwind_order_details[[#This Row],[purchase amount]]*northwind_order_details[[#This Row],[discount]]</f>
        <v>26.175000000000001</v>
      </c>
      <c r="J795" s="1">
        <f>northwind_order_details[[#This Row],[purchase amount]]-northwind_order_details[[#This Row],[discount amount]]</f>
        <v>497.32499999999999</v>
      </c>
      <c r="K795" s="6" t="str">
        <f>IF(northwind_order_details[[#This Row],[discount amount]]&gt;0,"Yes","No")</f>
        <v>Yes</v>
      </c>
      <c r="L795" s="1" t="str">
        <f>IF(northwind_order_details[[#This Row],[Revenue]]&gt;1000,"High",IF(northwind_order_details[[#This Row],[Revenue]]&gt;300,"Medium","Low"))</f>
        <v>Medium</v>
      </c>
      <c r="M7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96" spans="1:13" x14ac:dyDescent="0.25">
      <c r="A796">
        <v>10554</v>
      </c>
      <c r="B796">
        <v>23</v>
      </c>
      <c r="C796" s="6" t="s">
        <v>40</v>
      </c>
      <c r="D796">
        <v>20</v>
      </c>
      <c r="E796" s="6">
        <v>0.05</v>
      </c>
      <c r="F796" t="str">
        <f>_xlfn.XLOOKUP(northwind_order_details[[#This Row],[order_id]],northwind_orders[order_id],northwind_orders[ship_country])</f>
        <v>Germany</v>
      </c>
      <c r="G796">
        <f>INDEX(northwind_orders[],MATCH(northwind_order_details[[#This Row],[order_id]], northwind_orders[order_id], 0), MATCH("employee_id", northwind_orders[#Headers], 0))</f>
        <v>4</v>
      </c>
      <c r="H796">
        <f>northwind_order_details[[#This Row],[unit_price]]*northwind_order_details[[#This Row],[quantity]]</f>
        <v>180</v>
      </c>
      <c r="I796" s="1">
        <f>northwind_order_details[[#This Row],[purchase amount]]*northwind_order_details[[#This Row],[discount]]</f>
        <v>9</v>
      </c>
      <c r="J796" s="1">
        <f>northwind_order_details[[#This Row],[purchase amount]]-northwind_order_details[[#This Row],[discount amount]]</f>
        <v>171</v>
      </c>
      <c r="K796" s="6" t="str">
        <f>IF(northwind_order_details[[#This Row],[discount amount]]&gt;0,"Yes","No")</f>
        <v>Yes</v>
      </c>
      <c r="L796" s="1" t="str">
        <f>IF(northwind_order_details[[#This Row],[Revenue]]&gt;1000,"High",IF(northwind_order_details[[#This Row],[Revenue]]&gt;300,"Medium","Low"))</f>
        <v>Low</v>
      </c>
      <c r="M7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97" spans="1:13" x14ac:dyDescent="0.25">
      <c r="A797">
        <v>10554</v>
      </c>
      <c r="B797">
        <v>62</v>
      </c>
      <c r="C797" s="6">
        <v>49.3</v>
      </c>
      <c r="D797">
        <v>20</v>
      </c>
      <c r="E797" s="6">
        <v>0.05</v>
      </c>
      <c r="F797" t="str">
        <f>_xlfn.XLOOKUP(northwind_order_details[[#This Row],[order_id]],northwind_orders[order_id],northwind_orders[ship_country])</f>
        <v>Germany</v>
      </c>
      <c r="G797">
        <f>INDEX(northwind_orders[],MATCH(northwind_order_details[[#This Row],[order_id]], northwind_orders[order_id], 0), MATCH("employee_id", northwind_orders[#Headers], 0))</f>
        <v>4</v>
      </c>
      <c r="H797">
        <f>northwind_order_details[[#This Row],[unit_price]]*northwind_order_details[[#This Row],[quantity]]</f>
        <v>986</v>
      </c>
      <c r="I797" s="1">
        <f>northwind_order_details[[#This Row],[purchase amount]]*northwind_order_details[[#This Row],[discount]]</f>
        <v>49.300000000000004</v>
      </c>
      <c r="J797" s="1">
        <f>northwind_order_details[[#This Row],[purchase amount]]-northwind_order_details[[#This Row],[discount amount]]</f>
        <v>936.7</v>
      </c>
      <c r="K797" s="6" t="str">
        <f>IF(northwind_order_details[[#This Row],[discount amount]]&gt;0,"Yes","No")</f>
        <v>Yes</v>
      </c>
      <c r="L797" s="1" t="str">
        <f>IF(northwind_order_details[[#This Row],[Revenue]]&gt;1000,"High",IF(northwind_order_details[[#This Row],[Revenue]]&gt;300,"Medium","Low"))</f>
        <v>Medium</v>
      </c>
      <c r="M7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798" spans="1:13" x14ac:dyDescent="0.25">
      <c r="A798">
        <v>10554</v>
      </c>
      <c r="B798">
        <v>77</v>
      </c>
      <c r="C798" s="6" t="s">
        <v>19</v>
      </c>
      <c r="D798">
        <v>10</v>
      </c>
      <c r="E798" s="6">
        <v>0.05</v>
      </c>
      <c r="F798" t="str">
        <f>_xlfn.XLOOKUP(northwind_order_details[[#This Row],[order_id]],northwind_orders[order_id],northwind_orders[ship_country])</f>
        <v>Germany</v>
      </c>
      <c r="G798">
        <f>INDEX(northwind_orders[],MATCH(northwind_order_details[[#This Row],[order_id]], northwind_orders[order_id], 0), MATCH("employee_id", northwind_orders[#Headers], 0))</f>
        <v>4</v>
      </c>
      <c r="H798">
        <f>northwind_order_details[[#This Row],[unit_price]]*northwind_order_details[[#This Row],[quantity]]</f>
        <v>130</v>
      </c>
      <c r="I798" s="1">
        <f>northwind_order_details[[#This Row],[purchase amount]]*northwind_order_details[[#This Row],[discount]]</f>
        <v>6.5</v>
      </c>
      <c r="J798" s="1">
        <f>northwind_order_details[[#This Row],[purchase amount]]-northwind_order_details[[#This Row],[discount amount]]</f>
        <v>123.5</v>
      </c>
      <c r="K798" s="6" t="str">
        <f>IF(northwind_order_details[[#This Row],[discount amount]]&gt;0,"Yes","No")</f>
        <v>Yes</v>
      </c>
      <c r="L798" s="1" t="str">
        <f>IF(northwind_order_details[[#This Row],[Revenue]]&gt;1000,"High",IF(northwind_order_details[[#This Row],[Revenue]]&gt;300,"Medium","Low"))</f>
        <v>Low</v>
      </c>
      <c r="M7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799" spans="1:13" x14ac:dyDescent="0.25">
      <c r="A799">
        <v>10555</v>
      </c>
      <c r="B799">
        <v>14</v>
      </c>
      <c r="C799" s="6">
        <v>23.25</v>
      </c>
      <c r="D799">
        <v>30</v>
      </c>
      <c r="E799" s="6">
        <v>0.2</v>
      </c>
      <c r="F799" t="str">
        <f>_xlfn.XLOOKUP(northwind_order_details[[#This Row],[order_id]],northwind_orders[order_id],northwind_orders[ship_country])</f>
        <v>USA</v>
      </c>
      <c r="G799">
        <f>INDEX(northwind_orders[],MATCH(northwind_order_details[[#This Row],[order_id]], northwind_orders[order_id], 0), MATCH("employee_id", northwind_orders[#Headers], 0))</f>
        <v>6</v>
      </c>
      <c r="H799">
        <f>northwind_order_details[[#This Row],[unit_price]]*northwind_order_details[[#This Row],[quantity]]</f>
        <v>697.5</v>
      </c>
      <c r="I799" s="1">
        <f>northwind_order_details[[#This Row],[purchase amount]]*northwind_order_details[[#This Row],[discount]]</f>
        <v>139.5</v>
      </c>
      <c r="J799" s="1">
        <f>northwind_order_details[[#This Row],[purchase amount]]-northwind_order_details[[#This Row],[discount amount]]</f>
        <v>558</v>
      </c>
      <c r="K799" s="6" t="str">
        <f>IF(northwind_order_details[[#This Row],[discount amount]]&gt;0,"Yes","No")</f>
        <v>Yes</v>
      </c>
      <c r="L799" s="1" t="str">
        <f>IF(northwind_order_details[[#This Row],[Revenue]]&gt;1000,"High",IF(northwind_order_details[[#This Row],[Revenue]]&gt;300,"Medium","Low"))</f>
        <v>Medium</v>
      </c>
      <c r="M79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0" spans="1:13" x14ac:dyDescent="0.25">
      <c r="A800">
        <v>10555</v>
      </c>
      <c r="B800">
        <v>19</v>
      </c>
      <c r="C800" s="6">
        <v>9.1999999999999993</v>
      </c>
      <c r="D800">
        <v>35</v>
      </c>
      <c r="E800" s="6">
        <v>0.2</v>
      </c>
      <c r="F800" t="str">
        <f>_xlfn.XLOOKUP(northwind_order_details[[#This Row],[order_id]],northwind_orders[order_id],northwind_orders[ship_country])</f>
        <v>USA</v>
      </c>
      <c r="G800">
        <f>INDEX(northwind_orders[],MATCH(northwind_order_details[[#This Row],[order_id]], northwind_orders[order_id], 0), MATCH("employee_id", northwind_orders[#Headers], 0))</f>
        <v>6</v>
      </c>
      <c r="H800">
        <f>northwind_order_details[[#This Row],[unit_price]]*northwind_order_details[[#This Row],[quantity]]</f>
        <v>322</v>
      </c>
      <c r="I800" s="1">
        <f>northwind_order_details[[#This Row],[purchase amount]]*northwind_order_details[[#This Row],[discount]]</f>
        <v>64.400000000000006</v>
      </c>
      <c r="J800" s="1">
        <f>northwind_order_details[[#This Row],[purchase amount]]-northwind_order_details[[#This Row],[discount amount]]</f>
        <v>257.60000000000002</v>
      </c>
      <c r="K800" s="6" t="str">
        <f>IF(northwind_order_details[[#This Row],[discount amount]]&gt;0,"Yes","No")</f>
        <v>Yes</v>
      </c>
      <c r="L800" s="1" t="str">
        <f>IF(northwind_order_details[[#This Row],[Revenue]]&gt;1000,"High",IF(northwind_order_details[[#This Row],[Revenue]]&gt;300,"Medium","Low"))</f>
        <v>Low</v>
      </c>
      <c r="M80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1" spans="1:13" x14ac:dyDescent="0.25">
      <c r="A801">
        <v>10555</v>
      </c>
      <c r="B801">
        <v>24</v>
      </c>
      <c r="C801" s="6">
        <v>4.5</v>
      </c>
      <c r="D801">
        <v>18</v>
      </c>
      <c r="E801" s="6">
        <v>0.2</v>
      </c>
      <c r="F801" t="str">
        <f>_xlfn.XLOOKUP(northwind_order_details[[#This Row],[order_id]],northwind_orders[order_id],northwind_orders[ship_country])</f>
        <v>USA</v>
      </c>
      <c r="G801">
        <f>INDEX(northwind_orders[],MATCH(northwind_order_details[[#This Row],[order_id]], northwind_orders[order_id], 0), MATCH("employee_id", northwind_orders[#Headers], 0))</f>
        <v>6</v>
      </c>
      <c r="H801">
        <f>northwind_order_details[[#This Row],[unit_price]]*northwind_order_details[[#This Row],[quantity]]</f>
        <v>81</v>
      </c>
      <c r="I801" s="1">
        <f>northwind_order_details[[#This Row],[purchase amount]]*northwind_order_details[[#This Row],[discount]]</f>
        <v>16.2</v>
      </c>
      <c r="J801" s="1">
        <f>northwind_order_details[[#This Row],[purchase amount]]-northwind_order_details[[#This Row],[discount amount]]</f>
        <v>64.8</v>
      </c>
      <c r="K801" s="6" t="str">
        <f>IF(northwind_order_details[[#This Row],[discount amount]]&gt;0,"Yes","No")</f>
        <v>Yes</v>
      </c>
      <c r="L801" s="1" t="str">
        <f>IF(northwind_order_details[[#This Row],[Revenue]]&gt;1000,"High",IF(northwind_order_details[[#This Row],[Revenue]]&gt;300,"Medium","Low"))</f>
        <v>Low</v>
      </c>
      <c r="M80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2" spans="1:13" x14ac:dyDescent="0.25">
      <c r="A802">
        <v>10555</v>
      </c>
      <c r="B802">
        <v>51</v>
      </c>
      <c r="C802" s="6" t="s">
        <v>39</v>
      </c>
      <c r="D802">
        <v>20</v>
      </c>
      <c r="E802" s="6">
        <v>0.2</v>
      </c>
      <c r="F802" t="str">
        <f>_xlfn.XLOOKUP(northwind_order_details[[#This Row],[order_id]],northwind_orders[order_id],northwind_orders[ship_country])</f>
        <v>USA</v>
      </c>
      <c r="G802">
        <f>INDEX(northwind_orders[],MATCH(northwind_order_details[[#This Row],[order_id]], northwind_orders[order_id], 0), MATCH("employee_id", northwind_orders[#Headers], 0))</f>
        <v>6</v>
      </c>
      <c r="H802">
        <f>northwind_order_details[[#This Row],[unit_price]]*northwind_order_details[[#This Row],[quantity]]</f>
        <v>1060</v>
      </c>
      <c r="I802" s="1">
        <f>northwind_order_details[[#This Row],[purchase amount]]*northwind_order_details[[#This Row],[discount]]</f>
        <v>212</v>
      </c>
      <c r="J802" s="1">
        <f>northwind_order_details[[#This Row],[purchase amount]]-northwind_order_details[[#This Row],[discount amount]]</f>
        <v>848</v>
      </c>
      <c r="K802" s="6" t="str">
        <f>IF(northwind_order_details[[#This Row],[discount amount]]&gt;0,"Yes","No")</f>
        <v>Yes</v>
      </c>
      <c r="L802" s="1" t="str">
        <f>IF(northwind_order_details[[#This Row],[Revenue]]&gt;1000,"High",IF(northwind_order_details[[#This Row],[Revenue]]&gt;300,"Medium","Low"))</f>
        <v>Medium</v>
      </c>
      <c r="M8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03" spans="1:13" x14ac:dyDescent="0.25">
      <c r="A803">
        <v>10555</v>
      </c>
      <c r="B803">
        <v>56</v>
      </c>
      <c r="C803" s="6" t="s">
        <v>30</v>
      </c>
      <c r="D803">
        <v>40</v>
      </c>
      <c r="E803" s="6">
        <v>0.2</v>
      </c>
      <c r="F803" t="str">
        <f>_xlfn.XLOOKUP(northwind_order_details[[#This Row],[order_id]],northwind_orders[order_id],northwind_orders[ship_country])</f>
        <v>USA</v>
      </c>
      <c r="G803">
        <f>INDEX(northwind_orders[],MATCH(northwind_order_details[[#This Row],[order_id]], northwind_orders[order_id], 0), MATCH("employee_id", northwind_orders[#Headers], 0))</f>
        <v>6</v>
      </c>
      <c r="H803">
        <f>northwind_order_details[[#This Row],[unit_price]]*northwind_order_details[[#This Row],[quantity]]</f>
        <v>1520</v>
      </c>
      <c r="I803" s="1">
        <f>northwind_order_details[[#This Row],[purchase amount]]*northwind_order_details[[#This Row],[discount]]</f>
        <v>304</v>
      </c>
      <c r="J803" s="1">
        <f>northwind_order_details[[#This Row],[purchase amount]]-northwind_order_details[[#This Row],[discount amount]]</f>
        <v>1216</v>
      </c>
      <c r="K803" s="6" t="str">
        <f>IF(northwind_order_details[[#This Row],[discount amount]]&gt;0,"Yes","No")</f>
        <v>Yes</v>
      </c>
      <c r="L803" s="1" t="str">
        <f>IF(northwind_order_details[[#This Row],[Revenue]]&gt;1000,"High",IF(northwind_order_details[[#This Row],[Revenue]]&gt;300,"Medium","Low"))</f>
        <v>High</v>
      </c>
      <c r="M8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04" spans="1:13" x14ac:dyDescent="0.25">
      <c r="A804">
        <v>10556</v>
      </c>
      <c r="B804">
        <v>72</v>
      </c>
      <c r="C804" s="6">
        <v>34.799999999999997</v>
      </c>
      <c r="D804">
        <v>24</v>
      </c>
      <c r="E804" s="6" t="s">
        <v>6</v>
      </c>
      <c r="F804" t="str">
        <f>_xlfn.XLOOKUP(northwind_order_details[[#This Row],[order_id]],northwind_orders[order_id],northwind_orders[ship_country])</f>
        <v>Denmark</v>
      </c>
      <c r="G804">
        <f>INDEX(northwind_orders[],MATCH(northwind_order_details[[#This Row],[order_id]], northwind_orders[order_id], 0), MATCH("employee_id", northwind_orders[#Headers], 0))</f>
        <v>2</v>
      </c>
      <c r="H804">
        <f>northwind_order_details[[#This Row],[unit_price]]*northwind_order_details[[#This Row],[quantity]]</f>
        <v>835.19999999999993</v>
      </c>
      <c r="I804" s="1">
        <f>northwind_order_details[[#This Row],[purchase amount]]*northwind_order_details[[#This Row],[discount]]</f>
        <v>0</v>
      </c>
      <c r="J804" s="1">
        <f>northwind_order_details[[#This Row],[purchase amount]]-northwind_order_details[[#This Row],[discount amount]]</f>
        <v>835.19999999999993</v>
      </c>
      <c r="K804" s="6" t="str">
        <f>IF(northwind_order_details[[#This Row],[discount amount]]&gt;0,"Yes","No")</f>
        <v>No</v>
      </c>
      <c r="L804" s="1" t="str">
        <f>IF(northwind_order_details[[#This Row],[Revenue]]&gt;1000,"High",IF(northwind_order_details[[#This Row],[Revenue]]&gt;300,"Medium","Low"))</f>
        <v>Medium</v>
      </c>
      <c r="M8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5" spans="1:13" x14ac:dyDescent="0.25">
      <c r="A805">
        <v>10557</v>
      </c>
      <c r="B805">
        <v>64</v>
      </c>
      <c r="C805" s="6">
        <v>33.25</v>
      </c>
      <c r="D805">
        <v>30</v>
      </c>
      <c r="E805" s="6" t="s">
        <v>6</v>
      </c>
      <c r="F805" t="str">
        <f>_xlfn.XLOOKUP(northwind_order_details[[#This Row],[order_id]],northwind_orders[order_id],northwind_orders[ship_country])</f>
        <v>Germany</v>
      </c>
      <c r="G805">
        <f>INDEX(northwind_orders[],MATCH(northwind_order_details[[#This Row],[order_id]], northwind_orders[order_id], 0), MATCH("employee_id", northwind_orders[#Headers], 0))</f>
        <v>9</v>
      </c>
      <c r="H805">
        <f>northwind_order_details[[#This Row],[unit_price]]*northwind_order_details[[#This Row],[quantity]]</f>
        <v>997.5</v>
      </c>
      <c r="I805" s="1">
        <f>northwind_order_details[[#This Row],[purchase amount]]*northwind_order_details[[#This Row],[discount]]</f>
        <v>0</v>
      </c>
      <c r="J805" s="1">
        <f>northwind_order_details[[#This Row],[purchase amount]]-northwind_order_details[[#This Row],[discount amount]]</f>
        <v>997.5</v>
      </c>
      <c r="K805" s="6" t="str">
        <f>IF(northwind_order_details[[#This Row],[discount amount]]&gt;0,"Yes","No")</f>
        <v>No</v>
      </c>
      <c r="L805" s="1" t="str">
        <f>IF(northwind_order_details[[#This Row],[Revenue]]&gt;1000,"High",IF(northwind_order_details[[#This Row],[Revenue]]&gt;300,"Medium","Low"))</f>
        <v>Medium</v>
      </c>
      <c r="M80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6" spans="1:13" x14ac:dyDescent="0.25">
      <c r="A806">
        <v>10557</v>
      </c>
      <c r="B806">
        <v>75</v>
      </c>
      <c r="C806" s="6">
        <v>7.75</v>
      </c>
      <c r="D806">
        <v>20</v>
      </c>
      <c r="E806" s="6" t="s">
        <v>6</v>
      </c>
      <c r="F806" t="str">
        <f>_xlfn.XLOOKUP(northwind_order_details[[#This Row],[order_id]],northwind_orders[order_id],northwind_orders[ship_country])</f>
        <v>Germany</v>
      </c>
      <c r="G806">
        <f>INDEX(northwind_orders[],MATCH(northwind_order_details[[#This Row],[order_id]], northwind_orders[order_id], 0), MATCH("employee_id", northwind_orders[#Headers], 0))</f>
        <v>9</v>
      </c>
      <c r="H806">
        <f>northwind_order_details[[#This Row],[unit_price]]*northwind_order_details[[#This Row],[quantity]]</f>
        <v>155</v>
      </c>
      <c r="I806" s="1">
        <f>northwind_order_details[[#This Row],[purchase amount]]*northwind_order_details[[#This Row],[discount]]</f>
        <v>0</v>
      </c>
      <c r="J806" s="1">
        <f>northwind_order_details[[#This Row],[purchase amount]]-northwind_order_details[[#This Row],[discount amount]]</f>
        <v>155</v>
      </c>
      <c r="K806" s="6" t="str">
        <f>IF(northwind_order_details[[#This Row],[discount amount]]&gt;0,"Yes","No")</f>
        <v>No</v>
      </c>
      <c r="L806" s="1" t="str">
        <f>IF(northwind_order_details[[#This Row],[Revenue]]&gt;1000,"High",IF(northwind_order_details[[#This Row],[Revenue]]&gt;300,"Medium","Low"))</f>
        <v>Low</v>
      </c>
      <c r="M80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7" spans="1:13" x14ac:dyDescent="0.25">
      <c r="A807">
        <v>10558</v>
      </c>
      <c r="B807">
        <v>47</v>
      </c>
      <c r="C807" s="6">
        <v>9.5</v>
      </c>
      <c r="D807">
        <v>25</v>
      </c>
      <c r="E807" s="6" t="s">
        <v>6</v>
      </c>
      <c r="F807" t="str">
        <f>_xlfn.XLOOKUP(northwind_order_details[[#This Row],[order_id]],northwind_orders[order_id],northwind_orders[ship_country])</f>
        <v>UK</v>
      </c>
      <c r="G807">
        <f>INDEX(northwind_orders[],MATCH(northwind_order_details[[#This Row],[order_id]], northwind_orders[order_id], 0), MATCH("employee_id", northwind_orders[#Headers], 0))</f>
        <v>1</v>
      </c>
      <c r="H807">
        <f>northwind_order_details[[#This Row],[unit_price]]*northwind_order_details[[#This Row],[quantity]]</f>
        <v>237.5</v>
      </c>
      <c r="I807" s="1">
        <f>northwind_order_details[[#This Row],[purchase amount]]*northwind_order_details[[#This Row],[discount]]</f>
        <v>0</v>
      </c>
      <c r="J807" s="1">
        <f>northwind_order_details[[#This Row],[purchase amount]]-northwind_order_details[[#This Row],[discount amount]]</f>
        <v>237.5</v>
      </c>
      <c r="K807" s="6" t="str">
        <f>IF(northwind_order_details[[#This Row],[discount amount]]&gt;0,"Yes","No")</f>
        <v>No</v>
      </c>
      <c r="L807" s="1" t="str">
        <f>IF(northwind_order_details[[#This Row],[Revenue]]&gt;1000,"High",IF(northwind_order_details[[#This Row],[Revenue]]&gt;300,"Medium","Low"))</f>
        <v>Low</v>
      </c>
      <c r="M80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08" spans="1:13" x14ac:dyDescent="0.25">
      <c r="A808">
        <v>10558</v>
      </c>
      <c r="B808">
        <v>51</v>
      </c>
      <c r="C808" s="6" t="s">
        <v>39</v>
      </c>
      <c r="D808">
        <v>20</v>
      </c>
      <c r="E808" s="6" t="s">
        <v>6</v>
      </c>
      <c r="F808" t="str">
        <f>_xlfn.XLOOKUP(northwind_order_details[[#This Row],[order_id]],northwind_orders[order_id],northwind_orders[ship_country])</f>
        <v>UK</v>
      </c>
      <c r="G808">
        <f>INDEX(northwind_orders[],MATCH(northwind_order_details[[#This Row],[order_id]], northwind_orders[order_id], 0), MATCH("employee_id", northwind_orders[#Headers], 0))</f>
        <v>1</v>
      </c>
      <c r="H808">
        <f>northwind_order_details[[#This Row],[unit_price]]*northwind_order_details[[#This Row],[quantity]]</f>
        <v>1060</v>
      </c>
      <c r="I808" s="1">
        <f>northwind_order_details[[#This Row],[purchase amount]]*northwind_order_details[[#This Row],[discount]]</f>
        <v>0</v>
      </c>
      <c r="J808" s="1">
        <f>northwind_order_details[[#This Row],[purchase amount]]-northwind_order_details[[#This Row],[discount amount]]</f>
        <v>1060</v>
      </c>
      <c r="K808" s="6" t="str">
        <f>IF(northwind_order_details[[#This Row],[discount amount]]&gt;0,"Yes","No")</f>
        <v>No</v>
      </c>
      <c r="L808" s="1" t="str">
        <f>IF(northwind_order_details[[#This Row],[Revenue]]&gt;1000,"High",IF(northwind_order_details[[#This Row],[Revenue]]&gt;300,"Medium","Low"))</f>
        <v>High</v>
      </c>
      <c r="M8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09" spans="1:13" x14ac:dyDescent="0.25">
      <c r="A809">
        <v>10558</v>
      </c>
      <c r="B809">
        <v>52</v>
      </c>
      <c r="C809" s="6" t="s">
        <v>32</v>
      </c>
      <c r="D809">
        <v>30</v>
      </c>
      <c r="E809" s="6" t="s">
        <v>6</v>
      </c>
      <c r="F809" t="str">
        <f>_xlfn.XLOOKUP(northwind_order_details[[#This Row],[order_id]],northwind_orders[order_id],northwind_orders[ship_country])</f>
        <v>UK</v>
      </c>
      <c r="G809">
        <f>INDEX(northwind_orders[],MATCH(northwind_order_details[[#This Row],[order_id]], northwind_orders[order_id], 0), MATCH("employee_id", northwind_orders[#Headers], 0))</f>
        <v>1</v>
      </c>
      <c r="H809">
        <f>northwind_order_details[[#This Row],[unit_price]]*northwind_order_details[[#This Row],[quantity]]</f>
        <v>210</v>
      </c>
      <c r="I809" s="1">
        <f>northwind_order_details[[#This Row],[purchase amount]]*northwind_order_details[[#This Row],[discount]]</f>
        <v>0</v>
      </c>
      <c r="J809" s="1">
        <f>northwind_order_details[[#This Row],[purchase amount]]-northwind_order_details[[#This Row],[discount amount]]</f>
        <v>210</v>
      </c>
      <c r="K809" s="6" t="str">
        <f>IF(northwind_order_details[[#This Row],[discount amount]]&gt;0,"Yes","No")</f>
        <v>No</v>
      </c>
      <c r="L809" s="1" t="str">
        <f>IF(northwind_order_details[[#This Row],[Revenue]]&gt;1000,"High",IF(northwind_order_details[[#This Row],[Revenue]]&gt;300,"Medium","Low"))</f>
        <v>Low</v>
      </c>
      <c r="M8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10" spans="1:13" x14ac:dyDescent="0.25">
      <c r="A810">
        <v>10558</v>
      </c>
      <c r="B810">
        <v>53</v>
      </c>
      <c r="C810" s="6">
        <v>32.799999999999997</v>
      </c>
      <c r="D810">
        <v>18</v>
      </c>
      <c r="E810" s="6" t="s">
        <v>6</v>
      </c>
      <c r="F810" t="str">
        <f>_xlfn.XLOOKUP(northwind_order_details[[#This Row],[order_id]],northwind_orders[order_id],northwind_orders[ship_country])</f>
        <v>UK</v>
      </c>
      <c r="G810">
        <f>INDEX(northwind_orders[],MATCH(northwind_order_details[[#This Row],[order_id]], northwind_orders[order_id], 0), MATCH("employee_id", northwind_orders[#Headers], 0))</f>
        <v>1</v>
      </c>
      <c r="H810">
        <f>northwind_order_details[[#This Row],[unit_price]]*northwind_order_details[[#This Row],[quantity]]</f>
        <v>590.4</v>
      </c>
      <c r="I810" s="1">
        <f>northwind_order_details[[#This Row],[purchase amount]]*northwind_order_details[[#This Row],[discount]]</f>
        <v>0</v>
      </c>
      <c r="J810" s="1">
        <f>northwind_order_details[[#This Row],[purchase amount]]-northwind_order_details[[#This Row],[discount amount]]</f>
        <v>590.4</v>
      </c>
      <c r="K810" s="6" t="str">
        <f>IF(northwind_order_details[[#This Row],[discount amount]]&gt;0,"Yes","No")</f>
        <v>No</v>
      </c>
      <c r="L810" s="1" t="str">
        <f>IF(northwind_order_details[[#This Row],[Revenue]]&gt;1000,"High",IF(northwind_order_details[[#This Row],[Revenue]]&gt;300,"Medium","Low"))</f>
        <v>Medium</v>
      </c>
      <c r="M81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11" spans="1:13" x14ac:dyDescent="0.25">
      <c r="A811">
        <v>10558</v>
      </c>
      <c r="B811">
        <v>73</v>
      </c>
      <c r="C811" s="6" t="s">
        <v>21</v>
      </c>
      <c r="D811">
        <v>3</v>
      </c>
      <c r="E811" s="6" t="s">
        <v>6</v>
      </c>
      <c r="F811" t="str">
        <f>_xlfn.XLOOKUP(northwind_order_details[[#This Row],[order_id]],northwind_orders[order_id],northwind_orders[ship_country])</f>
        <v>UK</v>
      </c>
      <c r="G811">
        <f>INDEX(northwind_orders[],MATCH(northwind_order_details[[#This Row],[order_id]], northwind_orders[order_id], 0), MATCH("employee_id", northwind_orders[#Headers], 0))</f>
        <v>1</v>
      </c>
      <c r="H811">
        <f>northwind_order_details[[#This Row],[unit_price]]*northwind_order_details[[#This Row],[quantity]]</f>
        <v>45</v>
      </c>
      <c r="I811" s="1">
        <f>northwind_order_details[[#This Row],[purchase amount]]*northwind_order_details[[#This Row],[discount]]</f>
        <v>0</v>
      </c>
      <c r="J811" s="1">
        <f>northwind_order_details[[#This Row],[purchase amount]]-northwind_order_details[[#This Row],[discount amount]]</f>
        <v>45</v>
      </c>
      <c r="K811" s="6" t="str">
        <f>IF(northwind_order_details[[#This Row],[discount amount]]&gt;0,"Yes","No")</f>
        <v>No</v>
      </c>
      <c r="L811" s="1" t="str">
        <f>IF(northwind_order_details[[#This Row],[Revenue]]&gt;1000,"High",IF(northwind_order_details[[#This Row],[Revenue]]&gt;300,"Medium","Low"))</f>
        <v>Low</v>
      </c>
      <c r="M8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12" spans="1:13" x14ac:dyDescent="0.25">
      <c r="A812">
        <v>10559</v>
      </c>
      <c r="B812">
        <v>41</v>
      </c>
      <c r="C812" s="6">
        <v>9.65</v>
      </c>
      <c r="D812">
        <v>12</v>
      </c>
      <c r="E812" s="6">
        <v>0.05</v>
      </c>
      <c r="F812" t="str">
        <f>_xlfn.XLOOKUP(northwind_order_details[[#This Row],[order_id]],northwind_orders[order_id],northwind_orders[ship_country])</f>
        <v>France</v>
      </c>
      <c r="G812">
        <f>INDEX(northwind_orders[],MATCH(northwind_order_details[[#This Row],[order_id]], northwind_orders[order_id], 0), MATCH("employee_id", northwind_orders[#Headers], 0))</f>
        <v>6</v>
      </c>
      <c r="H812">
        <f>northwind_order_details[[#This Row],[unit_price]]*northwind_order_details[[#This Row],[quantity]]</f>
        <v>115.80000000000001</v>
      </c>
      <c r="I812" s="1">
        <f>northwind_order_details[[#This Row],[purchase amount]]*northwind_order_details[[#This Row],[discount]]</f>
        <v>5.7900000000000009</v>
      </c>
      <c r="J812" s="1">
        <f>northwind_order_details[[#This Row],[purchase amount]]-northwind_order_details[[#This Row],[discount amount]]</f>
        <v>110.01</v>
      </c>
      <c r="K812" s="6" t="str">
        <f>IF(northwind_order_details[[#This Row],[discount amount]]&gt;0,"Yes","No")</f>
        <v>Yes</v>
      </c>
      <c r="L812" s="1" t="str">
        <f>IF(northwind_order_details[[#This Row],[Revenue]]&gt;1000,"High",IF(northwind_order_details[[#This Row],[Revenue]]&gt;300,"Medium","Low"))</f>
        <v>Low</v>
      </c>
      <c r="M81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13" spans="1:13" x14ac:dyDescent="0.25">
      <c r="A813">
        <v>10559</v>
      </c>
      <c r="B813">
        <v>55</v>
      </c>
      <c r="C813" s="6" t="s">
        <v>14</v>
      </c>
      <c r="D813">
        <v>18</v>
      </c>
      <c r="E813" s="6">
        <v>0.05</v>
      </c>
      <c r="F813" t="str">
        <f>_xlfn.XLOOKUP(northwind_order_details[[#This Row],[order_id]],northwind_orders[order_id],northwind_orders[ship_country])</f>
        <v>France</v>
      </c>
      <c r="G813">
        <f>INDEX(northwind_orders[],MATCH(northwind_order_details[[#This Row],[order_id]], northwind_orders[order_id], 0), MATCH("employee_id", northwind_orders[#Headers], 0))</f>
        <v>6</v>
      </c>
      <c r="H813">
        <f>northwind_order_details[[#This Row],[unit_price]]*northwind_order_details[[#This Row],[quantity]]</f>
        <v>432</v>
      </c>
      <c r="I813" s="1">
        <f>northwind_order_details[[#This Row],[purchase amount]]*northwind_order_details[[#This Row],[discount]]</f>
        <v>21.6</v>
      </c>
      <c r="J813" s="1">
        <f>northwind_order_details[[#This Row],[purchase amount]]-northwind_order_details[[#This Row],[discount amount]]</f>
        <v>410.4</v>
      </c>
      <c r="K813" s="6" t="str">
        <f>IF(northwind_order_details[[#This Row],[discount amount]]&gt;0,"Yes","No")</f>
        <v>Yes</v>
      </c>
      <c r="L813" s="1" t="str">
        <f>IF(northwind_order_details[[#This Row],[Revenue]]&gt;1000,"High",IF(northwind_order_details[[#This Row],[Revenue]]&gt;300,"Medium","Low"))</f>
        <v>Medium</v>
      </c>
      <c r="M8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14" spans="1:13" x14ac:dyDescent="0.25">
      <c r="A814">
        <v>10560</v>
      </c>
      <c r="B814">
        <v>30</v>
      </c>
      <c r="C814" s="6">
        <v>25.89</v>
      </c>
      <c r="D814">
        <v>20</v>
      </c>
      <c r="E814" s="6" t="s">
        <v>6</v>
      </c>
      <c r="F814" t="str">
        <f>_xlfn.XLOOKUP(northwind_order_details[[#This Row],[order_id]],northwind_orders[order_id],northwind_orders[ship_country])</f>
        <v>Germany</v>
      </c>
      <c r="G814">
        <f>INDEX(northwind_orders[],MATCH(northwind_order_details[[#This Row],[order_id]], northwind_orders[order_id], 0), MATCH("employee_id", northwind_orders[#Headers], 0))</f>
        <v>8</v>
      </c>
      <c r="H814">
        <f>northwind_order_details[[#This Row],[unit_price]]*northwind_order_details[[#This Row],[quantity]]</f>
        <v>517.79999999999995</v>
      </c>
      <c r="I814" s="1">
        <f>northwind_order_details[[#This Row],[purchase amount]]*northwind_order_details[[#This Row],[discount]]</f>
        <v>0</v>
      </c>
      <c r="J814" s="1">
        <f>northwind_order_details[[#This Row],[purchase amount]]-northwind_order_details[[#This Row],[discount amount]]</f>
        <v>517.79999999999995</v>
      </c>
      <c r="K814" s="6" t="str">
        <f>IF(northwind_order_details[[#This Row],[discount amount]]&gt;0,"Yes","No")</f>
        <v>No</v>
      </c>
      <c r="L814" s="1" t="str">
        <f>IF(northwind_order_details[[#This Row],[Revenue]]&gt;1000,"High",IF(northwind_order_details[[#This Row],[Revenue]]&gt;300,"Medium","Low"))</f>
        <v>Medium</v>
      </c>
      <c r="M81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15" spans="1:13" x14ac:dyDescent="0.25">
      <c r="A815">
        <v>10560</v>
      </c>
      <c r="B815">
        <v>62</v>
      </c>
      <c r="C815" s="6">
        <v>49.3</v>
      </c>
      <c r="D815">
        <v>15</v>
      </c>
      <c r="E815" s="6">
        <v>0.25</v>
      </c>
      <c r="F815" t="str">
        <f>_xlfn.XLOOKUP(northwind_order_details[[#This Row],[order_id]],northwind_orders[order_id],northwind_orders[ship_country])</f>
        <v>Germany</v>
      </c>
      <c r="G815">
        <f>INDEX(northwind_orders[],MATCH(northwind_order_details[[#This Row],[order_id]], northwind_orders[order_id], 0), MATCH("employee_id", northwind_orders[#Headers], 0))</f>
        <v>8</v>
      </c>
      <c r="H815">
        <f>northwind_order_details[[#This Row],[unit_price]]*northwind_order_details[[#This Row],[quantity]]</f>
        <v>739.5</v>
      </c>
      <c r="I815" s="1">
        <f>northwind_order_details[[#This Row],[purchase amount]]*northwind_order_details[[#This Row],[discount]]</f>
        <v>184.875</v>
      </c>
      <c r="J815" s="1">
        <f>northwind_order_details[[#This Row],[purchase amount]]-northwind_order_details[[#This Row],[discount amount]]</f>
        <v>554.625</v>
      </c>
      <c r="K815" s="6" t="str">
        <f>IF(northwind_order_details[[#This Row],[discount amount]]&gt;0,"Yes","No")</f>
        <v>Yes</v>
      </c>
      <c r="L815" s="1" t="str">
        <f>IF(northwind_order_details[[#This Row],[Revenue]]&gt;1000,"High",IF(northwind_order_details[[#This Row],[Revenue]]&gt;300,"Medium","Low"))</f>
        <v>Medium</v>
      </c>
      <c r="M81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16" spans="1:13" x14ac:dyDescent="0.25">
      <c r="A816">
        <v>10561</v>
      </c>
      <c r="B816">
        <v>44</v>
      </c>
      <c r="C816" s="6">
        <v>19.45</v>
      </c>
      <c r="D816">
        <v>10</v>
      </c>
      <c r="E816" s="6" t="s">
        <v>6</v>
      </c>
      <c r="F816" t="str">
        <f>_xlfn.XLOOKUP(northwind_order_details[[#This Row],[order_id]],northwind_orders[order_id],northwind_orders[ship_country])</f>
        <v>Sweden</v>
      </c>
      <c r="G816">
        <f>INDEX(northwind_orders[],MATCH(northwind_order_details[[#This Row],[order_id]], northwind_orders[order_id], 0), MATCH("employee_id", northwind_orders[#Headers], 0))</f>
        <v>2</v>
      </c>
      <c r="H816">
        <f>northwind_order_details[[#This Row],[unit_price]]*northwind_order_details[[#This Row],[quantity]]</f>
        <v>194.5</v>
      </c>
      <c r="I816" s="1">
        <f>northwind_order_details[[#This Row],[purchase amount]]*northwind_order_details[[#This Row],[discount]]</f>
        <v>0</v>
      </c>
      <c r="J816" s="1">
        <f>northwind_order_details[[#This Row],[purchase amount]]-northwind_order_details[[#This Row],[discount amount]]</f>
        <v>194.5</v>
      </c>
      <c r="K816" s="6" t="str">
        <f>IF(northwind_order_details[[#This Row],[discount amount]]&gt;0,"Yes","No")</f>
        <v>No</v>
      </c>
      <c r="L816" s="1" t="str">
        <f>IF(northwind_order_details[[#This Row],[Revenue]]&gt;1000,"High",IF(northwind_order_details[[#This Row],[Revenue]]&gt;300,"Medium","Low"))</f>
        <v>Low</v>
      </c>
      <c r="M81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17" spans="1:13" x14ac:dyDescent="0.25">
      <c r="A817">
        <v>10561</v>
      </c>
      <c r="B817">
        <v>51</v>
      </c>
      <c r="C817" s="6" t="s">
        <v>39</v>
      </c>
      <c r="D817">
        <v>50</v>
      </c>
      <c r="E817" s="6" t="s">
        <v>6</v>
      </c>
      <c r="F817" t="str">
        <f>_xlfn.XLOOKUP(northwind_order_details[[#This Row],[order_id]],northwind_orders[order_id],northwind_orders[ship_country])</f>
        <v>Sweden</v>
      </c>
      <c r="G817">
        <f>INDEX(northwind_orders[],MATCH(northwind_order_details[[#This Row],[order_id]], northwind_orders[order_id], 0), MATCH("employee_id", northwind_orders[#Headers], 0))</f>
        <v>2</v>
      </c>
      <c r="H817">
        <f>northwind_order_details[[#This Row],[unit_price]]*northwind_order_details[[#This Row],[quantity]]</f>
        <v>2650</v>
      </c>
      <c r="I817" s="1">
        <f>northwind_order_details[[#This Row],[purchase amount]]*northwind_order_details[[#This Row],[discount]]</f>
        <v>0</v>
      </c>
      <c r="J817" s="1">
        <f>northwind_order_details[[#This Row],[purchase amount]]-northwind_order_details[[#This Row],[discount amount]]</f>
        <v>2650</v>
      </c>
      <c r="K817" s="6" t="str">
        <f>IF(northwind_order_details[[#This Row],[discount amount]]&gt;0,"Yes","No")</f>
        <v>No</v>
      </c>
      <c r="L817" s="1" t="str">
        <f>IF(northwind_order_details[[#This Row],[Revenue]]&gt;1000,"High",IF(northwind_order_details[[#This Row],[Revenue]]&gt;300,"Medium","Low"))</f>
        <v>High</v>
      </c>
      <c r="M8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18" spans="1:13" x14ac:dyDescent="0.25">
      <c r="A818">
        <v>10562</v>
      </c>
      <c r="B818">
        <v>33</v>
      </c>
      <c r="C818" s="6">
        <v>2.5</v>
      </c>
      <c r="D818">
        <v>20</v>
      </c>
      <c r="E818" s="6">
        <v>0.1</v>
      </c>
      <c r="F818" t="str">
        <f>_xlfn.XLOOKUP(northwind_order_details[[#This Row],[order_id]],northwind_orders[order_id],northwind_orders[ship_country])</f>
        <v>Italy</v>
      </c>
      <c r="G818">
        <f>INDEX(northwind_orders[],MATCH(northwind_order_details[[#This Row],[order_id]], northwind_orders[order_id], 0), MATCH("employee_id", northwind_orders[#Headers], 0))</f>
        <v>1</v>
      </c>
      <c r="H818">
        <f>northwind_order_details[[#This Row],[unit_price]]*northwind_order_details[[#This Row],[quantity]]</f>
        <v>50</v>
      </c>
      <c r="I818" s="1">
        <f>northwind_order_details[[#This Row],[purchase amount]]*northwind_order_details[[#This Row],[discount]]</f>
        <v>5</v>
      </c>
      <c r="J818" s="1">
        <f>northwind_order_details[[#This Row],[purchase amount]]-northwind_order_details[[#This Row],[discount amount]]</f>
        <v>45</v>
      </c>
      <c r="K818" s="6" t="str">
        <f>IF(northwind_order_details[[#This Row],[discount amount]]&gt;0,"Yes","No")</f>
        <v>Yes</v>
      </c>
      <c r="L818" s="1" t="str">
        <f>IF(northwind_order_details[[#This Row],[Revenue]]&gt;1000,"High",IF(northwind_order_details[[#This Row],[Revenue]]&gt;300,"Medium","Low"))</f>
        <v>Low</v>
      </c>
      <c r="M8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19" spans="1:13" x14ac:dyDescent="0.25">
      <c r="A819">
        <v>10562</v>
      </c>
      <c r="B819">
        <v>62</v>
      </c>
      <c r="C819" s="6">
        <v>49.3</v>
      </c>
      <c r="D819">
        <v>10</v>
      </c>
      <c r="E819" s="6">
        <v>0.1</v>
      </c>
      <c r="F819" t="str">
        <f>_xlfn.XLOOKUP(northwind_order_details[[#This Row],[order_id]],northwind_orders[order_id],northwind_orders[ship_country])</f>
        <v>Italy</v>
      </c>
      <c r="G819">
        <f>INDEX(northwind_orders[],MATCH(northwind_order_details[[#This Row],[order_id]], northwind_orders[order_id], 0), MATCH("employee_id", northwind_orders[#Headers], 0))</f>
        <v>1</v>
      </c>
      <c r="H819">
        <f>northwind_order_details[[#This Row],[unit_price]]*northwind_order_details[[#This Row],[quantity]]</f>
        <v>493</v>
      </c>
      <c r="I819" s="1">
        <f>northwind_order_details[[#This Row],[purchase amount]]*northwind_order_details[[#This Row],[discount]]</f>
        <v>49.300000000000004</v>
      </c>
      <c r="J819" s="1">
        <f>northwind_order_details[[#This Row],[purchase amount]]-northwind_order_details[[#This Row],[discount amount]]</f>
        <v>443.7</v>
      </c>
      <c r="K819" s="6" t="str">
        <f>IF(northwind_order_details[[#This Row],[discount amount]]&gt;0,"Yes","No")</f>
        <v>Yes</v>
      </c>
      <c r="L819" s="1" t="str">
        <f>IF(northwind_order_details[[#This Row],[Revenue]]&gt;1000,"High",IF(northwind_order_details[[#This Row],[Revenue]]&gt;300,"Medium","Low"))</f>
        <v>Medium</v>
      </c>
      <c r="M81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20" spans="1:13" x14ac:dyDescent="0.25">
      <c r="A820">
        <v>10563</v>
      </c>
      <c r="B820">
        <v>36</v>
      </c>
      <c r="C820" s="6" t="s">
        <v>20</v>
      </c>
      <c r="D820">
        <v>25</v>
      </c>
      <c r="E820" s="6" t="s">
        <v>6</v>
      </c>
      <c r="F820" t="str">
        <f>_xlfn.XLOOKUP(northwind_order_details[[#This Row],[order_id]],northwind_orders[order_id],northwind_orders[ship_country])</f>
        <v>Brazil</v>
      </c>
      <c r="G820">
        <f>INDEX(northwind_orders[],MATCH(northwind_order_details[[#This Row],[order_id]], northwind_orders[order_id], 0), MATCH("employee_id", northwind_orders[#Headers], 0))</f>
        <v>2</v>
      </c>
      <c r="H820">
        <f>northwind_order_details[[#This Row],[unit_price]]*northwind_order_details[[#This Row],[quantity]]</f>
        <v>475</v>
      </c>
      <c r="I820" s="1">
        <f>northwind_order_details[[#This Row],[purchase amount]]*northwind_order_details[[#This Row],[discount]]</f>
        <v>0</v>
      </c>
      <c r="J820" s="1">
        <f>northwind_order_details[[#This Row],[purchase amount]]-northwind_order_details[[#This Row],[discount amount]]</f>
        <v>475</v>
      </c>
      <c r="K820" s="6" t="str">
        <f>IF(northwind_order_details[[#This Row],[discount amount]]&gt;0,"Yes","No")</f>
        <v>No</v>
      </c>
      <c r="L820" s="1" t="str">
        <f>IF(northwind_order_details[[#This Row],[Revenue]]&gt;1000,"High",IF(northwind_order_details[[#This Row],[Revenue]]&gt;300,"Medium","Low"))</f>
        <v>Medium</v>
      </c>
      <c r="M8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21" spans="1:13" x14ac:dyDescent="0.25">
      <c r="A821">
        <v>10563</v>
      </c>
      <c r="B821">
        <v>52</v>
      </c>
      <c r="C821" s="6" t="s">
        <v>32</v>
      </c>
      <c r="D821">
        <v>70</v>
      </c>
      <c r="E821" s="6" t="s">
        <v>6</v>
      </c>
      <c r="F821" t="str">
        <f>_xlfn.XLOOKUP(northwind_order_details[[#This Row],[order_id]],northwind_orders[order_id],northwind_orders[ship_country])</f>
        <v>Brazil</v>
      </c>
      <c r="G821">
        <f>INDEX(northwind_orders[],MATCH(northwind_order_details[[#This Row],[order_id]], northwind_orders[order_id], 0), MATCH("employee_id", northwind_orders[#Headers], 0))</f>
        <v>2</v>
      </c>
      <c r="H821">
        <f>northwind_order_details[[#This Row],[unit_price]]*northwind_order_details[[#This Row],[quantity]]</f>
        <v>490</v>
      </c>
      <c r="I821" s="1">
        <f>northwind_order_details[[#This Row],[purchase amount]]*northwind_order_details[[#This Row],[discount]]</f>
        <v>0</v>
      </c>
      <c r="J821" s="1">
        <f>northwind_order_details[[#This Row],[purchase amount]]-northwind_order_details[[#This Row],[discount amount]]</f>
        <v>490</v>
      </c>
      <c r="K821" s="6" t="str">
        <f>IF(northwind_order_details[[#This Row],[discount amount]]&gt;0,"Yes","No")</f>
        <v>No</v>
      </c>
      <c r="L821" s="1" t="str">
        <f>IF(northwind_order_details[[#This Row],[Revenue]]&gt;1000,"High",IF(northwind_order_details[[#This Row],[Revenue]]&gt;300,"Medium","Low"))</f>
        <v>Medium</v>
      </c>
      <c r="M8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22" spans="1:13" x14ac:dyDescent="0.25">
      <c r="A822">
        <v>10564</v>
      </c>
      <c r="B822">
        <v>17</v>
      </c>
      <c r="C822" s="6" t="s">
        <v>35</v>
      </c>
      <c r="D822">
        <v>16</v>
      </c>
      <c r="E822" s="6">
        <v>0.05</v>
      </c>
      <c r="F822" t="str">
        <f>_xlfn.XLOOKUP(northwind_order_details[[#This Row],[order_id]],northwind_orders[order_id],northwind_orders[ship_country])</f>
        <v>USA</v>
      </c>
      <c r="G822">
        <f>INDEX(northwind_orders[],MATCH(northwind_order_details[[#This Row],[order_id]], northwind_orders[order_id], 0), MATCH("employee_id", northwind_orders[#Headers], 0))</f>
        <v>4</v>
      </c>
      <c r="H822">
        <f>northwind_order_details[[#This Row],[unit_price]]*northwind_order_details[[#This Row],[quantity]]</f>
        <v>624</v>
      </c>
      <c r="I822" s="1">
        <f>northwind_order_details[[#This Row],[purchase amount]]*northwind_order_details[[#This Row],[discount]]</f>
        <v>31.200000000000003</v>
      </c>
      <c r="J822" s="1">
        <f>northwind_order_details[[#This Row],[purchase amount]]-northwind_order_details[[#This Row],[discount amount]]</f>
        <v>592.79999999999995</v>
      </c>
      <c r="K822" s="6" t="str">
        <f>IF(northwind_order_details[[#This Row],[discount amount]]&gt;0,"Yes","No")</f>
        <v>Yes</v>
      </c>
      <c r="L822" s="1" t="str">
        <f>IF(northwind_order_details[[#This Row],[Revenue]]&gt;1000,"High",IF(northwind_order_details[[#This Row],[Revenue]]&gt;300,"Medium","Low"))</f>
        <v>Medium</v>
      </c>
      <c r="M8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23" spans="1:13" x14ac:dyDescent="0.25">
      <c r="A823">
        <v>10564</v>
      </c>
      <c r="B823">
        <v>31</v>
      </c>
      <c r="C823" s="6">
        <v>12.5</v>
      </c>
      <c r="D823">
        <v>6</v>
      </c>
      <c r="E823" s="6">
        <v>0.05</v>
      </c>
      <c r="F823" t="str">
        <f>_xlfn.XLOOKUP(northwind_order_details[[#This Row],[order_id]],northwind_orders[order_id],northwind_orders[ship_country])</f>
        <v>USA</v>
      </c>
      <c r="G823">
        <f>INDEX(northwind_orders[],MATCH(northwind_order_details[[#This Row],[order_id]], northwind_orders[order_id], 0), MATCH("employee_id", northwind_orders[#Headers], 0))</f>
        <v>4</v>
      </c>
      <c r="H823">
        <f>northwind_order_details[[#This Row],[unit_price]]*northwind_order_details[[#This Row],[quantity]]</f>
        <v>75</v>
      </c>
      <c r="I823" s="1">
        <f>northwind_order_details[[#This Row],[purchase amount]]*northwind_order_details[[#This Row],[discount]]</f>
        <v>3.75</v>
      </c>
      <c r="J823" s="1">
        <f>northwind_order_details[[#This Row],[purchase amount]]-northwind_order_details[[#This Row],[discount amount]]</f>
        <v>71.25</v>
      </c>
      <c r="K823" s="6" t="str">
        <f>IF(northwind_order_details[[#This Row],[discount amount]]&gt;0,"Yes","No")</f>
        <v>Yes</v>
      </c>
      <c r="L823" s="1" t="str">
        <f>IF(northwind_order_details[[#This Row],[Revenue]]&gt;1000,"High",IF(northwind_order_details[[#This Row],[Revenue]]&gt;300,"Medium","Low"))</f>
        <v>Low</v>
      </c>
      <c r="M82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24" spans="1:13" x14ac:dyDescent="0.25">
      <c r="A824">
        <v>10564</v>
      </c>
      <c r="B824">
        <v>55</v>
      </c>
      <c r="C824" s="6" t="s">
        <v>14</v>
      </c>
      <c r="D824">
        <v>25</v>
      </c>
      <c r="E824" s="6">
        <v>0.05</v>
      </c>
      <c r="F824" t="str">
        <f>_xlfn.XLOOKUP(northwind_order_details[[#This Row],[order_id]],northwind_orders[order_id],northwind_orders[ship_country])</f>
        <v>USA</v>
      </c>
      <c r="G824">
        <f>INDEX(northwind_orders[],MATCH(northwind_order_details[[#This Row],[order_id]], northwind_orders[order_id], 0), MATCH("employee_id", northwind_orders[#Headers], 0))</f>
        <v>4</v>
      </c>
      <c r="H824">
        <f>northwind_order_details[[#This Row],[unit_price]]*northwind_order_details[[#This Row],[quantity]]</f>
        <v>600</v>
      </c>
      <c r="I824" s="1">
        <f>northwind_order_details[[#This Row],[purchase amount]]*northwind_order_details[[#This Row],[discount]]</f>
        <v>30</v>
      </c>
      <c r="J824" s="1">
        <f>northwind_order_details[[#This Row],[purchase amount]]-northwind_order_details[[#This Row],[discount amount]]</f>
        <v>570</v>
      </c>
      <c r="K824" s="6" t="str">
        <f>IF(northwind_order_details[[#This Row],[discount amount]]&gt;0,"Yes","No")</f>
        <v>Yes</v>
      </c>
      <c r="L824" s="1" t="str">
        <f>IF(northwind_order_details[[#This Row],[Revenue]]&gt;1000,"High",IF(northwind_order_details[[#This Row],[Revenue]]&gt;300,"Medium","Low"))</f>
        <v>Medium</v>
      </c>
      <c r="M8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25" spans="1:13" x14ac:dyDescent="0.25">
      <c r="A825">
        <v>10565</v>
      </c>
      <c r="B825">
        <v>24</v>
      </c>
      <c r="C825" s="6">
        <v>4.5</v>
      </c>
      <c r="D825">
        <v>25</v>
      </c>
      <c r="E825" s="6">
        <v>0.1</v>
      </c>
      <c r="F825" t="str">
        <f>_xlfn.XLOOKUP(northwind_order_details[[#This Row],[order_id]],northwind_orders[order_id],northwind_orders[ship_country])</f>
        <v>Canada</v>
      </c>
      <c r="G825">
        <f>INDEX(northwind_orders[],MATCH(northwind_order_details[[#This Row],[order_id]], northwind_orders[order_id], 0), MATCH("employee_id", northwind_orders[#Headers], 0))</f>
        <v>8</v>
      </c>
      <c r="H825">
        <f>northwind_order_details[[#This Row],[unit_price]]*northwind_order_details[[#This Row],[quantity]]</f>
        <v>112.5</v>
      </c>
      <c r="I825" s="1">
        <f>northwind_order_details[[#This Row],[purchase amount]]*northwind_order_details[[#This Row],[discount]]</f>
        <v>11.25</v>
      </c>
      <c r="J825" s="1">
        <f>northwind_order_details[[#This Row],[purchase amount]]-northwind_order_details[[#This Row],[discount amount]]</f>
        <v>101.25</v>
      </c>
      <c r="K825" s="6" t="str">
        <f>IF(northwind_order_details[[#This Row],[discount amount]]&gt;0,"Yes","No")</f>
        <v>Yes</v>
      </c>
      <c r="L825" s="1" t="str">
        <f>IF(northwind_order_details[[#This Row],[Revenue]]&gt;1000,"High",IF(northwind_order_details[[#This Row],[Revenue]]&gt;300,"Medium","Low"))</f>
        <v>Low</v>
      </c>
      <c r="M8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26" spans="1:13" x14ac:dyDescent="0.25">
      <c r="A826">
        <v>10565</v>
      </c>
      <c r="B826">
        <v>64</v>
      </c>
      <c r="C826" s="6">
        <v>33.25</v>
      </c>
      <c r="D826">
        <v>18</v>
      </c>
      <c r="E826" s="6">
        <v>0.1</v>
      </c>
      <c r="F826" t="str">
        <f>_xlfn.XLOOKUP(northwind_order_details[[#This Row],[order_id]],northwind_orders[order_id],northwind_orders[ship_country])</f>
        <v>Canada</v>
      </c>
      <c r="G826">
        <f>INDEX(northwind_orders[],MATCH(northwind_order_details[[#This Row],[order_id]], northwind_orders[order_id], 0), MATCH("employee_id", northwind_orders[#Headers], 0))</f>
        <v>8</v>
      </c>
      <c r="H826">
        <f>northwind_order_details[[#This Row],[unit_price]]*northwind_order_details[[#This Row],[quantity]]</f>
        <v>598.5</v>
      </c>
      <c r="I826" s="1">
        <f>northwind_order_details[[#This Row],[purchase amount]]*northwind_order_details[[#This Row],[discount]]</f>
        <v>59.85</v>
      </c>
      <c r="J826" s="1">
        <f>northwind_order_details[[#This Row],[purchase amount]]-northwind_order_details[[#This Row],[discount amount]]</f>
        <v>538.65</v>
      </c>
      <c r="K826" s="6" t="str">
        <f>IF(northwind_order_details[[#This Row],[discount amount]]&gt;0,"Yes","No")</f>
        <v>Yes</v>
      </c>
      <c r="L826" s="1" t="str">
        <f>IF(northwind_order_details[[#This Row],[Revenue]]&gt;1000,"High",IF(northwind_order_details[[#This Row],[Revenue]]&gt;300,"Medium","Low"))</f>
        <v>Medium</v>
      </c>
      <c r="M8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27" spans="1:13" x14ac:dyDescent="0.25">
      <c r="A827">
        <v>10566</v>
      </c>
      <c r="B827">
        <v>11</v>
      </c>
      <c r="C827" s="6" t="s">
        <v>37</v>
      </c>
      <c r="D827">
        <v>35</v>
      </c>
      <c r="E827" s="6">
        <v>0.15</v>
      </c>
      <c r="F827" t="str">
        <f>_xlfn.XLOOKUP(northwind_order_details[[#This Row],[order_id]],northwind_orders[order_id],northwind_orders[ship_country])</f>
        <v>France</v>
      </c>
      <c r="G827">
        <f>INDEX(northwind_orders[],MATCH(northwind_order_details[[#This Row],[order_id]], northwind_orders[order_id], 0), MATCH("employee_id", northwind_orders[#Headers], 0))</f>
        <v>9</v>
      </c>
      <c r="H827">
        <f>northwind_order_details[[#This Row],[unit_price]]*northwind_order_details[[#This Row],[quantity]]</f>
        <v>735</v>
      </c>
      <c r="I827" s="1">
        <f>northwind_order_details[[#This Row],[purchase amount]]*northwind_order_details[[#This Row],[discount]]</f>
        <v>110.25</v>
      </c>
      <c r="J827" s="1">
        <f>northwind_order_details[[#This Row],[purchase amount]]-northwind_order_details[[#This Row],[discount amount]]</f>
        <v>624.75</v>
      </c>
      <c r="K827" s="6" t="str">
        <f>IF(northwind_order_details[[#This Row],[discount amount]]&gt;0,"Yes","No")</f>
        <v>Yes</v>
      </c>
      <c r="L827" s="1" t="str">
        <f>IF(northwind_order_details[[#This Row],[Revenue]]&gt;1000,"High",IF(northwind_order_details[[#This Row],[Revenue]]&gt;300,"Medium","Low"))</f>
        <v>Medium</v>
      </c>
      <c r="M8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28" spans="1:13" x14ac:dyDescent="0.25">
      <c r="A828">
        <v>10566</v>
      </c>
      <c r="B828">
        <v>18</v>
      </c>
      <c r="C828" s="6">
        <v>62.5</v>
      </c>
      <c r="D828">
        <v>18</v>
      </c>
      <c r="E828" s="6">
        <v>0.15</v>
      </c>
      <c r="F828" t="str">
        <f>_xlfn.XLOOKUP(northwind_order_details[[#This Row],[order_id]],northwind_orders[order_id],northwind_orders[ship_country])</f>
        <v>France</v>
      </c>
      <c r="G828">
        <f>INDEX(northwind_orders[],MATCH(northwind_order_details[[#This Row],[order_id]], northwind_orders[order_id], 0), MATCH("employee_id", northwind_orders[#Headers], 0))</f>
        <v>9</v>
      </c>
      <c r="H828">
        <f>northwind_order_details[[#This Row],[unit_price]]*northwind_order_details[[#This Row],[quantity]]</f>
        <v>1125</v>
      </c>
      <c r="I828" s="1">
        <f>northwind_order_details[[#This Row],[purchase amount]]*northwind_order_details[[#This Row],[discount]]</f>
        <v>168.75</v>
      </c>
      <c r="J828" s="1">
        <f>northwind_order_details[[#This Row],[purchase amount]]-northwind_order_details[[#This Row],[discount amount]]</f>
        <v>956.25</v>
      </c>
      <c r="K828" s="6" t="str">
        <f>IF(northwind_order_details[[#This Row],[discount amount]]&gt;0,"Yes","No")</f>
        <v>Yes</v>
      </c>
      <c r="L828" s="1" t="str">
        <f>IF(northwind_order_details[[#This Row],[Revenue]]&gt;1000,"High",IF(northwind_order_details[[#This Row],[Revenue]]&gt;300,"Medium","Low"))</f>
        <v>Medium</v>
      </c>
      <c r="M82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29" spans="1:13" x14ac:dyDescent="0.25">
      <c r="A829">
        <v>10566</v>
      </c>
      <c r="B829">
        <v>76</v>
      </c>
      <c r="C829" s="6" t="s">
        <v>24</v>
      </c>
      <c r="D829">
        <v>10</v>
      </c>
      <c r="E829" s="6" t="s">
        <v>6</v>
      </c>
      <c r="F829" t="str">
        <f>_xlfn.XLOOKUP(northwind_order_details[[#This Row],[order_id]],northwind_orders[order_id],northwind_orders[ship_country])</f>
        <v>France</v>
      </c>
      <c r="G829">
        <f>INDEX(northwind_orders[],MATCH(northwind_order_details[[#This Row],[order_id]], northwind_orders[order_id], 0), MATCH("employee_id", northwind_orders[#Headers], 0))</f>
        <v>9</v>
      </c>
      <c r="H829">
        <f>northwind_order_details[[#This Row],[unit_price]]*northwind_order_details[[#This Row],[quantity]]</f>
        <v>180</v>
      </c>
      <c r="I829" s="1">
        <f>northwind_order_details[[#This Row],[purchase amount]]*northwind_order_details[[#This Row],[discount]]</f>
        <v>0</v>
      </c>
      <c r="J829" s="1">
        <f>northwind_order_details[[#This Row],[purchase amount]]-northwind_order_details[[#This Row],[discount amount]]</f>
        <v>180</v>
      </c>
      <c r="K829" s="6" t="str">
        <f>IF(northwind_order_details[[#This Row],[discount amount]]&gt;0,"Yes","No")</f>
        <v>No</v>
      </c>
      <c r="L829" s="1" t="str">
        <f>IF(northwind_order_details[[#This Row],[Revenue]]&gt;1000,"High",IF(northwind_order_details[[#This Row],[Revenue]]&gt;300,"Medium","Low"))</f>
        <v>Low</v>
      </c>
      <c r="M8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0" spans="1:13" x14ac:dyDescent="0.25">
      <c r="A830">
        <v>10568</v>
      </c>
      <c r="B830">
        <v>10</v>
      </c>
      <c r="C830" s="6" t="s">
        <v>34</v>
      </c>
      <c r="D830">
        <v>5</v>
      </c>
      <c r="E830" s="6" t="s">
        <v>6</v>
      </c>
      <c r="F830" t="str">
        <f>_xlfn.XLOOKUP(northwind_order_details[[#This Row],[order_id]],northwind_orders[order_id],northwind_orders[ship_country])</f>
        <v>Spain</v>
      </c>
      <c r="G830">
        <f>INDEX(northwind_orders[],MATCH(northwind_order_details[[#This Row],[order_id]], northwind_orders[order_id], 0), MATCH("employee_id", northwind_orders[#Headers], 0))</f>
        <v>3</v>
      </c>
      <c r="H830">
        <f>northwind_order_details[[#This Row],[unit_price]]*northwind_order_details[[#This Row],[quantity]]</f>
        <v>155</v>
      </c>
      <c r="I830" s="1">
        <f>northwind_order_details[[#This Row],[purchase amount]]*northwind_order_details[[#This Row],[discount]]</f>
        <v>0</v>
      </c>
      <c r="J830" s="1">
        <f>northwind_order_details[[#This Row],[purchase amount]]-northwind_order_details[[#This Row],[discount amount]]</f>
        <v>155</v>
      </c>
      <c r="K830" s="6" t="str">
        <f>IF(northwind_order_details[[#This Row],[discount amount]]&gt;0,"Yes","No")</f>
        <v>No</v>
      </c>
      <c r="L830" s="1" t="str">
        <f>IF(northwind_order_details[[#This Row],[Revenue]]&gt;1000,"High",IF(northwind_order_details[[#This Row],[Revenue]]&gt;300,"Medium","Low"))</f>
        <v>Low</v>
      </c>
      <c r="M8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1" spans="1:13" x14ac:dyDescent="0.25">
      <c r="A831">
        <v>10569</v>
      </c>
      <c r="B831">
        <v>31</v>
      </c>
      <c r="C831" s="6">
        <v>12.5</v>
      </c>
      <c r="D831">
        <v>35</v>
      </c>
      <c r="E831" s="6">
        <v>0.2</v>
      </c>
      <c r="F831" t="str">
        <f>_xlfn.XLOOKUP(northwind_order_details[[#This Row],[order_id]],northwind_orders[order_id],northwind_orders[ship_country])</f>
        <v>USA</v>
      </c>
      <c r="G831">
        <f>INDEX(northwind_orders[],MATCH(northwind_order_details[[#This Row],[order_id]], northwind_orders[order_id], 0), MATCH("employee_id", northwind_orders[#Headers], 0))</f>
        <v>5</v>
      </c>
      <c r="H831">
        <f>northwind_order_details[[#This Row],[unit_price]]*northwind_order_details[[#This Row],[quantity]]</f>
        <v>437.5</v>
      </c>
      <c r="I831" s="1">
        <f>northwind_order_details[[#This Row],[purchase amount]]*northwind_order_details[[#This Row],[discount]]</f>
        <v>87.5</v>
      </c>
      <c r="J831" s="1">
        <f>northwind_order_details[[#This Row],[purchase amount]]-northwind_order_details[[#This Row],[discount amount]]</f>
        <v>350</v>
      </c>
      <c r="K831" s="6" t="str">
        <f>IF(northwind_order_details[[#This Row],[discount amount]]&gt;0,"Yes","No")</f>
        <v>Yes</v>
      </c>
      <c r="L831" s="1" t="str">
        <f>IF(northwind_order_details[[#This Row],[Revenue]]&gt;1000,"High",IF(northwind_order_details[[#This Row],[Revenue]]&gt;300,"Medium","Low"))</f>
        <v>Medium</v>
      </c>
      <c r="M83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32" spans="1:13" x14ac:dyDescent="0.25">
      <c r="A832">
        <v>10569</v>
      </c>
      <c r="B832">
        <v>76</v>
      </c>
      <c r="C832" s="6" t="s">
        <v>24</v>
      </c>
      <c r="D832">
        <v>30</v>
      </c>
      <c r="E832" s="6" t="s">
        <v>6</v>
      </c>
      <c r="F832" t="str">
        <f>_xlfn.XLOOKUP(northwind_order_details[[#This Row],[order_id]],northwind_orders[order_id],northwind_orders[ship_country])</f>
        <v>USA</v>
      </c>
      <c r="G832">
        <f>INDEX(northwind_orders[],MATCH(northwind_order_details[[#This Row],[order_id]], northwind_orders[order_id], 0), MATCH("employee_id", northwind_orders[#Headers], 0))</f>
        <v>5</v>
      </c>
      <c r="H832">
        <f>northwind_order_details[[#This Row],[unit_price]]*northwind_order_details[[#This Row],[quantity]]</f>
        <v>540</v>
      </c>
      <c r="I832" s="1">
        <f>northwind_order_details[[#This Row],[purchase amount]]*northwind_order_details[[#This Row],[discount]]</f>
        <v>0</v>
      </c>
      <c r="J832" s="1">
        <f>northwind_order_details[[#This Row],[purchase amount]]-northwind_order_details[[#This Row],[discount amount]]</f>
        <v>540</v>
      </c>
      <c r="K832" s="6" t="str">
        <f>IF(northwind_order_details[[#This Row],[discount amount]]&gt;0,"Yes","No")</f>
        <v>No</v>
      </c>
      <c r="L832" s="1" t="str">
        <f>IF(northwind_order_details[[#This Row],[Revenue]]&gt;1000,"High",IF(northwind_order_details[[#This Row],[Revenue]]&gt;300,"Medium","Low"))</f>
        <v>Medium</v>
      </c>
      <c r="M8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3" spans="1:13" x14ac:dyDescent="0.25">
      <c r="A833">
        <v>10570</v>
      </c>
      <c r="B833">
        <v>11</v>
      </c>
      <c r="C833" s="6" t="s">
        <v>37</v>
      </c>
      <c r="D833">
        <v>15</v>
      </c>
      <c r="E833" s="6">
        <v>0.05</v>
      </c>
      <c r="F833" t="str">
        <f>_xlfn.XLOOKUP(northwind_order_details[[#This Row],[order_id]],northwind_orders[order_id],northwind_orders[ship_country])</f>
        <v>Canada</v>
      </c>
      <c r="G833">
        <f>INDEX(northwind_orders[],MATCH(northwind_order_details[[#This Row],[order_id]], northwind_orders[order_id], 0), MATCH("employee_id", northwind_orders[#Headers], 0))</f>
        <v>3</v>
      </c>
      <c r="H833">
        <f>northwind_order_details[[#This Row],[unit_price]]*northwind_order_details[[#This Row],[quantity]]</f>
        <v>315</v>
      </c>
      <c r="I833" s="1">
        <f>northwind_order_details[[#This Row],[purchase amount]]*northwind_order_details[[#This Row],[discount]]</f>
        <v>15.75</v>
      </c>
      <c r="J833" s="1">
        <f>northwind_order_details[[#This Row],[purchase amount]]-northwind_order_details[[#This Row],[discount amount]]</f>
        <v>299.25</v>
      </c>
      <c r="K833" s="6" t="str">
        <f>IF(northwind_order_details[[#This Row],[discount amount]]&gt;0,"Yes","No")</f>
        <v>Yes</v>
      </c>
      <c r="L833" s="1" t="str">
        <f>IF(northwind_order_details[[#This Row],[Revenue]]&gt;1000,"High",IF(northwind_order_details[[#This Row],[Revenue]]&gt;300,"Medium","Low"))</f>
        <v>Low</v>
      </c>
      <c r="M8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4" spans="1:13" x14ac:dyDescent="0.25">
      <c r="A834">
        <v>10570</v>
      </c>
      <c r="B834">
        <v>56</v>
      </c>
      <c r="C834" s="6" t="s">
        <v>30</v>
      </c>
      <c r="D834">
        <v>60</v>
      </c>
      <c r="E834" s="6">
        <v>0.05</v>
      </c>
      <c r="F834" t="str">
        <f>_xlfn.XLOOKUP(northwind_order_details[[#This Row],[order_id]],northwind_orders[order_id],northwind_orders[ship_country])</f>
        <v>Canada</v>
      </c>
      <c r="G834">
        <f>INDEX(northwind_orders[],MATCH(northwind_order_details[[#This Row],[order_id]], northwind_orders[order_id], 0), MATCH("employee_id", northwind_orders[#Headers], 0))</f>
        <v>3</v>
      </c>
      <c r="H834">
        <f>northwind_order_details[[#This Row],[unit_price]]*northwind_order_details[[#This Row],[quantity]]</f>
        <v>2280</v>
      </c>
      <c r="I834" s="1">
        <f>northwind_order_details[[#This Row],[purchase amount]]*northwind_order_details[[#This Row],[discount]]</f>
        <v>114</v>
      </c>
      <c r="J834" s="1">
        <f>northwind_order_details[[#This Row],[purchase amount]]-northwind_order_details[[#This Row],[discount amount]]</f>
        <v>2166</v>
      </c>
      <c r="K834" s="6" t="str">
        <f>IF(northwind_order_details[[#This Row],[discount amount]]&gt;0,"Yes","No")</f>
        <v>Yes</v>
      </c>
      <c r="L834" s="1" t="str">
        <f>IF(northwind_order_details[[#This Row],[Revenue]]&gt;1000,"High",IF(northwind_order_details[[#This Row],[Revenue]]&gt;300,"Medium","Low"))</f>
        <v>High</v>
      </c>
      <c r="M8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5" spans="1:13" x14ac:dyDescent="0.25">
      <c r="A835">
        <v>10571</v>
      </c>
      <c r="B835">
        <v>14</v>
      </c>
      <c r="C835" s="6">
        <v>23.25</v>
      </c>
      <c r="D835">
        <v>11</v>
      </c>
      <c r="E835" s="6">
        <v>0.15</v>
      </c>
      <c r="F835" t="str">
        <f>_xlfn.XLOOKUP(northwind_order_details[[#This Row],[order_id]],northwind_orders[order_id],northwind_orders[ship_country])</f>
        <v>Austria</v>
      </c>
      <c r="G835">
        <f>INDEX(northwind_orders[],MATCH(northwind_order_details[[#This Row],[order_id]], northwind_orders[order_id], 0), MATCH("employee_id", northwind_orders[#Headers], 0))</f>
        <v>8</v>
      </c>
      <c r="H835">
        <f>northwind_order_details[[#This Row],[unit_price]]*northwind_order_details[[#This Row],[quantity]]</f>
        <v>255.75</v>
      </c>
      <c r="I835" s="1">
        <f>northwind_order_details[[#This Row],[purchase amount]]*northwind_order_details[[#This Row],[discount]]</f>
        <v>38.362499999999997</v>
      </c>
      <c r="J835" s="1">
        <f>northwind_order_details[[#This Row],[purchase amount]]-northwind_order_details[[#This Row],[discount amount]]</f>
        <v>217.38749999999999</v>
      </c>
      <c r="K835" s="6" t="str">
        <f>IF(northwind_order_details[[#This Row],[discount amount]]&gt;0,"Yes","No")</f>
        <v>Yes</v>
      </c>
      <c r="L835" s="1" t="str">
        <f>IF(northwind_order_details[[#This Row],[Revenue]]&gt;1000,"High",IF(northwind_order_details[[#This Row],[Revenue]]&gt;300,"Medium","Low"))</f>
        <v>Low</v>
      </c>
      <c r="M83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36" spans="1:13" x14ac:dyDescent="0.25">
      <c r="A836">
        <v>10571</v>
      </c>
      <c r="B836">
        <v>42</v>
      </c>
      <c r="C836" s="6" t="s">
        <v>5</v>
      </c>
      <c r="D836">
        <v>28</v>
      </c>
      <c r="E836" s="6">
        <v>0.15</v>
      </c>
      <c r="F836" t="str">
        <f>_xlfn.XLOOKUP(northwind_order_details[[#This Row],[order_id]],northwind_orders[order_id],northwind_orders[ship_country])</f>
        <v>Austria</v>
      </c>
      <c r="G836">
        <f>INDEX(northwind_orders[],MATCH(northwind_order_details[[#This Row],[order_id]], northwind_orders[order_id], 0), MATCH("employee_id", northwind_orders[#Headers], 0))</f>
        <v>8</v>
      </c>
      <c r="H836">
        <f>northwind_order_details[[#This Row],[unit_price]]*northwind_order_details[[#This Row],[quantity]]</f>
        <v>392</v>
      </c>
      <c r="I836" s="1">
        <f>northwind_order_details[[#This Row],[purchase amount]]*northwind_order_details[[#This Row],[discount]]</f>
        <v>58.8</v>
      </c>
      <c r="J836" s="1">
        <f>northwind_order_details[[#This Row],[purchase amount]]-northwind_order_details[[#This Row],[discount amount]]</f>
        <v>333.2</v>
      </c>
      <c r="K836" s="6" t="str">
        <f>IF(northwind_order_details[[#This Row],[discount amount]]&gt;0,"Yes","No")</f>
        <v>Yes</v>
      </c>
      <c r="L836" s="1" t="str">
        <f>IF(northwind_order_details[[#This Row],[Revenue]]&gt;1000,"High",IF(northwind_order_details[[#This Row],[Revenue]]&gt;300,"Medium","Low"))</f>
        <v>Medium</v>
      </c>
      <c r="M8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7" spans="1:13" x14ac:dyDescent="0.25">
      <c r="A837">
        <v>10572</v>
      </c>
      <c r="B837">
        <v>16</v>
      </c>
      <c r="C837" s="6">
        <v>17.45</v>
      </c>
      <c r="D837">
        <v>12</v>
      </c>
      <c r="E837" s="6">
        <v>0.1</v>
      </c>
      <c r="F837" t="str">
        <f>_xlfn.XLOOKUP(northwind_order_details[[#This Row],[order_id]],northwind_orders[order_id],northwind_orders[ship_country])</f>
        <v>Sweden</v>
      </c>
      <c r="G837">
        <f>INDEX(northwind_orders[],MATCH(northwind_order_details[[#This Row],[order_id]], northwind_orders[order_id], 0), MATCH("employee_id", northwind_orders[#Headers], 0))</f>
        <v>3</v>
      </c>
      <c r="H837">
        <f>northwind_order_details[[#This Row],[unit_price]]*northwind_order_details[[#This Row],[quantity]]</f>
        <v>209.39999999999998</v>
      </c>
      <c r="I837" s="1">
        <f>northwind_order_details[[#This Row],[purchase amount]]*northwind_order_details[[#This Row],[discount]]</f>
        <v>20.939999999999998</v>
      </c>
      <c r="J837" s="1">
        <f>northwind_order_details[[#This Row],[purchase amount]]-northwind_order_details[[#This Row],[discount amount]]</f>
        <v>188.45999999999998</v>
      </c>
      <c r="K837" s="6" t="str">
        <f>IF(northwind_order_details[[#This Row],[discount amount]]&gt;0,"Yes","No")</f>
        <v>Yes</v>
      </c>
      <c r="L837" s="1" t="str">
        <f>IF(northwind_order_details[[#This Row],[Revenue]]&gt;1000,"High",IF(northwind_order_details[[#This Row],[Revenue]]&gt;300,"Medium","Low"))</f>
        <v>Low</v>
      </c>
      <c r="M83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38" spans="1:13" x14ac:dyDescent="0.25">
      <c r="A838">
        <v>10572</v>
      </c>
      <c r="B838">
        <v>32</v>
      </c>
      <c r="C838" s="6" t="s">
        <v>18</v>
      </c>
      <c r="D838">
        <v>10</v>
      </c>
      <c r="E838" s="6">
        <v>0.1</v>
      </c>
      <c r="F838" t="str">
        <f>_xlfn.XLOOKUP(northwind_order_details[[#This Row],[order_id]],northwind_orders[order_id],northwind_orders[ship_country])</f>
        <v>Sweden</v>
      </c>
      <c r="G838">
        <f>INDEX(northwind_orders[],MATCH(northwind_order_details[[#This Row],[order_id]], northwind_orders[order_id], 0), MATCH("employee_id", northwind_orders[#Headers], 0))</f>
        <v>3</v>
      </c>
      <c r="H838">
        <f>northwind_order_details[[#This Row],[unit_price]]*northwind_order_details[[#This Row],[quantity]]</f>
        <v>320</v>
      </c>
      <c r="I838" s="1">
        <f>northwind_order_details[[#This Row],[purchase amount]]*northwind_order_details[[#This Row],[discount]]</f>
        <v>32</v>
      </c>
      <c r="J838" s="1">
        <f>northwind_order_details[[#This Row],[purchase amount]]-northwind_order_details[[#This Row],[discount amount]]</f>
        <v>288</v>
      </c>
      <c r="K838" s="6" t="str">
        <f>IF(northwind_order_details[[#This Row],[discount amount]]&gt;0,"Yes","No")</f>
        <v>Yes</v>
      </c>
      <c r="L838" s="1" t="str">
        <f>IF(northwind_order_details[[#This Row],[Revenue]]&gt;1000,"High",IF(northwind_order_details[[#This Row],[Revenue]]&gt;300,"Medium","Low"))</f>
        <v>Low</v>
      </c>
      <c r="M8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39" spans="1:13" x14ac:dyDescent="0.25">
      <c r="A839">
        <v>10572</v>
      </c>
      <c r="B839">
        <v>40</v>
      </c>
      <c r="C839" s="6">
        <v>18.399999999999999</v>
      </c>
      <c r="D839">
        <v>50</v>
      </c>
      <c r="E839" s="6" t="s">
        <v>6</v>
      </c>
      <c r="F839" t="str">
        <f>_xlfn.XLOOKUP(northwind_order_details[[#This Row],[order_id]],northwind_orders[order_id],northwind_orders[ship_country])</f>
        <v>Sweden</v>
      </c>
      <c r="G839">
        <f>INDEX(northwind_orders[],MATCH(northwind_order_details[[#This Row],[order_id]], northwind_orders[order_id], 0), MATCH("employee_id", northwind_orders[#Headers], 0))</f>
        <v>3</v>
      </c>
      <c r="H839">
        <f>northwind_order_details[[#This Row],[unit_price]]*northwind_order_details[[#This Row],[quantity]]</f>
        <v>919.99999999999989</v>
      </c>
      <c r="I839" s="1">
        <f>northwind_order_details[[#This Row],[purchase amount]]*northwind_order_details[[#This Row],[discount]]</f>
        <v>0</v>
      </c>
      <c r="J839" s="1">
        <f>northwind_order_details[[#This Row],[purchase amount]]-northwind_order_details[[#This Row],[discount amount]]</f>
        <v>919.99999999999989</v>
      </c>
      <c r="K839" s="6" t="str">
        <f>IF(northwind_order_details[[#This Row],[discount amount]]&gt;0,"Yes","No")</f>
        <v>No</v>
      </c>
      <c r="L839" s="1" t="str">
        <f>IF(northwind_order_details[[#This Row],[Revenue]]&gt;1000,"High",IF(northwind_order_details[[#This Row],[Revenue]]&gt;300,"Medium","Low"))</f>
        <v>Medium</v>
      </c>
      <c r="M8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0" spans="1:13" x14ac:dyDescent="0.25">
      <c r="A840">
        <v>10572</v>
      </c>
      <c r="B840">
        <v>75</v>
      </c>
      <c r="C840" s="6">
        <v>7.75</v>
      </c>
      <c r="D840">
        <v>15</v>
      </c>
      <c r="E840" s="6">
        <v>0.1</v>
      </c>
      <c r="F840" t="str">
        <f>_xlfn.XLOOKUP(northwind_order_details[[#This Row],[order_id]],northwind_orders[order_id],northwind_orders[ship_country])</f>
        <v>Sweden</v>
      </c>
      <c r="G840">
        <f>INDEX(northwind_orders[],MATCH(northwind_order_details[[#This Row],[order_id]], northwind_orders[order_id], 0), MATCH("employee_id", northwind_orders[#Headers], 0))</f>
        <v>3</v>
      </c>
      <c r="H840">
        <f>northwind_order_details[[#This Row],[unit_price]]*northwind_order_details[[#This Row],[quantity]]</f>
        <v>116.25</v>
      </c>
      <c r="I840" s="1">
        <f>northwind_order_details[[#This Row],[purchase amount]]*northwind_order_details[[#This Row],[discount]]</f>
        <v>11.625</v>
      </c>
      <c r="J840" s="1">
        <f>northwind_order_details[[#This Row],[purchase amount]]-northwind_order_details[[#This Row],[discount amount]]</f>
        <v>104.625</v>
      </c>
      <c r="K840" s="6" t="str">
        <f>IF(northwind_order_details[[#This Row],[discount amount]]&gt;0,"Yes","No")</f>
        <v>Yes</v>
      </c>
      <c r="L840" s="1" t="str">
        <f>IF(northwind_order_details[[#This Row],[Revenue]]&gt;1000,"High",IF(northwind_order_details[[#This Row],[Revenue]]&gt;300,"Medium","Low"))</f>
        <v>Low</v>
      </c>
      <c r="M8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1" spans="1:13" x14ac:dyDescent="0.25">
      <c r="A841">
        <v>10573</v>
      </c>
      <c r="B841">
        <v>17</v>
      </c>
      <c r="C841" s="6" t="s">
        <v>35</v>
      </c>
      <c r="D841">
        <v>18</v>
      </c>
      <c r="E841" s="6" t="s">
        <v>6</v>
      </c>
      <c r="F841" t="str">
        <f>_xlfn.XLOOKUP(northwind_order_details[[#This Row],[order_id]],northwind_orders[order_id],northwind_orders[ship_country])</f>
        <v>Mexico</v>
      </c>
      <c r="G841">
        <f>INDEX(northwind_orders[],MATCH(northwind_order_details[[#This Row],[order_id]], northwind_orders[order_id], 0), MATCH("employee_id", northwind_orders[#Headers], 0))</f>
        <v>7</v>
      </c>
      <c r="H841">
        <f>northwind_order_details[[#This Row],[unit_price]]*northwind_order_details[[#This Row],[quantity]]</f>
        <v>702</v>
      </c>
      <c r="I841" s="1">
        <f>northwind_order_details[[#This Row],[purchase amount]]*northwind_order_details[[#This Row],[discount]]</f>
        <v>0</v>
      </c>
      <c r="J841" s="1">
        <f>northwind_order_details[[#This Row],[purchase amount]]-northwind_order_details[[#This Row],[discount amount]]</f>
        <v>702</v>
      </c>
      <c r="K841" s="6" t="str">
        <f>IF(northwind_order_details[[#This Row],[discount amount]]&gt;0,"Yes","No")</f>
        <v>No</v>
      </c>
      <c r="L841" s="1" t="str">
        <f>IF(northwind_order_details[[#This Row],[Revenue]]&gt;1000,"High",IF(northwind_order_details[[#This Row],[Revenue]]&gt;300,"Medium","Low"))</f>
        <v>Medium</v>
      </c>
      <c r="M8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42" spans="1:13" x14ac:dyDescent="0.25">
      <c r="A842">
        <v>10573</v>
      </c>
      <c r="B842">
        <v>34</v>
      </c>
      <c r="C842" s="6" t="s">
        <v>5</v>
      </c>
      <c r="D842">
        <v>40</v>
      </c>
      <c r="E842" s="6" t="s">
        <v>6</v>
      </c>
      <c r="F842" t="str">
        <f>_xlfn.XLOOKUP(northwind_order_details[[#This Row],[order_id]],northwind_orders[order_id],northwind_orders[ship_country])</f>
        <v>Mexico</v>
      </c>
      <c r="G842">
        <f>INDEX(northwind_orders[],MATCH(northwind_order_details[[#This Row],[order_id]], northwind_orders[order_id], 0), MATCH("employee_id", northwind_orders[#Headers], 0))</f>
        <v>7</v>
      </c>
      <c r="H842">
        <f>northwind_order_details[[#This Row],[unit_price]]*northwind_order_details[[#This Row],[quantity]]</f>
        <v>560</v>
      </c>
      <c r="I842" s="1">
        <f>northwind_order_details[[#This Row],[purchase amount]]*northwind_order_details[[#This Row],[discount]]</f>
        <v>0</v>
      </c>
      <c r="J842" s="1">
        <f>northwind_order_details[[#This Row],[purchase amount]]-northwind_order_details[[#This Row],[discount amount]]</f>
        <v>560</v>
      </c>
      <c r="K842" s="6" t="str">
        <f>IF(northwind_order_details[[#This Row],[discount amount]]&gt;0,"Yes","No")</f>
        <v>No</v>
      </c>
      <c r="L842" s="1" t="str">
        <f>IF(northwind_order_details[[#This Row],[Revenue]]&gt;1000,"High",IF(northwind_order_details[[#This Row],[Revenue]]&gt;300,"Medium","Low"))</f>
        <v>Medium</v>
      </c>
      <c r="M8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43" spans="1:13" x14ac:dyDescent="0.25">
      <c r="A843">
        <v>10573</v>
      </c>
      <c r="B843">
        <v>53</v>
      </c>
      <c r="C843" s="6">
        <v>32.799999999999997</v>
      </c>
      <c r="D843">
        <v>25</v>
      </c>
      <c r="E843" s="6" t="s">
        <v>6</v>
      </c>
      <c r="F843" t="str">
        <f>_xlfn.XLOOKUP(northwind_order_details[[#This Row],[order_id]],northwind_orders[order_id],northwind_orders[ship_country])</f>
        <v>Mexico</v>
      </c>
      <c r="G843">
        <f>INDEX(northwind_orders[],MATCH(northwind_order_details[[#This Row],[order_id]], northwind_orders[order_id], 0), MATCH("employee_id", northwind_orders[#Headers], 0))</f>
        <v>7</v>
      </c>
      <c r="H843">
        <f>northwind_order_details[[#This Row],[unit_price]]*northwind_order_details[[#This Row],[quantity]]</f>
        <v>819.99999999999989</v>
      </c>
      <c r="I843" s="1">
        <f>northwind_order_details[[#This Row],[purchase amount]]*northwind_order_details[[#This Row],[discount]]</f>
        <v>0</v>
      </c>
      <c r="J843" s="1">
        <f>northwind_order_details[[#This Row],[purchase amount]]-northwind_order_details[[#This Row],[discount amount]]</f>
        <v>819.99999999999989</v>
      </c>
      <c r="K843" s="6" t="str">
        <f>IF(northwind_order_details[[#This Row],[discount amount]]&gt;0,"Yes","No")</f>
        <v>No</v>
      </c>
      <c r="L843" s="1" t="str">
        <f>IF(northwind_order_details[[#This Row],[Revenue]]&gt;1000,"High",IF(northwind_order_details[[#This Row],[Revenue]]&gt;300,"Medium","Low"))</f>
        <v>Medium</v>
      </c>
      <c r="M8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4" spans="1:13" x14ac:dyDescent="0.25">
      <c r="A844">
        <v>10574</v>
      </c>
      <c r="B844">
        <v>33</v>
      </c>
      <c r="C844" s="6">
        <v>2.5</v>
      </c>
      <c r="D844">
        <v>14</v>
      </c>
      <c r="E844" s="6" t="s">
        <v>6</v>
      </c>
      <c r="F844" t="str">
        <f>_xlfn.XLOOKUP(northwind_order_details[[#This Row],[order_id]],northwind_orders[order_id],northwind_orders[ship_country])</f>
        <v>USA</v>
      </c>
      <c r="G844">
        <f>INDEX(northwind_orders[],MATCH(northwind_order_details[[#This Row],[order_id]], northwind_orders[order_id], 0), MATCH("employee_id", northwind_orders[#Headers], 0))</f>
        <v>4</v>
      </c>
      <c r="H844">
        <f>northwind_order_details[[#This Row],[unit_price]]*northwind_order_details[[#This Row],[quantity]]</f>
        <v>35</v>
      </c>
      <c r="I844" s="1">
        <f>northwind_order_details[[#This Row],[purchase amount]]*northwind_order_details[[#This Row],[discount]]</f>
        <v>0</v>
      </c>
      <c r="J844" s="1">
        <f>northwind_order_details[[#This Row],[purchase amount]]-northwind_order_details[[#This Row],[discount amount]]</f>
        <v>35</v>
      </c>
      <c r="K844" s="6" t="str">
        <f>IF(northwind_order_details[[#This Row],[discount amount]]&gt;0,"Yes","No")</f>
        <v>No</v>
      </c>
      <c r="L844" s="1" t="str">
        <f>IF(northwind_order_details[[#This Row],[Revenue]]&gt;1000,"High",IF(northwind_order_details[[#This Row],[Revenue]]&gt;300,"Medium","Low"))</f>
        <v>Low</v>
      </c>
      <c r="M8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5" spans="1:13" x14ac:dyDescent="0.25">
      <c r="A845">
        <v>10574</v>
      </c>
      <c r="B845">
        <v>40</v>
      </c>
      <c r="C845" s="6">
        <v>18.399999999999999</v>
      </c>
      <c r="D845">
        <v>2</v>
      </c>
      <c r="E845" s="6" t="s">
        <v>6</v>
      </c>
      <c r="F845" t="str">
        <f>_xlfn.XLOOKUP(northwind_order_details[[#This Row],[order_id]],northwind_orders[order_id],northwind_orders[ship_country])</f>
        <v>USA</v>
      </c>
      <c r="G845">
        <f>INDEX(northwind_orders[],MATCH(northwind_order_details[[#This Row],[order_id]], northwind_orders[order_id], 0), MATCH("employee_id", northwind_orders[#Headers], 0))</f>
        <v>4</v>
      </c>
      <c r="H845">
        <f>northwind_order_details[[#This Row],[unit_price]]*northwind_order_details[[#This Row],[quantity]]</f>
        <v>36.799999999999997</v>
      </c>
      <c r="I845" s="1">
        <f>northwind_order_details[[#This Row],[purchase amount]]*northwind_order_details[[#This Row],[discount]]</f>
        <v>0</v>
      </c>
      <c r="J845" s="1">
        <f>northwind_order_details[[#This Row],[purchase amount]]-northwind_order_details[[#This Row],[discount amount]]</f>
        <v>36.799999999999997</v>
      </c>
      <c r="K845" s="6" t="str">
        <f>IF(northwind_order_details[[#This Row],[discount amount]]&gt;0,"Yes","No")</f>
        <v>No</v>
      </c>
      <c r="L845" s="1" t="str">
        <f>IF(northwind_order_details[[#This Row],[Revenue]]&gt;1000,"High",IF(northwind_order_details[[#This Row],[Revenue]]&gt;300,"Medium","Low"))</f>
        <v>Low</v>
      </c>
      <c r="M8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6" spans="1:13" x14ac:dyDescent="0.25">
      <c r="A846">
        <v>10574</v>
      </c>
      <c r="B846">
        <v>62</v>
      </c>
      <c r="C846" s="6">
        <v>49.3</v>
      </c>
      <c r="D846">
        <v>10</v>
      </c>
      <c r="E846" s="6" t="s">
        <v>6</v>
      </c>
      <c r="F846" t="str">
        <f>_xlfn.XLOOKUP(northwind_order_details[[#This Row],[order_id]],northwind_orders[order_id],northwind_orders[ship_country])</f>
        <v>USA</v>
      </c>
      <c r="G846">
        <f>INDEX(northwind_orders[],MATCH(northwind_order_details[[#This Row],[order_id]], northwind_orders[order_id], 0), MATCH("employee_id", northwind_orders[#Headers], 0))</f>
        <v>4</v>
      </c>
      <c r="H846">
        <f>northwind_order_details[[#This Row],[unit_price]]*northwind_order_details[[#This Row],[quantity]]</f>
        <v>493</v>
      </c>
      <c r="I846" s="1">
        <f>northwind_order_details[[#This Row],[purchase amount]]*northwind_order_details[[#This Row],[discount]]</f>
        <v>0</v>
      </c>
      <c r="J846" s="1">
        <f>northwind_order_details[[#This Row],[purchase amount]]-northwind_order_details[[#This Row],[discount amount]]</f>
        <v>493</v>
      </c>
      <c r="K846" s="6" t="str">
        <f>IF(northwind_order_details[[#This Row],[discount amount]]&gt;0,"Yes","No")</f>
        <v>No</v>
      </c>
      <c r="L846" s="1" t="str">
        <f>IF(northwind_order_details[[#This Row],[Revenue]]&gt;1000,"High",IF(northwind_order_details[[#This Row],[Revenue]]&gt;300,"Medium","Low"))</f>
        <v>Medium</v>
      </c>
      <c r="M84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7" spans="1:13" x14ac:dyDescent="0.25">
      <c r="A847">
        <v>10574</v>
      </c>
      <c r="B847">
        <v>64</v>
      </c>
      <c r="C847" s="6">
        <v>33.25</v>
      </c>
      <c r="D847">
        <v>6</v>
      </c>
      <c r="E847" s="6" t="s">
        <v>6</v>
      </c>
      <c r="F847" t="str">
        <f>_xlfn.XLOOKUP(northwind_order_details[[#This Row],[order_id]],northwind_orders[order_id],northwind_orders[ship_country])</f>
        <v>USA</v>
      </c>
      <c r="G847">
        <f>INDEX(northwind_orders[],MATCH(northwind_order_details[[#This Row],[order_id]], northwind_orders[order_id], 0), MATCH("employee_id", northwind_orders[#Headers], 0))</f>
        <v>4</v>
      </c>
      <c r="H847">
        <f>northwind_order_details[[#This Row],[unit_price]]*northwind_order_details[[#This Row],[quantity]]</f>
        <v>199.5</v>
      </c>
      <c r="I847" s="1">
        <f>northwind_order_details[[#This Row],[purchase amount]]*northwind_order_details[[#This Row],[discount]]</f>
        <v>0</v>
      </c>
      <c r="J847" s="1">
        <f>northwind_order_details[[#This Row],[purchase amount]]-northwind_order_details[[#This Row],[discount amount]]</f>
        <v>199.5</v>
      </c>
      <c r="K847" s="6" t="str">
        <f>IF(northwind_order_details[[#This Row],[discount amount]]&gt;0,"Yes","No")</f>
        <v>No</v>
      </c>
      <c r="L847" s="1" t="str">
        <f>IF(northwind_order_details[[#This Row],[Revenue]]&gt;1000,"High",IF(northwind_order_details[[#This Row],[Revenue]]&gt;300,"Medium","Low"))</f>
        <v>Low</v>
      </c>
      <c r="M8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48" spans="1:13" x14ac:dyDescent="0.25">
      <c r="A848">
        <v>10575</v>
      </c>
      <c r="B848">
        <v>59</v>
      </c>
      <c r="C848" s="6" t="s">
        <v>33</v>
      </c>
      <c r="D848">
        <v>12</v>
      </c>
      <c r="E848" s="6" t="s">
        <v>6</v>
      </c>
      <c r="F848" t="str">
        <f>_xlfn.XLOOKUP(northwind_order_details[[#This Row],[order_id]],northwind_orders[order_id],northwind_orders[ship_country])</f>
        <v>Germany</v>
      </c>
      <c r="G848">
        <f>INDEX(northwind_orders[],MATCH(northwind_order_details[[#This Row],[order_id]], northwind_orders[order_id], 0), MATCH("employee_id", northwind_orders[#Headers], 0))</f>
        <v>5</v>
      </c>
      <c r="H848">
        <f>northwind_order_details[[#This Row],[unit_price]]*northwind_order_details[[#This Row],[quantity]]</f>
        <v>660</v>
      </c>
      <c r="I848" s="1">
        <f>northwind_order_details[[#This Row],[purchase amount]]*northwind_order_details[[#This Row],[discount]]</f>
        <v>0</v>
      </c>
      <c r="J848" s="1">
        <f>northwind_order_details[[#This Row],[purchase amount]]-northwind_order_details[[#This Row],[discount amount]]</f>
        <v>660</v>
      </c>
      <c r="K848" s="6" t="str">
        <f>IF(northwind_order_details[[#This Row],[discount amount]]&gt;0,"Yes","No")</f>
        <v>No</v>
      </c>
      <c r="L848" s="1" t="str">
        <f>IF(northwind_order_details[[#This Row],[Revenue]]&gt;1000,"High",IF(northwind_order_details[[#This Row],[Revenue]]&gt;300,"Medium","Low"))</f>
        <v>Medium</v>
      </c>
      <c r="M8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49" spans="1:13" x14ac:dyDescent="0.25">
      <c r="A849">
        <v>10575</v>
      </c>
      <c r="B849">
        <v>63</v>
      </c>
      <c r="C849" s="6">
        <v>43.9</v>
      </c>
      <c r="D849">
        <v>6</v>
      </c>
      <c r="E849" s="6" t="s">
        <v>6</v>
      </c>
      <c r="F849" t="str">
        <f>_xlfn.XLOOKUP(northwind_order_details[[#This Row],[order_id]],northwind_orders[order_id],northwind_orders[ship_country])</f>
        <v>Germany</v>
      </c>
      <c r="G849">
        <f>INDEX(northwind_orders[],MATCH(northwind_order_details[[#This Row],[order_id]], northwind_orders[order_id], 0), MATCH("employee_id", northwind_orders[#Headers], 0))</f>
        <v>5</v>
      </c>
      <c r="H849">
        <f>northwind_order_details[[#This Row],[unit_price]]*northwind_order_details[[#This Row],[quantity]]</f>
        <v>263.39999999999998</v>
      </c>
      <c r="I849" s="1">
        <f>northwind_order_details[[#This Row],[purchase amount]]*northwind_order_details[[#This Row],[discount]]</f>
        <v>0</v>
      </c>
      <c r="J849" s="1">
        <f>northwind_order_details[[#This Row],[purchase amount]]-northwind_order_details[[#This Row],[discount amount]]</f>
        <v>263.39999999999998</v>
      </c>
      <c r="K849" s="6" t="str">
        <f>IF(northwind_order_details[[#This Row],[discount amount]]&gt;0,"Yes","No")</f>
        <v>No</v>
      </c>
      <c r="L849" s="1" t="str">
        <f>IF(northwind_order_details[[#This Row],[Revenue]]&gt;1000,"High",IF(northwind_order_details[[#This Row],[Revenue]]&gt;300,"Medium","Low"))</f>
        <v>Low</v>
      </c>
      <c r="M8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50" spans="1:13" x14ac:dyDescent="0.25">
      <c r="A850">
        <v>10575</v>
      </c>
      <c r="B850">
        <v>72</v>
      </c>
      <c r="C850" s="6">
        <v>34.799999999999997</v>
      </c>
      <c r="D850">
        <v>30</v>
      </c>
      <c r="E850" s="6" t="s">
        <v>6</v>
      </c>
      <c r="F850" t="str">
        <f>_xlfn.XLOOKUP(northwind_order_details[[#This Row],[order_id]],northwind_orders[order_id],northwind_orders[ship_country])</f>
        <v>Germany</v>
      </c>
      <c r="G850">
        <f>INDEX(northwind_orders[],MATCH(northwind_order_details[[#This Row],[order_id]], northwind_orders[order_id], 0), MATCH("employee_id", northwind_orders[#Headers], 0))</f>
        <v>5</v>
      </c>
      <c r="H850">
        <f>northwind_order_details[[#This Row],[unit_price]]*northwind_order_details[[#This Row],[quantity]]</f>
        <v>1044</v>
      </c>
      <c r="I850" s="1">
        <f>northwind_order_details[[#This Row],[purchase amount]]*northwind_order_details[[#This Row],[discount]]</f>
        <v>0</v>
      </c>
      <c r="J850" s="1">
        <f>northwind_order_details[[#This Row],[purchase amount]]-northwind_order_details[[#This Row],[discount amount]]</f>
        <v>1044</v>
      </c>
      <c r="K850" s="6" t="str">
        <f>IF(northwind_order_details[[#This Row],[discount amount]]&gt;0,"Yes","No")</f>
        <v>No</v>
      </c>
      <c r="L850" s="1" t="str">
        <f>IF(northwind_order_details[[#This Row],[Revenue]]&gt;1000,"High",IF(northwind_order_details[[#This Row],[Revenue]]&gt;300,"Medium","Low"))</f>
        <v>High</v>
      </c>
      <c r="M8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51" spans="1:13" x14ac:dyDescent="0.25">
      <c r="A851">
        <v>10575</v>
      </c>
      <c r="B851">
        <v>76</v>
      </c>
      <c r="C851" s="6" t="s">
        <v>24</v>
      </c>
      <c r="D851">
        <v>10</v>
      </c>
      <c r="E851" s="6" t="s">
        <v>6</v>
      </c>
      <c r="F851" t="str">
        <f>_xlfn.XLOOKUP(northwind_order_details[[#This Row],[order_id]],northwind_orders[order_id],northwind_orders[ship_country])</f>
        <v>Germany</v>
      </c>
      <c r="G851">
        <f>INDEX(northwind_orders[],MATCH(northwind_order_details[[#This Row],[order_id]], northwind_orders[order_id], 0), MATCH("employee_id", northwind_orders[#Headers], 0))</f>
        <v>5</v>
      </c>
      <c r="H851">
        <f>northwind_order_details[[#This Row],[unit_price]]*northwind_order_details[[#This Row],[quantity]]</f>
        <v>180</v>
      </c>
      <c r="I851" s="1">
        <f>northwind_order_details[[#This Row],[purchase amount]]*northwind_order_details[[#This Row],[discount]]</f>
        <v>0</v>
      </c>
      <c r="J851" s="1">
        <f>northwind_order_details[[#This Row],[purchase amount]]-northwind_order_details[[#This Row],[discount amount]]</f>
        <v>180</v>
      </c>
      <c r="K851" s="6" t="str">
        <f>IF(northwind_order_details[[#This Row],[discount amount]]&gt;0,"Yes","No")</f>
        <v>No</v>
      </c>
      <c r="L851" s="1" t="str">
        <f>IF(northwind_order_details[[#This Row],[Revenue]]&gt;1000,"High",IF(northwind_order_details[[#This Row],[Revenue]]&gt;300,"Medium","Low"))</f>
        <v>Low</v>
      </c>
      <c r="M8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52" spans="1:13" x14ac:dyDescent="0.25">
      <c r="A852">
        <v>10576</v>
      </c>
      <c r="B852">
        <v>1</v>
      </c>
      <c r="C852" s="6" t="s">
        <v>24</v>
      </c>
      <c r="D852">
        <v>10</v>
      </c>
      <c r="E852" s="6" t="s">
        <v>6</v>
      </c>
      <c r="F852" t="str">
        <f>_xlfn.XLOOKUP(northwind_order_details[[#This Row],[order_id]],northwind_orders[order_id],northwind_orders[ship_country])</f>
        <v>Mexico</v>
      </c>
      <c r="G852">
        <f>INDEX(northwind_orders[],MATCH(northwind_order_details[[#This Row],[order_id]], northwind_orders[order_id], 0), MATCH("employee_id", northwind_orders[#Headers], 0))</f>
        <v>3</v>
      </c>
      <c r="H852">
        <f>northwind_order_details[[#This Row],[unit_price]]*northwind_order_details[[#This Row],[quantity]]</f>
        <v>180</v>
      </c>
      <c r="I852" s="1">
        <f>northwind_order_details[[#This Row],[purchase amount]]*northwind_order_details[[#This Row],[discount]]</f>
        <v>0</v>
      </c>
      <c r="J852" s="1">
        <f>northwind_order_details[[#This Row],[purchase amount]]-northwind_order_details[[#This Row],[discount amount]]</f>
        <v>180</v>
      </c>
      <c r="K852" s="6" t="str">
        <f>IF(northwind_order_details[[#This Row],[discount amount]]&gt;0,"Yes","No")</f>
        <v>No</v>
      </c>
      <c r="L852" s="1" t="str">
        <f>IF(northwind_order_details[[#This Row],[Revenue]]&gt;1000,"High",IF(northwind_order_details[[#This Row],[Revenue]]&gt;300,"Medium","Low"))</f>
        <v>Low</v>
      </c>
      <c r="M8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53" spans="1:13" x14ac:dyDescent="0.25">
      <c r="A853">
        <v>10576</v>
      </c>
      <c r="B853">
        <v>31</v>
      </c>
      <c r="C853" s="6">
        <v>12.5</v>
      </c>
      <c r="D853">
        <v>20</v>
      </c>
      <c r="E853" s="6" t="s">
        <v>6</v>
      </c>
      <c r="F853" t="str">
        <f>_xlfn.XLOOKUP(northwind_order_details[[#This Row],[order_id]],northwind_orders[order_id],northwind_orders[ship_country])</f>
        <v>Mexico</v>
      </c>
      <c r="G853">
        <f>INDEX(northwind_orders[],MATCH(northwind_order_details[[#This Row],[order_id]], northwind_orders[order_id], 0), MATCH("employee_id", northwind_orders[#Headers], 0))</f>
        <v>3</v>
      </c>
      <c r="H853">
        <f>northwind_order_details[[#This Row],[unit_price]]*northwind_order_details[[#This Row],[quantity]]</f>
        <v>250</v>
      </c>
      <c r="I853" s="1">
        <f>northwind_order_details[[#This Row],[purchase amount]]*northwind_order_details[[#This Row],[discount]]</f>
        <v>0</v>
      </c>
      <c r="J853" s="1">
        <f>northwind_order_details[[#This Row],[purchase amount]]-northwind_order_details[[#This Row],[discount amount]]</f>
        <v>250</v>
      </c>
      <c r="K853" s="6" t="str">
        <f>IF(northwind_order_details[[#This Row],[discount amount]]&gt;0,"Yes","No")</f>
        <v>No</v>
      </c>
      <c r="L853" s="1" t="str">
        <f>IF(northwind_order_details[[#This Row],[Revenue]]&gt;1000,"High",IF(northwind_order_details[[#This Row],[Revenue]]&gt;300,"Medium","Low"))</f>
        <v>Low</v>
      </c>
      <c r="M8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54" spans="1:13" x14ac:dyDescent="0.25">
      <c r="A854">
        <v>10576</v>
      </c>
      <c r="B854">
        <v>44</v>
      </c>
      <c r="C854" s="6">
        <v>19.45</v>
      </c>
      <c r="D854">
        <v>21</v>
      </c>
      <c r="E854" s="6" t="s">
        <v>6</v>
      </c>
      <c r="F854" t="str">
        <f>_xlfn.XLOOKUP(northwind_order_details[[#This Row],[order_id]],northwind_orders[order_id],northwind_orders[ship_country])</f>
        <v>Mexico</v>
      </c>
      <c r="G854">
        <f>INDEX(northwind_orders[],MATCH(northwind_order_details[[#This Row],[order_id]], northwind_orders[order_id], 0), MATCH("employee_id", northwind_orders[#Headers], 0))</f>
        <v>3</v>
      </c>
      <c r="H854">
        <f>northwind_order_details[[#This Row],[unit_price]]*northwind_order_details[[#This Row],[quantity]]</f>
        <v>408.45</v>
      </c>
      <c r="I854" s="1">
        <f>northwind_order_details[[#This Row],[purchase amount]]*northwind_order_details[[#This Row],[discount]]</f>
        <v>0</v>
      </c>
      <c r="J854" s="1">
        <f>northwind_order_details[[#This Row],[purchase amount]]-northwind_order_details[[#This Row],[discount amount]]</f>
        <v>408.45</v>
      </c>
      <c r="K854" s="6" t="str">
        <f>IF(northwind_order_details[[#This Row],[discount amount]]&gt;0,"Yes","No")</f>
        <v>No</v>
      </c>
      <c r="L854" s="1" t="str">
        <f>IF(northwind_order_details[[#This Row],[Revenue]]&gt;1000,"High",IF(northwind_order_details[[#This Row],[Revenue]]&gt;300,"Medium","Low"))</f>
        <v>Medium</v>
      </c>
      <c r="M85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55" spans="1:13" x14ac:dyDescent="0.25">
      <c r="A855">
        <v>10577</v>
      </c>
      <c r="B855">
        <v>39</v>
      </c>
      <c r="C855" s="6" t="s">
        <v>24</v>
      </c>
      <c r="D855">
        <v>10</v>
      </c>
      <c r="E855" s="6" t="s">
        <v>6</v>
      </c>
      <c r="F855" t="str">
        <f>_xlfn.XLOOKUP(northwind_order_details[[#This Row],[order_id]],northwind_orders[order_id],northwind_orders[ship_country])</f>
        <v>USA</v>
      </c>
      <c r="G855">
        <f>INDEX(northwind_orders[],MATCH(northwind_order_details[[#This Row],[order_id]], northwind_orders[order_id], 0), MATCH("employee_id", northwind_orders[#Headers], 0))</f>
        <v>9</v>
      </c>
      <c r="H855">
        <f>northwind_order_details[[#This Row],[unit_price]]*northwind_order_details[[#This Row],[quantity]]</f>
        <v>180</v>
      </c>
      <c r="I855" s="1">
        <f>northwind_order_details[[#This Row],[purchase amount]]*northwind_order_details[[#This Row],[discount]]</f>
        <v>0</v>
      </c>
      <c r="J855" s="1">
        <f>northwind_order_details[[#This Row],[purchase amount]]-northwind_order_details[[#This Row],[discount amount]]</f>
        <v>180</v>
      </c>
      <c r="K855" s="6" t="str">
        <f>IF(northwind_order_details[[#This Row],[discount amount]]&gt;0,"Yes","No")</f>
        <v>No</v>
      </c>
      <c r="L855" s="1" t="str">
        <f>IF(northwind_order_details[[#This Row],[Revenue]]&gt;1000,"High",IF(northwind_order_details[[#This Row],[Revenue]]&gt;300,"Medium","Low"))</f>
        <v>Low</v>
      </c>
      <c r="M8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56" spans="1:13" x14ac:dyDescent="0.25">
      <c r="A856">
        <v>10577</v>
      </c>
      <c r="B856">
        <v>75</v>
      </c>
      <c r="C856" s="6">
        <v>7.75</v>
      </c>
      <c r="D856">
        <v>20</v>
      </c>
      <c r="E856" s="6" t="s">
        <v>6</v>
      </c>
      <c r="F856" t="str">
        <f>_xlfn.XLOOKUP(northwind_order_details[[#This Row],[order_id]],northwind_orders[order_id],northwind_orders[ship_country])</f>
        <v>USA</v>
      </c>
      <c r="G856">
        <f>INDEX(northwind_orders[],MATCH(northwind_order_details[[#This Row],[order_id]], northwind_orders[order_id], 0), MATCH("employee_id", northwind_orders[#Headers], 0))</f>
        <v>9</v>
      </c>
      <c r="H856">
        <f>northwind_order_details[[#This Row],[unit_price]]*northwind_order_details[[#This Row],[quantity]]</f>
        <v>155</v>
      </c>
      <c r="I856" s="1">
        <f>northwind_order_details[[#This Row],[purchase amount]]*northwind_order_details[[#This Row],[discount]]</f>
        <v>0</v>
      </c>
      <c r="J856" s="1">
        <f>northwind_order_details[[#This Row],[purchase amount]]-northwind_order_details[[#This Row],[discount amount]]</f>
        <v>155</v>
      </c>
      <c r="K856" s="6" t="str">
        <f>IF(northwind_order_details[[#This Row],[discount amount]]&gt;0,"Yes","No")</f>
        <v>No</v>
      </c>
      <c r="L856" s="1" t="str">
        <f>IF(northwind_order_details[[#This Row],[Revenue]]&gt;1000,"High",IF(northwind_order_details[[#This Row],[Revenue]]&gt;300,"Medium","Low"))</f>
        <v>Low</v>
      </c>
      <c r="M8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57" spans="1:13" x14ac:dyDescent="0.25">
      <c r="A857">
        <v>10577</v>
      </c>
      <c r="B857">
        <v>77</v>
      </c>
      <c r="C857" s="6" t="s">
        <v>19</v>
      </c>
      <c r="D857">
        <v>18</v>
      </c>
      <c r="E857" s="6" t="s">
        <v>6</v>
      </c>
      <c r="F857" t="str">
        <f>_xlfn.XLOOKUP(northwind_order_details[[#This Row],[order_id]],northwind_orders[order_id],northwind_orders[ship_country])</f>
        <v>USA</v>
      </c>
      <c r="G857">
        <f>INDEX(northwind_orders[],MATCH(northwind_order_details[[#This Row],[order_id]], northwind_orders[order_id], 0), MATCH("employee_id", northwind_orders[#Headers], 0))</f>
        <v>9</v>
      </c>
      <c r="H857">
        <f>northwind_order_details[[#This Row],[unit_price]]*northwind_order_details[[#This Row],[quantity]]</f>
        <v>234</v>
      </c>
      <c r="I857" s="1">
        <f>northwind_order_details[[#This Row],[purchase amount]]*northwind_order_details[[#This Row],[discount]]</f>
        <v>0</v>
      </c>
      <c r="J857" s="1">
        <f>northwind_order_details[[#This Row],[purchase amount]]-northwind_order_details[[#This Row],[discount amount]]</f>
        <v>234</v>
      </c>
      <c r="K857" s="6" t="str">
        <f>IF(northwind_order_details[[#This Row],[discount amount]]&gt;0,"Yes","No")</f>
        <v>No</v>
      </c>
      <c r="L857" s="1" t="str">
        <f>IF(northwind_order_details[[#This Row],[Revenue]]&gt;1000,"High",IF(northwind_order_details[[#This Row],[Revenue]]&gt;300,"Medium","Low"))</f>
        <v>Low</v>
      </c>
      <c r="M8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58" spans="1:13" x14ac:dyDescent="0.25">
      <c r="A858">
        <v>10578</v>
      </c>
      <c r="B858">
        <v>35</v>
      </c>
      <c r="C858" s="6" t="s">
        <v>24</v>
      </c>
      <c r="D858">
        <v>20</v>
      </c>
      <c r="E858" s="6" t="s">
        <v>6</v>
      </c>
      <c r="F858" t="str">
        <f>_xlfn.XLOOKUP(northwind_order_details[[#This Row],[order_id]],northwind_orders[order_id],northwind_orders[ship_country])</f>
        <v>UK</v>
      </c>
      <c r="G858">
        <f>INDEX(northwind_orders[],MATCH(northwind_order_details[[#This Row],[order_id]], northwind_orders[order_id], 0), MATCH("employee_id", northwind_orders[#Headers], 0))</f>
        <v>4</v>
      </c>
      <c r="H858">
        <f>northwind_order_details[[#This Row],[unit_price]]*northwind_order_details[[#This Row],[quantity]]</f>
        <v>360</v>
      </c>
      <c r="I858" s="1">
        <f>northwind_order_details[[#This Row],[purchase amount]]*northwind_order_details[[#This Row],[discount]]</f>
        <v>0</v>
      </c>
      <c r="J858" s="1">
        <f>northwind_order_details[[#This Row],[purchase amount]]-northwind_order_details[[#This Row],[discount amount]]</f>
        <v>360</v>
      </c>
      <c r="K858" s="6" t="str">
        <f>IF(northwind_order_details[[#This Row],[discount amount]]&gt;0,"Yes","No")</f>
        <v>No</v>
      </c>
      <c r="L858" s="1" t="str">
        <f>IF(northwind_order_details[[#This Row],[Revenue]]&gt;1000,"High",IF(northwind_order_details[[#This Row],[Revenue]]&gt;300,"Medium","Low"))</f>
        <v>Medium</v>
      </c>
      <c r="M8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59" spans="1:13" x14ac:dyDescent="0.25">
      <c r="A859">
        <v>10578</v>
      </c>
      <c r="B859">
        <v>57</v>
      </c>
      <c r="C859" s="6">
        <v>19.5</v>
      </c>
      <c r="D859">
        <v>6</v>
      </c>
      <c r="E859" s="6" t="s">
        <v>6</v>
      </c>
      <c r="F859" t="str">
        <f>_xlfn.XLOOKUP(northwind_order_details[[#This Row],[order_id]],northwind_orders[order_id],northwind_orders[ship_country])</f>
        <v>UK</v>
      </c>
      <c r="G859">
        <f>INDEX(northwind_orders[],MATCH(northwind_order_details[[#This Row],[order_id]], northwind_orders[order_id], 0), MATCH("employee_id", northwind_orders[#Headers], 0))</f>
        <v>4</v>
      </c>
      <c r="H859">
        <f>northwind_order_details[[#This Row],[unit_price]]*northwind_order_details[[#This Row],[quantity]]</f>
        <v>117</v>
      </c>
      <c r="I859" s="1">
        <f>northwind_order_details[[#This Row],[purchase amount]]*northwind_order_details[[#This Row],[discount]]</f>
        <v>0</v>
      </c>
      <c r="J859" s="1">
        <f>northwind_order_details[[#This Row],[purchase amount]]-northwind_order_details[[#This Row],[discount amount]]</f>
        <v>117</v>
      </c>
      <c r="K859" s="6" t="str">
        <f>IF(northwind_order_details[[#This Row],[discount amount]]&gt;0,"Yes","No")</f>
        <v>No</v>
      </c>
      <c r="L859" s="1" t="str">
        <f>IF(northwind_order_details[[#This Row],[Revenue]]&gt;1000,"High",IF(northwind_order_details[[#This Row],[Revenue]]&gt;300,"Medium","Low"))</f>
        <v>Low</v>
      </c>
      <c r="M8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0" spans="1:13" x14ac:dyDescent="0.25">
      <c r="A860">
        <v>10579</v>
      </c>
      <c r="B860">
        <v>15</v>
      </c>
      <c r="C860" s="6">
        <v>15.5</v>
      </c>
      <c r="D860">
        <v>10</v>
      </c>
      <c r="E860" s="6" t="s">
        <v>6</v>
      </c>
      <c r="F860" t="str">
        <f>_xlfn.XLOOKUP(northwind_order_details[[#This Row],[order_id]],northwind_orders[order_id],northwind_orders[ship_country])</f>
        <v>USA</v>
      </c>
      <c r="G860">
        <f>INDEX(northwind_orders[],MATCH(northwind_order_details[[#This Row],[order_id]], northwind_orders[order_id], 0), MATCH("employee_id", northwind_orders[#Headers], 0))</f>
        <v>1</v>
      </c>
      <c r="H860">
        <f>northwind_order_details[[#This Row],[unit_price]]*northwind_order_details[[#This Row],[quantity]]</f>
        <v>155</v>
      </c>
      <c r="I860" s="1">
        <f>northwind_order_details[[#This Row],[purchase amount]]*northwind_order_details[[#This Row],[discount]]</f>
        <v>0</v>
      </c>
      <c r="J860" s="1">
        <f>northwind_order_details[[#This Row],[purchase amount]]-northwind_order_details[[#This Row],[discount amount]]</f>
        <v>155</v>
      </c>
      <c r="K860" s="6" t="str">
        <f>IF(northwind_order_details[[#This Row],[discount amount]]&gt;0,"Yes","No")</f>
        <v>No</v>
      </c>
      <c r="L860" s="1" t="str">
        <f>IF(northwind_order_details[[#This Row],[Revenue]]&gt;1000,"High",IF(northwind_order_details[[#This Row],[Revenue]]&gt;300,"Medium","Low"))</f>
        <v>Low</v>
      </c>
      <c r="M86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1" spans="1:13" x14ac:dyDescent="0.25">
      <c r="A861">
        <v>10579</v>
      </c>
      <c r="B861">
        <v>75</v>
      </c>
      <c r="C861" s="6">
        <v>7.75</v>
      </c>
      <c r="D861">
        <v>21</v>
      </c>
      <c r="E861" s="6" t="s">
        <v>6</v>
      </c>
      <c r="F861" t="str">
        <f>_xlfn.XLOOKUP(northwind_order_details[[#This Row],[order_id]],northwind_orders[order_id],northwind_orders[ship_country])</f>
        <v>USA</v>
      </c>
      <c r="G861">
        <f>INDEX(northwind_orders[],MATCH(northwind_order_details[[#This Row],[order_id]], northwind_orders[order_id], 0), MATCH("employee_id", northwind_orders[#Headers], 0))</f>
        <v>1</v>
      </c>
      <c r="H861">
        <f>northwind_order_details[[#This Row],[unit_price]]*northwind_order_details[[#This Row],[quantity]]</f>
        <v>162.75</v>
      </c>
      <c r="I861" s="1">
        <f>northwind_order_details[[#This Row],[purchase amount]]*northwind_order_details[[#This Row],[discount]]</f>
        <v>0</v>
      </c>
      <c r="J861" s="1">
        <f>northwind_order_details[[#This Row],[purchase amount]]-northwind_order_details[[#This Row],[discount amount]]</f>
        <v>162.75</v>
      </c>
      <c r="K861" s="6" t="str">
        <f>IF(northwind_order_details[[#This Row],[discount amount]]&gt;0,"Yes","No")</f>
        <v>No</v>
      </c>
      <c r="L861" s="1" t="str">
        <f>IF(northwind_order_details[[#This Row],[Revenue]]&gt;1000,"High",IF(northwind_order_details[[#This Row],[Revenue]]&gt;300,"Medium","Low"))</f>
        <v>Low</v>
      </c>
      <c r="M8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2" spans="1:13" x14ac:dyDescent="0.25">
      <c r="A862">
        <v>10580</v>
      </c>
      <c r="B862">
        <v>14</v>
      </c>
      <c r="C862" s="6">
        <v>23.25</v>
      </c>
      <c r="D862">
        <v>15</v>
      </c>
      <c r="E862" s="6">
        <v>0.05</v>
      </c>
      <c r="F862" t="str">
        <f>_xlfn.XLOOKUP(northwind_order_details[[#This Row],[order_id]],northwind_orders[order_id],northwind_orders[ship_country])</f>
        <v>Germany</v>
      </c>
      <c r="G862">
        <f>INDEX(northwind_orders[],MATCH(northwind_order_details[[#This Row],[order_id]], northwind_orders[order_id], 0), MATCH("employee_id", northwind_orders[#Headers], 0))</f>
        <v>4</v>
      </c>
      <c r="H862">
        <f>northwind_order_details[[#This Row],[unit_price]]*northwind_order_details[[#This Row],[quantity]]</f>
        <v>348.75</v>
      </c>
      <c r="I862" s="1">
        <f>northwind_order_details[[#This Row],[purchase amount]]*northwind_order_details[[#This Row],[discount]]</f>
        <v>17.4375</v>
      </c>
      <c r="J862" s="1">
        <f>northwind_order_details[[#This Row],[purchase amount]]-northwind_order_details[[#This Row],[discount amount]]</f>
        <v>331.3125</v>
      </c>
      <c r="K862" s="6" t="str">
        <f>IF(northwind_order_details[[#This Row],[discount amount]]&gt;0,"Yes","No")</f>
        <v>Yes</v>
      </c>
      <c r="L862" s="1" t="str">
        <f>IF(northwind_order_details[[#This Row],[Revenue]]&gt;1000,"High",IF(northwind_order_details[[#This Row],[Revenue]]&gt;300,"Medium","Low"))</f>
        <v>Medium</v>
      </c>
      <c r="M8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3" spans="1:13" x14ac:dyDescent="0.25">
      <c r="A863">
        <v>10580</v>
      </c>
      <c r="B863">
        <v>41</v>
      </c>
      <c r="C863" s="6">
        <v>9.65</v>
      </c>
      <c r="D863">
        <v>9</v>
      </c>
      <c r="E863" s="6">
        <v>0.05</v>
      </c>
      <c r="F863" t="str">
        <f>_xlfn.XLOOKUP(northwind_order_details[[#This Row],[order_id]],northwind_orders[order_id],northwind_orders[ship_country])</f>
        <v>Germany</v>
      </c>
      <c r="G863">
        <f>INDEX(northwind_orders[],MATCH(northwind_order_details[[#This Row],[order_id]], northwind_orders[order_id], 0), MATCH("employee_id", northwind_orders[#Headers], 0))</f>
        <v>4</v>
      </c>
      <c r="H863">
        <f>northwind_order_details[[#This Row],[unit_price]]*northwind_order_details[[#This Row],[quantity]]</f>
        <v>86.850000000000009</v>
      </c>
      <c r="I863" s="1">
        <f>northwind_order_details[[#This Row],[purchase amount]]*northwind_order_details[[#This Row],[discount]]</f>
        <v>4.3425000000000002</v>
      </c>
      <c r="J863" s="1">
        <f>northwind_order_details[[#This Row],[purchase amount]]-northwind_order_details[[#This Row],[discount amount]]</f>
        <v>82.507500000000007</v>
      </c>
      <c r="K863" s="6" t="str">
        <f>IF(northwind_order_details[[#This Row],[discount amount]]&gt;0,"Yes","No")</f>
        <v>Yes</v>
      </c>
      <c r="L863" s="1" t="str">
        <f>IF(northwind_order_details[[#This Row],[Revenue]]&gt;1000,"High",IF(northwind_order_details[[#This Row],[Revenue]]&gt;300,"Medium","Low"))</f>
        <v>Low</v>
      </c>
      <c r="M8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4" spans="1:13" x14ac:dyDescent="0.25">
      <c r="A864">
        <v>10580</v>
      </c>
      <c r="B864">
        <v>65</v>
      </c>
      <c r="C864" s="6">
        <v>21.05</v>
      </c>
      <c r="D864">
        <v>30</v>
      </c>
      <c r="E864" s="6">
        <v>0.05</v>
      </c>
      <c r="F864" t="str">
        <f>_xlfn.XLOOKUP(northwind_order_details[[#This Row],[order_id]],northwind_orders[order_id],northwind_orders[ship_country])</f>
        <v>Germany</v>
      </c>
      <c r="G864">
        <f>INDEX(northwind_orders[],MATCH(northwind_order_details[[#This Row],[order_id]], northwind_orders[order_id], 0), MATCH("employee_id", northwind_orders[#Headers], 0))</f>
        <v>4</v>
      </c>
      <c r="H864">
        <f>northwind_order_details[[#This Row],[unit_price]]*northwind_order_details[[#This Row],[quantity]]</f>
        <v>631.5</v>
      </c>
      <c r="I864" s="1">
        <f>northwind_order_details[[#This Row],[purchase amount]]*northwind_order_details[[#This Row],[discount]]</f>
        <v>31.575000000000003</v>
      </c>
      <c r="J864" s="1">
        <f>northwind_order_details[[#This Row],[purchase amount]]-northwind_order_details[[#This Row],[discount amount]]</f>
        <v>599.92499999999995</v>
      </c>
      <c r="K864" s="6" t="str">
        <f>IF(northwind_order_details[[#This Row],[discount amount]]&gt;0,"Yes","No")</f>
        <v>Yes</v>
      </c>
      <c r="L864" s="1" t="str">
        <f>IF(northwind_order_details[[#This Row],[Revenue]]&gt;1000,"High",IF(northwind_order_details[[#This Row],[Revenue]]&gt;300,"Medium","Low"))</f>
        <v>Medium</v>
      </c>
      <c r="M8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5" spans="1:13" x14ac:dyDescent="0.25">
      <c r="A865">
        <v>10581</v>
      </c>
      <c r="B865">
        <v>75</v>
      </c>
      <c r="C865" s="6">
        <v>7.75</v>
      </c>
      <c r="D865">
        <v>50</v>
      </c>
      <c r="E865" s="6">
        <v>0.2</v>
      </c>
      <c r="F865" t="str">
        <f>_xlfn.XLOOKUP(northwind_order_details[[#This Row],[order_id]],northwind_orders[order_id],northwind_orders[ship_country])</f>
        <v>Brazil</v>
      </c>
      <c r="G865">
        <f>INDEX(northwind_orders[],MATCH(northwind_order_details[[#This Row],[order_id]], northwind_orders[order_id], 0), MATCH("employee_id", northwind_orders[#Headers], 0))</f>
        <v>3</v>
      </c>
      <c r="H865">
        <f>northwind_order_details[[#This Row],[unit_price]]*northwind_order_details[[#This Row],[quantity]]</f>
        <v>387.5</v>
      </c>
      <c r="I865" s="1">
        <f>northwind_order_details[[#This Row],[purchase amount]]*northwind_order_details[[#This Row],[discount]]</f>
        <v>77.5</v>
      </c>
      <c r="J865" s="1">
        <f>northwind_order_details[[#This Row],[purchase amount]]-northwind_order_details[[#This Row],[discount amount]]</f>
        <v>310</v>
      </c>
      <c r="K865" s="6" t="str">
        <f>IF(northwind_order_details[[#This Row],[discount amount]]&gt;0,"Yes","No")</f>
        <v>Yes</v>
      </c>
      <c r="L865" s="1" t="str">
        <f>IF(northwind_order_details[[#This Row],[Revenue]]&gt;1000,"High",IF(northwind_order_details[[#This Row],[Revenue]]&gt;300,"Medium","Low"))</f>
        <v>Medium</v>
      </c>
      <c r="M8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6" spans="1:13" x14ac:dyDescent="0.25">
      <c r="A866">
        <v>10582</v>
      </c>
      <c r="B866">
        <v>57</v>
      </c>
      <c r="C866" s="6">
        <v>19.5</v>
      </c>
      <c r="D866">
        <v>4</v>
      </c>
      <c r="E866" s="6" t="s">
        <v>6</v>
      </c>
      <c r="F866" t="str">
        <f>_xlfn.XLOOKUP(northwind_order_details[[#This Row],[order_id]],northwind_orders[order_id],northwind_orders[ship_country])</f>
        <v>Germany</v>
      </c>
      <c r="G866">
        <f>INDEX(northwind_orders[],MATCH(northwind_order_details[[#This Row],[order_id]], northwind_orders[order_id], 0), MATCH("employee_id", northwind_orders[#Headers], 0))</f>
        <v>3</v>
      </c>
      <c r="H866">
        <f>northwind_order_details[[#This Row],[unit_price]]*northwind_order_details[[#This Row],[quantity]]</f>
        <v>78</v>
      </c>
      <c r="I866" s="1">
        <f>northwind_order_details[[#This Row],[purchase amount]]*northwind_order_details[[#This Row],[discount]]</f>
        <v>0</v>
      </c>
      <c r="J866" s="1">
        <f>northwind_order_details[[#This Row],[purchase amount]]-northwind_order_details[[#This Row],[discount amount]]</f>
        <v>78</v>
      </c>
      <c r="K866" s="6" t="str">
        <f>IF(northwind_order_details[[#This Row],[discount amount]]&gt;0,"Yes","No")</f>
        <v>No</v>
      </c>
      <c r="L866" s="1" t="str">
        <f>IF(northwind_order_details[[#This Row],[Revenue]]&gt;1000,"High",IF(northwind_order_details[[#This Row],[Revenue]]&gt;300,"Medium","Low"))</f>
        <v>Low</v>
      </c>
      <c r="M86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7" spans="1:13" x14ac:dyDescent="0.25">
      <c r="A867">
        <v>10582</v>
      </c>
      <c r="B867">
        <v>76</v>
      </c>
      <c r="C867" s="6" t="s">
        <v>24</v>
      </c>
      <c r="D867">
        <v>14</v>
      </c>
      <c r="E867" s="6" t="s">
        <v>6</v>
      </c>
      <c r="F867" t="str">
        <f>_xlfn.XLOOKUP(northwind_order_details[[#This Row],[order_id]],northwind_orders[order_id],northwind_orders[ship_country])</f>
        <v>Germany</v>
      </c>
      <c r="G867">
        <f>INDEX(northwind_orders[],MATCH(northwind_order_details[[#This Row],[order_id]], northwind_orders[order_id], 0), MATCH("employee_id", northwind_orders[#Headers], 0))</f>
        <v>3</v>
      </c>
      <c r="H867">
        <f>northwind_order_details[[#This Row],[unit_price]]*northwind_order_details[[#This Row],[quantity]]</f>
        <v>252</v>
      </c>
      <c r="I867" s="1">
        <f>northwind_order_details[[#This Row],[purchase amount]]*northwind_order_details[[#This Row],[discount]]</f>
        <v>0</v>
      </c>
      <c r="J867" s="1">
        <f>northwind_order_details[[#This Row],[purchase amount]]-northwind_order_details[[#This Row],[discount amount]]</f>
        <v>252</v>
      </c>
      <c r="K867" s="6" t="str">
        <f>IF(northwind_order_details[[#This Row],[discount amount]]&gt;0,"Yes","No")</f>
        <v>No</v>
      </c>
      <c r="L867" s="1" t="str">
        <f>IF(northwind_order_details[[#This Row],[Revenue]]&gt;1000,"High",IF(northwind_order_details[[#This Row],[Revenue]]&gt;300,"Medium","Low"))</f>
        <v>Low</v>
      </c>
      <c r="M8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68" spans="1:13" x14ac:dyDescent="0.25">
      <c r="A868">
        <v>10583</v>
      </c>
      <c r="B868">
        <v>29</v>
      </c>
      <c r="C868" s="6">
        <v>123.79</v>
      </c>
      <c r="D868">
        <v>10</v>
      </c>
      <c r="E868" s="6" t="s">
        <v>6</v>
      </c>
      <c r="F868" t="str">
        <f>_xlfn.XLOOKUP(northwind_order_details[[#This Row],[order_id]],northwind_orders[order_id],northwind_orders[ship_country])</f>
        <v>Finland</v>
      </c>
      <c r="G868">
        <f>INDEX(northwind_orders[],MATCH(northwind_order_details[[#This Row],[order_id]], northwind_orders[order_id], 0), MATCH("employee_id", northwind_orders[#Headers], 0))</f>
        <v>2</v>
      </c>
      <c r="H868">
        <f>northwind_order_details[[#This Row],[unit_price]]*northwind_order_details[[#This Row],[quantity]]</f>
        <v>1237.9000000000001</v>
      </c>
      <c r="I868" s="1">
        <f>northwind_order_details[[#This Row],[purchase amount]]*northwind_order_details[[#This Row],[discount]]</f>
        <v>0</v>
      </c>
      <c r="J868" s="1">
        <f>northwind_order_details[[#This Row],[purchase amount]]-northwind_order_details[[#This Row],[discount amount]]</f>
        <v>1237.9000000000001</v>
      </c>
      <c r="K868" s="6" t="str">
        <f>IF(northwind_order_details[[#This Row],[discount amount]]&gt;0,"Yes","No")</f>
        <v>No</v>
      </c>
      <c r="L868" s="1" t="str">
        <f>IF(northwind_order_details[[#This Row],[Revenue]]&gt;1000,"High",IF(northwind_order_details[[#This Row],[Revenue]]&gt;300,"Medium","Low"))</f>
        <v>High</v>
      </c>
      <c r="M8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69" spans="1:13" x14ac:dyDescent="0.25">
      <c r="A869">
        <v>10583</v>
      </c>
      <c r="B869">
        <v>60</v>
      </c>
      <c r="C869" s="6" t="s">
        <v>28</v>
      </c>
      <c r="D869">
        <v>24</v>
      </c>
      <c r="E869" s="6">
        <v>0.15</v>
      </c>
      <c r="F869" t="str">
        <f>_xlfn.XLOOKUP(northwind_order_details[[#This Row],[order_id]],northwind_orders[order_id],northwind_orders[ship_country])</f>
        <v>Finland</v>
      </c>
      <c r="G869">
        <f>INDEX(northwind_orders[],MATCH(northwind_order_details[[#This Row],[order_id]], northwind_orders[order_id], 0), MATCH("employee_id", northwind_orders[#Headers], 0))</f>
        <v>2</v>
      </c>
      <c r="H869">
        <f>northwind_order_details[[#This Row],[unit_price]]*northwind_order_details[[#This Row],[quantity]]</f>
        <v>816</v>
      </c>
      <c r="I869" s="1">
        <f>northwind_order_details[[#This Row],[purchase amount]]*northwind_order_details[[#This Row],[discount]]</f>
        <v>122.39999999999999</v>
      </c>
      <c r="J869" s="1">
        <f>northwind_order_details[[#This Row],[purchase amount]]-northwind_order_details[[#This Row],[discount amount]]</f>
        <v>693.6</v>
      </c>
      <c r="K869" s="6" t="str">
        <f>IF(northwind_order_details[[#This Row],[discount amount]]&gt;0,"Yes","No")</f>
        <v>Yes</v>
      </c>
      <c r="L869" s="1" t="str">
        <f>IF(northwind_order_details[[#This Row],[Revenue]]&gt;1000,"High",IF(northwind_order_details[[#This Row],[Revenue]]&gt;300,"Medium","Low"))</f>
        <v>Medium</v>
      </c>
      <c r="M8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0" spans="1:13" x14ac:dyDescent="0.25">
      <c r="A870">
        <v>10583</v>
      </c>
      <c r="B870">
        <v>69</v>
      </c>
      <c r="C870" s="6" t="s">
        <v>38</v>
      </c>
      <c r="D870">
        <v>10</v>
      </c>
      <c r="E870" s="6">
        <v>0.15</v>
      </c>
      <c r="F870" t="str">
        <f>_xlfn.XLOOKUP(northwind_order_details[[#This Row],[order_id]],northwind_orders[order_id],northwind_orders[ship_country])</f>
        <v>Finland</v>
      </c>
      <c r="G870">
        <f>INDEX(northwind_orders[],MATCH(northwind_order_details[[#This Row],[order_id]], northwind_orders[order_id], 0), MATCH("employee_id", northwind_orders[#Headers], 0))</f>
        <v>2</v>
      </c>
      <c r="H870">
        <f>northwind_order_details[[#This Row],[unit_price]]*northwind_order_details[[#This Row],[quantity]]</f>
        <v>360</v>
      </c>
      <c r="I870" s="1">
        <f>northwind_order_details[[#This Row],[purchase amount]]*northwind_order_details[[#This Row],[discount]]</f>
        <v>54</v>
      </c>
      <c r="J870" s="1">
        <f>northwind_order_details[[#This Row],[purchase amount]]-northwind_order_details[[#This Row],[discount amount]]</f>
        <v>306</v>
      </c>
      <c r="K870" s="6" t="str">
        <f>IF(northwind_order_details[[#This Row],[discount amount]]&gt;0,"Yes","No")</f>
        <v>Yes</v>
      </c>
      <c r="L870" s="1" t="str">
        <f>IF(northwind_order_details[[#This Row],[Revenue]]&gt;1000,"High",IF(northwind_order_details[[#This Row],[Revenue]]&gt;300,"Medium","Low"))</f>
        <v>Medium</v>
      </c>
      <c r="M8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1" spans="1:13" x14ac:dyDescent="0.25">
      <c r="A871">
        <v>10584</v>
      </c>
      <c r="B871">
        <v>31</v>
      </c>
      <c r="C871" s="6">
        <v>12.5</v>
      </c>
      <c r="D871">
        <v>50</v>
      </c>
      <c r="E871" s="6">
        <v>0.05</v>
      </c>
      <c r="F871" t="str">
        <f>_xlfn.XLOOKUP(northwind_order_details[[#This Row],[order_id]],northwind_orders[order_id],northwind_orders[ship_country])</f>
        <v>France</v>
      </c>
      <c r="G871">
        <f>INDEX(northwind_orders[],MATCH(northwind_order_details[[#This Row],[order_id]], northwind_orders[order_id], 0), MATCH("employee_id", northwind_orders[#Headers], 0))</f>
        <v>4</v>
      </c>
      <c r="H871">
        <f>northwind_order_details[[#This Row],[unit_price]]*northwind_order_details[[#This Row],[quantity]]</f>
        <v>625</v>
      </c>
      <c r="I871" s="1">
        <f>northwind_order_details[[#This Row],[purchase amount]]*northwind_order_details[[#This Row],[discount]]</f>
        <v>31.25</v>
      </c>
      <c r="J871" s="1">
        <f>northwind_order_details[[#This Row],[purchase amount]]-northwind_order_details[[#This Row],[discount amount]]</f>
        <v>593.75</v>
      </c>
      <c r="K871" s="6" t="str">
        <f>IF(northwind_order_details[[#This Row],[discount amount]]&gt;0,"Yes","No")</f>
        <v>Yes</v>
      </c>
      <c r="L871" s="1" t="str">
        <f>IF(northwind_order_details[[#This Row],[Revenue]]&gt;1000,"High",IF(northwind_order_details[[#This Row],[Revenue]]&gt;300,"Medium","Low"))</f>
        <v>Medium</v>
      </c>
      <c r="M87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72" spans="1:13" x14ac:dyDescent="0.25">
      <c r="A872">
        <v>10585</v>
      </c>
      <c r="B872">
        <v>47</v>
      </c>
      <c r="C872" s="6">
        <v>9.5</v>
      </c>
      <c r="D872">
        <v>15</v>
      </c>
      <c r="E872" s="6" t="s">
        <v>6</v>
      </c>
      <c r="F872" t="str">
        <f>_xlfn.XLOOKUP(northwind_order_details[[#This Row],[order_id]],northwind_orders[order_id],northwind_orders[ship_country])</f>
        <v>Brazil</v>
      </c>
      <c r="G872">
        <f>INDEX(northwind_orders[],MATCH(northwind_order_details[[#This Row],[order_id]], northwind_orders[order_id], 0), MATCH("employee_id", northwind_orders[#Headers], 0))</f>
        <v>7</v>
      </c>
      <c r="H872">
        <f>northwind_order_details[[#This Row],[unit_price]]*northwind_order_details[[#This Row],[quantity]]</f>
        <v>142.5</v>
      </c>
      <c r="I872" s="1">
        <f>northwind_order_details[[#This Row],[purchase amount]]*northwind_order_details[[#This Row],[discount]]</f>
        <v>0</v>
      </c>
      <c r="J872" s="1">
        <f>northwind_order_details[[#This Row],[purchase amount]]-northwind_order_details[[#This Row],[discount amount]]</f>
        <v>142.5</v>
      </c>
      <c r="K872" s="6" t="str">
        <f>IF(northwind_order_details[[#This Row],[discount amount]]&gt;0,"Yes","No")</f>
        <v>No</v>
      </c>
      <c r="L872" s="1" t="str">
        <f>IF(northwind_order_details[[#This Row],[Revenue]]&gt;1000,"High",IF(northwind_order_details[[#This Row],[Revenue]]&gt;300,"Medium","Low"))</f>
        <v>Low</v>
      </c>
      <c r="M87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73" spans="1:13" x14ac:dyDescent="0.25">
      <c r="A873">
        <v>10586</v>
      </c>
      <c r="B873">
        <v>52</v>
      </c>
      <c r="C873" s="6" t="s">
        <v>32</v>
      </c>
      <c r="D873">
        <v>4</v>
      </c>
      <c r="E873" s="6">
        <v>0.15</v>
      </c>
      <c r="F873" t="str">
        <f>_xlfn.XLOOKUP(northwind_order_details[[#This Row],[order_id]],northwind_orders[order_id],northwind_orders[ship_country])</f>
        <v>Italy</v>
      </c>
      <c r="G873">
        <f>INDEX(northwind_orders[],MATCH(northwind_order_details[[#This Row],[order_id]], northwind_orders[order_id], 0), MATCH("employee_id", northwind_orders[#Headers], 0))</f>
        <v>9</v>
      </c>
      <c r="H873">
        <f>northwind_order_details[[#This Row],[unit_price]]*northwind_order_details[[#This Row],[quantity]]</f>
        <v>28</v>
      </c>
      <c r="I873" s="1">
        <f>northwind_order_details[[#This Row],[purchase amount]]*northwind_order_details[[#This Row],[discount]]</f>
        <v>4.2</v>
      </c>
      <c r="J873" s="1">
        <f>northwind_order_details[[#This Row],[purchase amount]]-northwind_order_details[[#This Row],[discount amount]]</f>
        <v>23.8</v>
      </c>
      <c r="K873" s="6" t="str">
        <f>IF(northwind_order_details[[#This Row],[discount amount]]&gt;0,"Yes","No")</f>
        <v>Yes</v>
      </c>
      <c r="L873" s="1" t="str">
        <f>IF(northwind_order_details[[#This Row],[Revenue]]&gt;1000,"High",IF(northwind_order_details[[#This Row],[Revenue]]&gt;300,"Medium","Low"))</f>
        <v>Low</v>
      </c>
      <c r="M8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4" spans="1:13" x14ac:dyDescent="0.25">
      <c r="A874">
        <v>10587</v>
      </c>
      <c r="B874">
        <v>26</v>
      </c>
      <c r="C874" s="6">
        <v>31.23</v>
      </c>
      <c r="D874">
        <v>6</v>
      </c>
      <c r="E874" s="6" t="s">
        <v>6</v>
      </c>
      <c r="F874" t="str">
        <f>_xlfn.XLOOKUP(northwind_order_details[[#This Row],[order_id]],northwind_orders[order_id],northwind_orders[ship_country])</f>
        <v>Brazil</v>
      </c>
      <c r="G874">
        <f>INDEX(northwind_orders[],MATCH(northwind_order_details[[#This Row],[order_id]], northwind_orders[order_id], 0), MATCH("employee_id", northwind_orders[#Headers], 0))</f>
        <v>1</v>
      </c>
      <c r="H874">
        <f>northwind_order_details[[#This Row],[unit_price]]*northwind_order_details[[#This Row],[quantity]]</f>
        <v>187.38</v>
      </c>
      <c r="I874" s="1">
        <f>northwind_order_details[[#This Row],[purchase amount]]*northwind_order_details[[#This Row],[discount]]</f>
        <v>0</v>
      </c>
      <c r="J874" s="1">
        <f>northwind_order_details[[#This Row],[purchase amount]]-northwind_order_details[[#This Row],[discount amount]]</f>
        <v>187.38</v>
      </c>
      <c r="K874" s="6" t="str">
        <f>IF(northwind_order_details[[#This Row],[discount amount]]&gt;0,"Yes","No")</f>
        <v>No</v>
      </c>
      <c r="L874" s="1" t="str">
        <f>IF(northwind_order_details[[#This Row],[Revenue]]&gt;1000,"High",IF(northwind_order_details[[#This Row],[Revenue]]&gt;300,"Medium","Low"))</f>
        <v>Low</v>
      </c>
      <c r="M8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75" spans="1:13" x14ac:dyDescent="0.25">
      <c r="A875">
        <v>10587</v>
      </c>
      <c r="B875">
        <v>35</v>
      </c>
      <c r="C875" s="6" t="s">
        <v>24</v>
      </c>
      <c r="D875">
        <v>20</v>
      </c>
      <c r="E875" s="6" t="s">
        <v>6</v>
      </c>
      <c r="F875" t="str">
        <f>_xlfn.XLOOKUP(northwind_order_details[[#This Row],[order_id]],northwind_orders[order_id],northwind_orders[ship_country])</f>
        <v>Brazil</v>
      </c>
      <c r="G875">
        <f>INDEX(northwind_orders[],MATCH(northwind_order_details[[#This Row],[order_id]], northwind_orders[order_id], 0), MATCH("employee_id", northwind_orders[#Headers], 0))</f>
        <v>1</v>
      </c>
      <c r="H875">
        <f>northwind_order_details[[#This Row],[unit_price]]*northwind_order_details[[#This Row],[quantity]]</f>
        <v>360</v>
      </c>
      <c r="I875" s="1">
        <f>northwind_order_details[[#This Row],[purchase amount]]*northwind_order_details[[#This Row],[discount]]</f>
        <v>0</v>
      </c>
      <c r="J875" s="1">
        <f>northwind_order_details[[#This Row],[purchase amount]]-northwind_order_details[[#This Row],[discount amount]]</f>
        <v>360</v>
      </c>
      <c r="K875" s="6" t="str">
        <f>IF(northwind_order_details[[#This Row],[discount amount]]&gt;0,"Yes","No")</f>
        <v>No</v>
      </c>
      <c r="L875" s="1" t="str">
        <f>IF(northwind_order_details[[#This Row],[Revenue]]&gt;1000,"High",IF(northwind_order_details[[#This Row],[Revenue]]&gt;300,"Medium","Low"))</f>
        <v>Medium</v>
      </c>
      <c r="M8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6" spans="1:13" x14ac:dyDescent="0.25">
      <c r="A876">
        <v>10587</v>
      </c>
      <c r="B876">
        <v>77</v>
      </c>
      <c r="C876" s="6" t="s">
        <v>19</v>
      </c>
      <c r="D876">
        <v>20</v>
      </c>
      <c r="E876" s="6" t="s">
        <v>6</v>
      </c>
      <c r="F876" t="str">
        <f>_xlfn.XLOOKUP(northwind_order_details[[#This Row],[order_id]],northwind_orders[order_id],northwind_orders[ship_country])</f>
        <v>Brazil</v>
      </c>
      <c r="G876">
        <f>INDEX(northwind_orders[],MATCH(northwind_order_details[[#This Row],[order_id]], northwind_orders[order_id], 0), MATCH("employee_id", northwind_orders[#Headers], 0))</f>
        <v>1</v>
      </c>
      <c r="H876">
        <f>northwind_order_details[[#This Row],[unit_price]]*northwind_order_details[[#This Row],[quantity]]</f>
        <v>260</v>
      </c>
      <c r="I876" s="1">
        <f>northwind_order_details[[#This Row],[purchase amount]]*northwind_order_details[[#This Row],[discount]]</f>
        <v>0</v>
      </c>
      <c r="J876" s="1">
        <f>northwind_order_details[[#This Row],[purchase amount]]-northwind_order_details[[#This Row],[discount amount]]</f>
        <v>260</v>
      </c>
      <c r="K876" s="6" t="str">
        <f>IF(northwind_order_details[[#This Row],[discount amount]]&gt;0,"Yes","No")</f>
        <v>No</v>
      </c>
      <c r="L876" s="1" t="str">
        <f>IF(northwind_order_details[[#This Row],[Revenue]]&gt;1000,"High",IF(northwind_order_details[[#This Row],[Revenue]]&gt;300,"Medium","Low"))</f>
        <v>Low</v>
      </c>
      <c r="M8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7" spans="1:13" x14ac:dyDescent="0.25">
      <c r="A877">
        <v>10588</v>
      </c>
      <c r="B877">
        <v>18</v>
      </c>
      <c r="C877" s="6">
        <v>62.5</v>
      </c>
      <c r="D877">
        <v>40</v>
      </c>
      <c r="E877" s="6">
        <v>0.2</v>
      </c>
      <c r="F877" t="str">
        <f>_xlfn.XLOOKUP(northwind_order_details[[#This Row],[order_id]],northwind_orders[order_id],northwind_orders[ship_country])</f>
        <v>Germany</v>
      </c>
      <c r="G877">
        <f>INDEX(northwind_orders[],MATCH(northwind_order_details[[#This Row],[order_id]], northwind_orders[order_id], 0), MATCH("employee_id", northwind_orders[#Headers], 0))</f>
        <v>2</v>
      </c>
      <c r="H877">
        <f>northwind_order_details[[#This Row],[unit_price]]*northwind_order_details[[#This Row],[quantity]]</f>
        <v>2500</v>
      </c>
      <c r="I877" s="1">
        <f>northwind_order_details[[#This Row],[purchase amount]]*northwind_order_details[[#This Row],[discount]]</f>
        <v>500</v>
      </c>
      <c r="J877" s="1">
        <f>northwind_order_details[[#This Row],[purchase amount]]-northwind_order_details[[#This Row],[discount amount]]</f>
        <v>2000</v>
      </c>
      <c r="K877" s="6" t="str">
        <f>IF(northwind_order_details[[#This Row],[discount amount]]&gt;0,"Yes","No")</f>
        <v>Yes</v>
      </c>
      <c r="L877" s="1" t="str">
        <f>IF(northwind_order_details[[#This Row],[Revenue]]&gt;1000,"High",IF(northwind_order_details[[#This Row],[Revenue]]&gt;300,"Medium","Low"))</f>
        <v>High</v>
      </c>
      <c r="M8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78" spans="1:13" x14ac:dyDescent="0.25">
      <c r="A878">
        <v>10588</v>
      </c>
      <c r="B878">
        <v>42</v>
      </c>
      <c r="C878" s="6" t="s">
        <v>5</v>
      </c>
      <c r="D878">
        <v>100</v>
      </c>
      <c r="E878" s="6">
        <v>0.2</v>
      </c>
      <c r="F878" t="str">
        <f>_xlfn.XLOOKUP(northwind_order_details[[#This Row],[order_id]],northwind_orders[order_id],northwind_orders[ship_country])</f>
        <v>Germany</v>
      </c>
      <c r="G878">
        <f>INDEX(northwind_orders[],MATCH(northwind_order_details[[#This Row],[order_id]], northwind_orders[order_id], 0), MATCH("employee_id", northwind_orders[#Headers], 0))</f>
        <v>2</v>
      </c>
      <c r="H878">
        <f>northwind_order_details[[#This Row],[unit_price]]*northwind_order_details[[#This Row],[quantity]]</f>
        <v>1400</v>
      </c>
      <c r="I878" s="1">
        <f>northwind_order_details[[#This Row],[purchase amount]]*northwind_order_details[[#This Row],[discount]]</f>
        <v>280</v>
      </c>
      <c r="J878" s="1">
        <f>northwind_order_details[[#This Row],[purchase amount]]-northwind_order_details[[#This Row],[discount amount]]</f>
        <v>1120</v>
      </c>
      <c r="K878" s="6" t="str">
        <f>IF(northwind_order_details[[#This Row],[discount amount]]&gt;0,"Yes","No")</f>
        <v>Yes</v>
      </c>
      <c r="L878" s="1" t="str">
        <f>IF(northwind_order_details[[#This Row],[Revenue]]&gt;1000,"High",IF(northwind_order_details[[#This Row],[Revenue]]&gt;300,"Medium","Low"))</f>
        <v>High</v>
      </c>
      <c r="M8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79" spans="1:13" x14ac:dyDescent="0.25">
      <c r="A879">
        <v>10589</v>
      </c>
      <c r="B879">
        <v>35</v>
      </c>
      <c r="C879" s="6" t="s">
        <v>24</v>
      </c>
      <c r="D879">
        <v>4</v>
      </c>
      <c r="E879" s="6" t="s">
        <v>6</v>
      </c>
      <c r="F879" t="str">
        <f>_xlfn.XLOOKUP(northwind_order_details[[#This Row],[order_id]],northwind_orders[order_id],northwind_orders[ship_country])</f>
        <v>USA</v>
      </c>
      <c r="G879">
        <f>INDEX(northwind_orders[],MATCH(northwind_order_details[[#This Row],[order_id]], northwind_orders[order_id], 0), MATCH("employee_id", northwind_orders[#Headers], 0))</f>
        <v>8</v>
      </c>
      <c r="H879">
        <f>northwind_order_details[[#This Row],[unit_price]]*northwind_order_details[[#This Row],[quantity]]</f>
        <v>72</v>
      </c>
      <c r="I879" s="1">
        <f>northwind_order_details[[#This Row],[purchase amount]]*northwind_order_details[[#This Row],[discount]]</f>
        <v>0</v>
      </c>
      <c r="J879" s="1">
        <f>northwind_order_details[[#This Row],[purchase amount]]-northwind_order_details[[#This Row],[discount amount]]</f>
        <v>72</v>
      </c>
      <c r="K879" s="6" t="str">
        <f>IF(northwind_order_details[[#This Row],[discount amount]]&gt;0,"Yes","No")</f>
        <v>No</v>
      </c>
      <c r="L879" s="1" t="str">
        <f>IF(northwind_order_details[[#This Row],[Revenue]]&gt;1000,"High",IF(northwind_order_details[[#This Row],[Revenue]]&gt;300,"Medium","Low"))</f>
        <v>Low</v>
      </c>
      <c r="M8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0" spans="1:13" x14ac:dyDescent="0.25">
      <c r="A880">
        <v>10590</v>
      </c>
      <c r="B880">
        <v>1</v>
      </c>
      <c r="C880" s="6" t="s">
        <v>24</v>
      </c>
      <c r="D880">
        <v>20</v>
      </c>
      <c r="E880" s="6" t="s">
        <v>6</v>
      </c>
      <c r="F880" t="str">
        <f>_xlfn.XLOOKUP(northwind_order_details[[#This Row],[order_id]],northwind_orders[order_id],northwind_orders[ship_country])</f>
        <v>Canada</v>
      </c>
      <c r="G880">
        <f>INDEX(northwind_orders[],MATCH(northwind_order_details[[#This Row],[order_id]], northwind_orders[order_id], 0), MATCH("employee_id", northwind_orders[#Headers], 0))</f>
        <v>4</v>
      </c>
      <c r="H880">
        <f>northwind_order_details[[#This Row],[unit_price]]*northwind_order_details[[#This Row],[quantity]]</f>
        <v>360</v>
      </c>
      <c r="I880" s="1">
        <f>northwind_order_details[[#This Row],[purchase amount]]*northwind_order_details[[#This Row],[discount]]</f>
        <v>0</v>
      </c>
      <c r="J880" s="1">
        <f>northwind_order_details[[#This Row],[purchase amount]]-northwind_order_details[[#This Row],[discount amount]]</f>
        <v>360</v>
      </c>
      <c r="K880" s="6" t="str">
        <f>IF(northwind_order_details[[#This Row],[discount amount]]&gt;0,"Yes","No")</f>
        <v>No</v>
      </c>
      <c r="L880" s="1" t="str">
        <f>IF(northwind_order_details[[#This Row],[Revenue]]&gt;1000,"High",IF(northwind_order_details[[#This Row],[Revenue]]&gt;300,"Medium","Low"))</f>
        <v>Medium</v>
      </c>
      <c r="M8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1" spans="1:13" x14ac:dyDescent="0.25">
      <c r="A881">
        <v>10590</v>
      </c>
      <c r="B881">
        <v>77</v>
      </c>
      <c r="C881" s="6" t="s">
        <v>19</v>
      </c>
      <c r="D881">
        <v>60</v>
      </c>
      <c r="E881" s="6">
        <v>0.05</v>
      </c>
      <c r="F881" t="str">
        <f>_xlfn.XLOOKUP(northwind_order_details[[#This Row],[order_id]],northwind_orders[order_id],northwind_orders[ship_country])</f>
        <v>Canada</v>
      </c>
      <c r="G881">
        <f>INDEX(northwind_orders[],MATCH(northwind_order_details[[#This Row],[order_id]], northwind_orders[order_id], 0), MATCH("employee_id", northwind_orders[#Headers], 0))</f>
        <v>4</v>
      </c>
      <c r="H881">
        <f>northwind_order_details[[#This Row],[unit_price]]*northwind_order_details[[#This Row],[quantity]]</f>
        <v>780</v>
      </c>
      <c r="I881" s="1">
        <f>northwind_order_details[[#This Row],[purchase amount]]*northwind_order_details[[#This Row],[discount]]</f>
        <v>39</v>
      </c>
      <c r="J881" s="1">
        <f>northwind_order_details[[#This Row],[purchase amount]]-northwind_order_details[[#This Row],[discount amount]]</f>
        <v>741</v>
      </c>
      <c r="K881" s="6" t="str">
        <f>IF(northwind_order_details[[#This Row],[discount amount]]&gt;0,"Yes","No")</f>
        <v>Yes</v>
      </c>
      <c r="L881" s="1" t="str">
        <f>IF(northwind_order_details[[#This Row],[Revenue]]&gt;1000,"High",IF(northwind_order_details[[#This Row],[Revenue]]&gt;300,"Medium","Low"))</f>
        <v>Medium</v>
      </c>
      <c r="M8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2" spans="1:13" x14ac:dyDescent="0.25">
      <c r="A882">
        <v>10591</v>
      </c>
      <c r="B882">
        <v>3</v>
      </c>
      <c r="C882" s="6" t="s">
        <v>8</v>
      </c>
      <c r="D882">
        <v>14</v>
      </c>
      <c r="E882" s="6" t="s">
        <v>6</v>
      </c>
      <c r="F882" t="str">
        <f>_xlfn.XLOOKUP(northwind_order_details[[#This Row],[order_id]],northwind_orders[order_id],northwind_orders[ship_country])</f>
        <v>Denmark</v>
      </c>
      <c r="G882">
        <f>INDEX(northwind_orders[],MATCH(northwind_order_details[[#This Row],[order_id]], northwind_orders[order_id], 0), MATCH("employee_id", northwind_orders[#Headers], 0))</f>
        <v>1</v>
      </c>
      <c r="H882">
        <f>northwind_order_details[[#This Row],[unit_price]]*northwind_order_details[[#This Row],[quantity]]</f>
        <v>140</v>
      </c>
      <c r="I882" s="1">
        <f>northwind_order_details[[#This Row],[purchase amount]]*northwind_order_details[[#This Row],[discount]]</f>
        <v>0</v>
      </c>
      <c r="J882" s="1">
        <f>northwind_order_details[[#This Row],[purchase amount]]-northwind_order_details[[#This Row],[discount amount]]</f>
        <v>140</v>
      </c>
      <c r="K882" s="6" t="str">
        <f>IF(northwind_order_details[[#This Row],[discount amount]]&gt;0,"Yes","No")</f>
        <v>No</v>
      </c>
      <c r="L882" s="1" t="str">
        <f>IF(northwind_order_details[[#This Row],[Revenue]]&gt;1000,"High",IF(northwind_order_details[[#This Row],[Revenue]]&gt;300,"Medium","Low"))</f>
        <v>Low</v>
      </c>
      <c r="M8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3" spans="1:13" x14ac:dyDescent="0.25">
      <c r="A883">
        <v>10591</v>
      </c>
      <c r="B883">
        <v>7</v>
      </c>
      <c r="C883" s="6" t="s">
        <v>26</v>
      </c>
      <c r="D883">
        <v>10</v>
      </c>
      <c r="E883" s="6" t="s">
        <v>6</v>
      </c>
      <c r="F883" t="str">
        <f>_xlfn.XLOOKUP(northwind_order_details[[#This Row],[order_id]],northwind_orders[order_id],northwind_orders[ship_country])</f>
        <v>Denmark</v>
      </c>
      <c r="G883">
        <f>INDEX(northwind_orders[],MATCH(northwind_order_details[[#This Row],[order_id]], northwind_orders[order_id], 0), MATCH("employee_id", northwind_orders[#Headers], 0))</f>
        <v>1</v>
      </c>
      <c r="H883">
        <f>northwind_order_details[[#This Row],[unit_price]]*northwind_order_details[[#This Row],[quantity]]</f>
        <v>300</v>
      </c>
      <c r="I883" s="1">
        <f>northwind_order_details[[#This Row],[purchase amount]]*northwind_order_details[[#This Row],[discount]]</f>
        <v>0</v>
      </c>
      <c r="J883" s="1">
        <f>northwind_order_details[[#This Row],[purchase amount]]-northwind_order_details[[#This Row],[discount amount]]</f>
        <v>300</v>
      </c>
      <c r="K883" s="6" t="str">
        <f>IF(northwind_order_details[[#This Row],[discount amount]]&gt;0,"Yes","No")</f>
        <v>No</v>
      </c>
      <c r="L883" s="1" t="str">
        <f>IF(northwind_order_details[[#This Row],[Revenue]]&gt;1000,"High",IF(northwind_order_details[[#This Row],[Revenue]]&gt;300,"Medium","Low"))</f>
        <v>Low</v>
      </c>
      <c r="M8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4" spans="1:13" x14ac:dyDescent="0.25">
      <c r="A884">
        <v>10591</v>
      </c>
      <c r="B884">
        <v>54</v>
      </c>
      <c r="C884" s="6">
        <v>7.45</v>
      </c>
      <c r="D884">
        <v>50</v>
      </c>
      <c r="E884" s="6" t="s">
        <v>6</v>
      </c>
      <c r="F884" t="str">
        <f>_xlfn.XLOOKUP(northwind_order_details[[#This Row],[order_id]],northwind_orders[order_id],northwind_orders[ship_country])</f>
        <v>Denmark</v>
      </c>
      <c r="G884">
        <f>INDEX(northwind_orders[],MATCH(northwind_order_details[[#This Row],[order_id]], northwind_orders[order_id], 0), MATCH("employee_id", northwind_orders[#Headers], 0))</f>
        <v>1</v>
      </c>
      <c r="H884">
        <f>northwind_order_details[[#This Row],[unit_price]]*northwind_order_details[[#This Row],[quantity]]</f>
        <v>372.5</v>
      </c>
      <c r="I884" s="1">
        <f>northwind_order_details[[#This Row],[purchase amount]]*northwind_order_details[[#This Row],[discount]]</f>
        <v>0</v>
      </c>
      <c r="J884" s="1">
        <f>northwind_order_details[[#This Row],[purchase amount]]-northwind_order_details[[#This Row],[discount amount]]</f>
        <v>372.5</v>
      </c>
      <c r="K884" s="6" t="str">
        <f>IF(northwind_order_details[[#This Row],[discount amount]]&gt;0,"Yes","No")</f>
        <v>No</v>
      </c>
      <c r="L884" s="1" t="str">
        <f>IF(northwind_order_details[[#This Row],[Revenue]]&gt;1000,"High",IF(northwind_order_details[[#This Row],[Revenue]]&gt;300,"Medium","Low"))</f>
        <v>Medium</v>
      </c>
      <c r="M8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85" spans="1:13" x14ac:dyDescent="0.25">
      <c r="A885">
        <v>10592</v>
      </c>
      <c r="B885">
        <v>15</v>
      </c>
      <c r="C885" s="6">
        <v>15.5</v>
      </c>
      <c r="D885">
        <v>25</v>
      </c>
      <c r="E885" s="6">
        <v>0.05</v>
      </c>
      <c r="F885" t="str">
        <f>_xlfn.XLOOKUP(northwind_order_details[[#This Row],[order_id]],northwind_orders[order_id],northwind_orders[ship_country])</f>
        <v>Germany</v>
      </c>
      <c r="G885">
        <f>INDEX(northwind_orders[],MATCH(northwind_order_details[[#This Row],[order_id]], northwind_orders[order_id], 0), MATCH("employee_id", northwind_orders[#Headers], 0))</f>
        <v>3</v>
      </c>
      <c r="H885">
        <f>northwind_order_details[[#This Row],[unit_price]]*northwind_order_details[[#This Row],[quantity]]</f>
        <v>387.5</v>
      </c>
      <c r="I885" s="1">
        <f>northwind_order_details[[#This Row],[purchase amount]]*northwind_order_details[[#This Row],[discount]]</f>
        <v>19.375</v>
      </c>
      <c r="J885" s="1">
        <f>northwind_order_details[[#This Row],[purchase amount]]-northwind_order_details[[#This Row],[discount amount]]</f>
        <v>368.125</v>
      </c>
      <c r="K885" s="6" t="str">
        <f>IF(northwind_order_details[[#This Row],[discount amount]]&gt;0,"Yes","No")</f>
        <v>Yes</v>
      </c>
      <c r="L885" s="1" t="str">
        <f>IF(northwind_order_details[[#This Row],[Revenue]]&gt;1000,"High",IF(northwind_order_details[[#This Row],[Revenue]]&gt;300,"Medium","Low"))</f>
        <v>Medium</v>
      </c>
      <c r="M88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86" spans="1:13" x14ac:dyDescent="0.25">
      <c r="A886">
        <v>10592</v>
      </c>
      <c r="B886">
        <v>26</v>
      </c>
      <c r="C886" s="6">
        <v>31.23</v>
      </c>
      <c r="D886">
        <v>5</v>
      </c>
      <c r="E886" s="6">
        <v>0.05</v>
      </c>
      <c r="F886" t="str">
        <f>_xlfn.XLOOKUP(northwind_order_details[[#This Row],[order_id]],northwind_orders[order_id],northwind_orders[ship_country])</f>
        <v>Germany</v>
      </c>
      <c r="G886">
        <f>INDEX(northwind_orders[],MATCH(northwind_order_details[[#This Row],[order_id]], northwind_orders[order_id], 0), MATCH("employee_id", northwind_orders[#Headers], 0))</f>
        <v>3</v>
      </c>
      <c r="H886">
        <f>northwind_order_details[[#This Row],[unit_price]]*northwind_order_details[[#This Row],[quantity]]</f>
        <v>156.15</v>
      </c>
      <c r="I886" s="1">
        <f>northwind_order_details[[#This Row],[purchase amount]]*northwind_order_details[[#This Row],[discount]]</f>
        <v>7.807500000000001</v>
      </c>
      <c r="J886" s="1">
        <f>northwind_order_details[[#This Row],[purchase amount]]-northwind_order_details[[#This Row],[discount amount]]</f>
        <v>148.3425</v>
      </c>
      <c r="K886" s="6" t="str">
        <f>IF(northwind_order_details[[#This Row],[discount amount]]&gt;0,"Yes","No")</f>
        <v>Yes</v>
      </c>
      <c r="L886" s="1" t="str">
        <f>IF(northwind_order_details[[#This Row],[Revenue]]&gt;1000,"High",IF(northwind_order_details[[#This Row],[Revenue]]&gt;300,"Medium","Low"))</f>
        <v>Low</v>
      </c>
      <c r="M8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87" spans="1:13" x14ac:dyDescent="0.25">
      <c r="A887">
        <v>10593</v>
      </c>
      <c r="B887">
        <v>20</v>
      </c>
      <c r="C887" s="6" t="s">
        <v>29</v>
      </c>
      <c r="D887">
        <v>21</v>
      </c>
      <c r="E887" s="6">
        <v>0.2</v>
      </c>
      <c r="F887" t="str">
        <f>_xlfn.XLOOKUP(northwind_order_details[[#This Row],[order_id]],northwind_orders[order_id],northwind_orders[ship_country])</f>
        <v>Germany</v>
      </c>
      <c r="G887">
        <f>INDEX(northwind_orders[],MATCH(northwind_order_details[[#This Row],[order_id]], northwind_orders[order_id], 0), MATCH("employee_id", northwind_orders[#Headers], 0))</f>
        <v>7</v>
      </c>
      <c r="H887">
        <f>northwind_order_details[[#This Row],[unit_price]]*northwind_order_details[[#This Row],[quantity]]</f>
        <v>1701</v>
      </c>
      <c r="I887" s="1">
        <f>northwind_order_details[[#This Row],[purchase amount]]*northwind_order_details[[#This Row],[discount]]</f>
        <v>340.20000000000005</v>
      </c>
      <c r="J887" s="1">
        <f>northwind_order_details[[#This Row],[purchase amount]]-northwind_order_details[[#This Row],[discount amount]]</f>
        <v>1360.8</v>
      </c>
      <c r="K887" s="6" t="str">
        <f>IF(northwind_order_details[[#This Row],[discount amount]]&gt;0,"Yes","No")</f>
        <v>Yes</v>
      </c>
      <c r="L887" s="1" t="str">
        <f>IF(northwind_order_details[[#This Row],[Revenue]]&gt;1000,"High",IF(northwind_order_details[[#This Row],[Revenue]]&gt;300,"Medium","Low"))</f>
        <v>High</v>
      </c>
      <c r="M8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8" spans="1:13" x14ac:dyDescent="0.25">
      <c r="A888">
        <v>10593</v>
      </c>
      <c r="B888">
        <v>69</v>
      </c>
      <c r="C888" s="6" t="s">
        <v>38</v>
      </c>
      <c r="D888">
        <v>20</v>
      </c>
      <c r="E888" s="6">
        <v>0.2</v>
      </c>
      <c r="F888" t="str">
        <f>_xlfn.XLOOKUP(northwind_order_details[[#This Row],[order_id]],northwind_orders[order_id],northwind_orders[ship_country])</f>
        <v>Germany</v>
      </c>
      <c r="G888">
        <f>INDEX(northwind_orders[],MATCH(northwind_order_details[[#This Row],[order_id]], northwind_orders[order_id], 0), MATCH("employee_id", northwind_orders[#Headers], 0))</f>
        <v>7</v>
      </c>
      <c r="H888">
        <f>northwind_order_details[[#This Row],[unit_price]]*northwind_order_details[[#This Row],[quantity]]</f>
        <v>720</v>
      </c>
      <c r="I888" s="1">
        <f>northwind_order_details[[#This Row],[purchase amount]]*northwind_order_details[[#This Row],[discount]]</f>
        <v>144</v>
      </c>
      <c r="J888" s="1">
        <f>northwind_order_details[[#This Row],[purchase amount]]-northwind_order_details[[#This Row],[discount amount]]</f>
        <v>576</v>
      </c>
      <c r="K888" s="6" t="str">
        <f>IF(northwind_order_details[[#This Row],[discount amount]]&gt;0,"Yes","No")</f>
        <v>Yes</v>
      </c>
      <c r="L888" s="1" t="str">
        <f>IF(northwind_order_details[[#This Row],[Revenue]]&gt;1000,"High",IF(northwind_order_details[[#This Row],[Revenue]]&gt;300,"Medium","Low"))</f>
        <v>Medium</v>
      </c>
      <c r="M8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89" spans="1:13" x14ac:dyDescent="0.25">
      <c r="A889">
        <v>10593</v>
      </c>
      <c r="B889">
        <v>76</v>
      </c>
      <c r="C889" s="6" t="s">
        <v>24</v>
      </c>
      <c r="D889">
        <v>4</v>
      </c>
      <c r="E889" s="6">
        <v>0.2</v>
      </c>
      <c r="F889" t="str">
        <f>_xlfn.XLOOKUP(northwind_order_details[[#This Row],[order_id]],northwind_orders[order_id],northwind_orders[ship_country])</f>
        <v>Germany</v>
      </c>
      <c r="G889">
        <f>INDEX(northwind_orders[],MATCH(northwind_order_details[[#This Row],[order_id]], northwind_orders[order_id], 0), MATCH("employee_id", northwind_orders[#Headers], 0))</f>
        <v>7</v>
      </c>
      <c r="H889">
        <f>northwind_order_details[[#This Row],[unit_price]]*northwind_order_details[[#This Row],[quantity]]</f>
        <v>72</v>
      </c>
      <c r="I889" s="1">
        <f>northwind_order_details[[#This Row],[purchase amount]]*northwind_order_details[[#This Row],[discount]]</f>
        <v>14.4</v>
      </c>
      <c r="J889" s="1">
        <f>northwind_order_details[[#This Row],[purchase amount]]-northwind_order_details[[#This Row],[discount amount]]</f>
        <v>57.6</v>
      </c>
      <c r="K889" s="6" t="str">
        <f>IF(northwind_order_details[[#This Row],[discount amount]]&gt;0,"Yes","No")</f>
        <v>Yes</v>
      </c>
      <c r="L889" s="1" t="str">
        <f>IF(northwind_order_details[[#This Row],[Revenue]]&gt;1000,"High",IF(northwind_order_details[[#This Row],[Revenue]]&gt;300,"Medium","Low"))</f>
        <v>Low</v>
      </c>
      <c r="M8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90" spans="1:13" x14ac:dyDescent="0.25">
      <c r="A890">
        <v>10594</v>
      </c>
      <c r="B890">
        <v>52</v>
      </c>
      <c r="C890" s="6" t="s">
        <v>32</v>
      </c>
      <c r="D890">
        <v>24</v>
      </c>
      <c r="E890" s="6" t="s">
        <v>6</v>
      </c>
      <c r="F890" t="str">
        <f>_xlfn.XLOOKUP(northwind_order_details[[#This Row],[order_id]],northwind_orders[order_id],northwind_orders[ship_country])</f>
        <v>USA</v>
      </c>
      <c r="G890">
        <f>INDEX(northwind_orders[],MATCH(northwind_order_details[[#This Row],[order_id]], northwind_orders[order_id], 0), MATCH("employee_id", northwind_orders[#Headers], 0))</f>
        <v>3</v>
      </c>
      <c r="H890">
        <f>northwind_order_details[[#This Row],[unit_price]]*northwind_order_details[[#This Row],[quantity]]</f>
        <v>168</v>
      </c>
      <c r="I890" s="1">
        <f>northwind_order_details[[#This Row],[purchase amount]]*northwind_order_details[[#This Row],[discount]]</f>
        <v>0</v>
      </c>
      <c r="J890" s="1">
        <f>northwind_order_details[[#This Row],[purchase amount]]-northwind_order_details[[#This Row],[discount amount]]</f>
        <v>168</v>
      </c>
      <c r="K890" s="6" t="str">
        <f>IF(northwind_order_details[[#This Row],[discount amount]]&gt;0,"Yes","No")</f>
        <v>No</v>
      </c>
      <c r="L890" s="1" t="str">
        <f>IF(northwind_order_details[[#This Row],[Revenue]]&gt;1000,"High",IF(northwind_order_details[[#This Row],[Revenue]]&gt;300,"Medium","Low"))</f>
        <v>Low</v>
      </c>
      <c r="M8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91" spans="1:13" x14ac:dyDescent="0.25">
      <c r="A891">
        <v>10594</v>
      </c>
      <c r="B891">
        <v>58</v>
      </c>
      <c r="C891" s="6">
        <v>13.25</v>
      </c>
      <c r="D891">
        <v>30</v>
      </c>
      <c r="E891" s="6" t="s">
        <v>6</v>
      </c>
      <c r="F891" t="str">
        <f>_xlfn.XLOOKUP(northwind_order_details[[#This Row],[order_id]],northwind_orders[order_id],northwind_orders[ship_country])</f>
        <v>USA</v>
      </c>
      <c r="G891">
        <f>INDEX(northwind_orders[],MATCH(northwind_order_details[[#This Row],[order_id]], northwind_orders[order_id], 0), MATCH("employee_id", northwind_orders[#Headers], 0))</f>
        <v>3</v>
      </c>
      <c r="H891">
        <f>northwind_order_details[[#This Row],[unit_price]]*northwind_order_details[[#This Row],[quantity]]</f>
        <v>397.5</v>
      </c>
      <c r="I891" s="1">
        <f>northwind_order_details[[#This Row],[purchase amount]]*northwind_order_details[[#This Row],[discount]]</f>
        <v>0</v>
      </c>
      <c r="J891" s="1">
        <f>northwind_order_details[[#This Row],[purchase amount]]-northwind_order_details[[#This Row],[discount amount]]</f>
        <v>397.5</v>
      </c>
      <c r="K891" s="6" t="str">
        <f>IF(northwind_order_details[[#This Row],[discount amount]]&gt;0,"Yes","No")</f>
        <v>No</v>
      </c>
      <c r="L891" s="1" t="str">
        <f>IF(northwind_order_details[[#This Row],[Revenue]]&gt;1000,"High",IF(northwind_order_details[[#This Row],[Revenue]]&gt;300,"Medium","Low"))</f>
        <v>Medium</v>
      </c>
      <c r="M8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92" spans="1:13" x14ac:dyDescent="0.25">
      <c r="A892">
        <v>10595</v>
      </c>
      <c r="B892">
        <v>35</v>
      </c>
      <c r="C892" s="6" t="s">
        <v>24</v>
      </c>
      <c r="D892">
        <v>30</v>
      </c>
      <c r="E892" s="6">
        <v>0.25</v>
      </c>
      <c r="F892" t="str">
        <f>_xlfn.XLOOKUP(northwind_order_details[[#This Row],[order_id]],northwind_orders[order_id],northwind_orders[ship_country])</f>
        <v>Austria</v>
      </c>
      <c r="G892">
        <f>INDEX(northwind_orders[],MATCH(northwind_order_details[[#This Row],[order_id]], northwind_orders[order_id], 0), MATCH("employee_id", northwind_orders[#Headers], 0))</f>
        <v>2</v>
      </c>
      <c r="H892">
        <f>northwind_order_details[[#This Row],[unit_price]]*northwind_order_details[[#This Row],[quantity]]</f>
        <v>540</v>
      </c>
      <c r="I892" s="1">
        <f>northwind_order_details[[#This Row],[purchase amount]]*northwind_order_details[[#This Row],[discount]]</f>
        <v>135</v>
      </c>
      <c r="J892" s="1">
        <f>northwind_order_details[[#This Row],[purchase amount]]-northwind_order_details[[#This Row],[discount amount]]</f>
        <v>405</v>
      </c>
      <c r="K892" s="6" t="str">
        <f>IF(northwind_order_details[[#This Row],[discount amount]]&gt;0,"Yes","No")</f>
        <v>Yes</v>
      </c>
      <c r="L892" s="1" t="str">
        <f>IF(northwind_order_details[[#This Row],[Revenue]]&gt;1000,"High",IF(northwind_order_details[[#This Row],[Revenue]]&gt;300,"Medium","Low"))</f>
        <v>Medium</v>
      </c>
      <c r="M8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93" spans="1:13" x14ac:dyDescent="0.25">
      <c r="A893">
        <v>10595</v>
      </c>
      <c r="B893">
        <v>61</v>
      </c>
      <c r="C893" s="6">
        <v>28.5</v>
      </c>
      <c r="D893">
        <v>120</v>
      </c>
      <c r="E893" s="6">
        <v>0.25</v>
      </c>
      <c r="F893" t="str">
        <f>_xlfn.XLOOKUP(northwind_order_details[[#This Row],[order_id]],northwind_orders[order_id],northwind_orders[ship_country])</f>
        <v>Austria</v>
      </c>
      <c r="G893">
        <f>INDEX(northwind_orders[],MATCH(northwind_order_details[[#This Row],[order_id]], northwind_orders[order_id], 0), MATCH("employee_id", northwind_orders[#Headers], 0))</f>
        <v>2</v>
      </c>
      <c r="H893">
        <f>northwind_order_details[[#This Row],[unit_price]]*northwind_order_details[[#This Row],[quantity]]</f>
        <v>3420</v>
      </c>
      <c r="I893" s="1">
        <f>northwind_order_details[[#This Row],[purchase amount]]*northwind_order_details[[#This Row],[discount]]</f>
        <v>855</v>
      </c>
      <c r="J893" s="1">
        <f>northwind_order_details[[#This Row],[purchase amount]]-northwind_order_details[[#This Row],[discount amount]]</f>
        <v>2565</v>
      </c>
      <c r="K893" s="6" t="str">
        <f>IF(northwind_order_details[[#This Row],[discount amount]]&gt;0,"Yes","No")</f>
        <v>Yes</v>
      </c>
      <c r="L893" s="1" t="str">
        <f>IF(northwind_order_details[[#This Row],[Revenue]]&gt;1000,"High",IF(northwind_order_details[[#This Row],[Revenue]]&gt;300,"Medium","Low"))</f>
        <v>High</v>
      </c>
      <c r="M8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94" spans="1:13" x14ac:dyDescent="0.25">
      <c r="A894">
        <v>10595</v>
      </c>
      <c r="B894">
        <v>69</v>
      </c>
      <c r="C894" s="6" t="s">
        <v>38</v>
      </c>
      <c r="D894">
        <v>65</v>
      </c>
      <c r="E894" s="6">
        <v>0.25</v>
      </c>
      <c r="F894" t="str">
        <f>_xlfn.XLOOKUP(northwind_order_details[[#This Row],[order_id]],northwind_orders[order_id],northwind_orders[ship_country])</f>
        <v>Austria</v>
      </c>
      <c r="G894">
        <f>INDEX(northwind_orders[],MATCH(northwind_order_details[[#This Row],[order_id]], northwind_orders[order_id], 0), MATCH("employee_id", northwind_orders[#Headers], 0))</f>
        <v>2</v>
      </c>
      <c r="H894">
        <f>northwind_order_details[[#This Row],[unit_price]]*northwind_order_details[[#This Row],[quantity]]</f>
        <v>2340</v>
      </c>
      <c r="I894" s="1">
        <f>northwind_order_details[[#This Row],[purchase amount]]*northwind_order_details[[#This Row],[discount]]</f>
        <v>585</v>
      </c>
      <c r="J894" s="1">
        <f>northwind_order_details[[#This Row],[purchase amount]]-northwind_order_details[[#This Row],[discount amount]]</f>
        <v>1755</v>
      </c>
      <c r="K894" s="6" t="str">
        <f>IF(northwind_order_details[[#This Row],[discount amount]]&gt;0,"Yes","No")</f>
        <v>Yes</v>
      </c>
      <c r="L894" s="1" t="str">
        <f>IF(northwind_order_details[[#This Row],[Revenue]]&gt;1000,"High",IF(northwind_order_details[[#This Row],[Revenue]]&gt;300,"Medium","Low"))</f>
        <v>High</v>
      </c>
      <c r="M8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95" spans="1:13" x14ac:dyDescent="0.25">
      <c r="A895">
        <v>10596</v>
      </c>
      <c r="B895">
        <v>56</v>
      </c>
      <c r="C895" s="6" t="s">
        <v>30</v>
      </c>
      <c r="D895">
        <v>5</v>
      </c>
      <c r="E895" s="6">
        <v>0.2</v>
      </c>
      <c r="F895" t="str">
        <f>_xlfn.XLOOKUP(northwind_order_details[[#This Row],[order_id]],northwind_orders[order_id],northwind_orders[ship_country])</f>
        <v>USA</v>
      </c>
      <c r="G895">
        <f>INDEX(northwind_orders[],MATCH(northwind_order_details[[#This Row],[order_id]], northwind_orders[order_id], 0), MATCH("employee_id", northwind_orders[#Headers], 0))</f>
        <v>8</v>
      </c>
      <c r="H895">
        <f>northwind_order_details[[#This Row],[unit_price]]*northwind_order_details[[#This Row],[quantity]]</f>
        <v>190</v>
      </c>
      <c r="I895" s="1">
        <f>northwind_order_details[[#This Row],[purchase amount]]*northwind_order_details[[#This Row],[discount]]</f>
        <v>38</v>
      </c>
      <c r="J895" s="1">
        <f>northwind_order_details[[#This Row],[purchase amount]]-northwind_order_details[[#This Row],[discount amount]]</f>
        <v>152</v>
      </c>
      <c r="K895" s="6" t="str">
        <f>IF(northwind_order_details[[#This Row],[discount amount]]&gt;0,"Yes","No")</f>
        <v>Yes</v>
      </c>
      <c r="L895" s="1" t="str">
        <f>IF(northwind_order_details[[#This Row],[Revenue]]&gt;1000,"High",IF(northwind_order_details[[#This Row],[Revenue]]&gt;300,"Medium","Low"))</f>
        <v>Low</v>
      </c>
      <c r="M8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896" spans="1:13" x14ac:dyDescent="0.25">
      <c r="A896">
        <v>10596</v>
      </c>
      <c r="B896">
        <v>63</v>
      </c>
      <c r="C896" s="6">
        <v>43.9</v>
      </c>
      <c r="D896">
        <v>24</v>
      </c>
      <c r="E896" s="6">
        <v>0.2</v>
      </c>
      <c r="F896" t="str">
        <f>_xlfn.XLOOKUP(northwind_order_details[[#This Row],[order_id]],northwind_orders[order_id],northwind_orders[ship_country])</f>
        <v>USA</v>
      </c>
      <c r="G896">
        <f>INDEX(northwind_orders[],MATCH(northwind_order_details[[#This Row],[order_id]], northwind_orders[order_id], 0), MATCH("employee_id", northwind_orders[#Headers], 0))</f>
        <v>8</v>
      </c>
      <c r="H896">
        <f>northwind_order_details[[#This Row],[unit_price]]*northwind_order_details[[#This Row],[quantity]]</f>
        <v>1053.5999999999999</v>
      </c>
      <c r="I896" s="1">
        <f>northwind_order_details[[#This Row],[purchase amount]]*northwind_order_details[[#This Row],[discount]]</f>
        <v>210.72</v>
      </c>
      <c r="J896" s="1">
        <f>northwind_order_details[[#This Row],[purchase amount]]-northwind_order_details[[#This Row],[discount amount]]</f>
        <v>842.87999999999988</v>
      </c>
      <c r="K896" s="6" t="str">
        <f>IF(northwind_order_details[[#This Row],[discount amount]]&gt;0,"Yes","No")</f>
        <v>Yes</v>
      </c>
      <c r="L896" s="1" t="str">
        <f>IF(northwind_order_details[[#This Row],[Revenue]]&gt;1000,"High",IF(northwind_order_details[[#This Row],[Revenue]]&gt;300,"Medium","Low"))</f>
        <v>Medium</v>
      </c>
      <c r="M89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97" spans="1:13" x14ac:dyDescent="0.25">
      <c r="A897">
        <v>10596</v>
      </c>
      <c r="B897">
        <v>75</v>
      </c>
      <c r="C897" s="6">
        <v>7.75</v>
      </c>
      <c r="D897">
        <v>30</v>
      </c>
      <c r="E897" s="6">
        <v>0.2</v>
      </c>
      <c r="F897" t="str">
        <f>_xlfn.XLOOKUP(northwind_order_details[[#This Row],[order_id]],northwind_orders[order_id],northwind_orders[ship_country])</f>
        <v>USA</v>
      </c>
      <c r="G897">
        <f>INDEX(northwind_orders[],MATCH(northwind_order_details[[#This Row],[order_id]], northwind_orders[order_id], 0), MATCH("employee_id", northwind_orders[#Headers], 0))</f>
        <v>8</v>
      </c>
      <c r="H897">
        <f>northwind_order_details[[#This Row],[unit_price]]*northwind_order_details[[#This Row],[quantity]]</f>
        <v>232.5</v>
      </c>
      <c r="I897" s="1">
        <f>northwind_order_details[[#This Row],[purchase amount]]*northwind_order_details[[#This Row],[discount]]</f>
        <v>46.5</v>
      </c>
      <c r="J897" s="1">
        <f>northwind_order_details[[#This Row],[purchase amount]]-northwind_order_details[[#This Row],[discount amount]]</f>
        <v>186</v>
      </c>
      <c r="K897" s="6" t="str">
        <f>IF(northwind_order_details[[#This Row],[discount amount]]&gt;0,"Yes","No")</f>
        <v>Yes</v>
      </c>
      <c r="L897" s="1" t="str">
        <f>IF(northwind_order_details[[#This Row],[Revenue]]&gt;1000,"High",IF(northwind_order_details[[#This Row],[Revenue]]&gt;300,"Medium","Low"))</f>
        <v>Low</v>
      </c>
      <c r="M8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98" spans="1:13" x14ac:dyDescent="0.25">
      <c r="A898">
        <v>10597</v>
      </c>
      <c r="B898">
        <v>24</v>
      </c>
      <c r="C898" s="6">
        <v>4.5</v>
      </c>
      <c r="D898">
        <v>35</v>
      </c>
      <c r="E898" s="6">
        <v>0.2</v>
      </c>
      <c r="F898" t="str">
        <f>_xlfn.XLOOKUP(northwind_order_details[[#This Row],[order_id]],northwind_orders[order_id],northwind_orders[ship_country])</f>
        <v>Austria</v>
      </c>
      <c r="G898">
        <f>INDEX(northwind_orders[],MATCH(northwind_order_details[[#This Row],[order_id]], northwind_orders[order_id], 0), MATCH("employee_id", northwind_orders[#Headers], 0))</f>
        <v>7</v>
      </c>
      <c r="H898">
        <f>northwind_order_details[[#This Row],[unit_price]]*northwind_order_details[[#This Row],[quantity]]</f>
        <v>157.5</v>
      </c>
      <c r="I898" s="1">
        <f>northwind_order_details[[#This Row],[purchase amount]]*northwind_order_details[[#This Row],[discount]]</f>
        <v>31.5</v>
      </c>
      <c r="J898" s="1">
        <f>northwind_order_details[[#This Row],[purchase amount]]-northwind_order_details[[#This Row],[discount amount]]</f>
        <v>126</v>
      </c>
      <c r="K898" s="6" t="str">
        <f>IF(northwind_order_details[[#This Row],[discount amount]]&gt;0,"Yes","No")</f>
        <v>Yes</v>
      </c>
      <c r="L898" s="1" t="str">
        <f>IF(northwind_order_details[[#This Row],[Revenue]]&gt;1000,"High",IF(northwind_order_details[[#This Row],[Revenue]]&gt;300,"Medium","Low"))</f>
        <v>Low</v>
      </c>
      <c r="M8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899" spans="1:13" x14ac:dyDescent="0.25">
      <c r="A899">
        <v>10597</v>
      </c>
      <c r="B899">
        <v>57</v>
      </c>
      <c r="C899" s="6">
        <v>19.5</v>
      </c>
      <c r="D899">
        <v>20</v>
      </c>
      <c r="E899" s="6" t="s">
        <v>6</v>
      </c>
      <c r="F899" t="str">
        <f>_xlfn.XLOOKUP(northwind_order_details[[#This Row],[order_id]],northwind_orders[order_id],northwind_orders[ship_country])</f>
        <v>Austria</v>
      </c>
      <c r="G899">
        <f>INDEX(northwind_orders[],MATCH(northwind_order_details[[#This Row],[order_id]], northwind_orders[order_id], 0), MATCH("employee_id", northwind_orders[#Headers], 0))</f>
        <v>7</v>
      </c>
      <c r="H899">
        <f>northwind_order_details[[#This Row],[unit_price]]*northwind_order_details[[#This Row],[quantity]]</f>
        <v>390</v>
      </c>
      <c r="I899" s="1">
        <f>northwind_order_details[[#This Row],[purchase amount]]*northwind_order_details[[#This Row],[discount]]</f>
        <v>0</v>
      </c>
      <c r="J899" s="1">
        <f>northwind_order_details[[#This Row],[purchase amount]]-northwind_order_details[[#This Row],[discount amount]]</f>
        <v>390</v>
      </c>
      <c r="K899" s="6" t="str">
        <f>IF(northwind_order_details[[#This Row],[discount amount]]&gt;0,"Yes","No")</f>
        <v>No</v>
      </c>
      <c r="L899" s="1" t="str">
        <f>IF(northwind_order_details[[#This Row],[Revenue]]&gt;1000,"High",IF(northwind_order_details[[#This Row],[Revenue]]&gt;300,"Medium","Low"))</f>
        <v>Medium</v>
      </c>
      <c r="M89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00" spans="1:13" x14ac:dyDescent="0.25">
      <c r="A900">
        <v>10597</v>
      </c>
      <c r="B900">
        <v>65</v>
      </c>
      <c r="C900" s="6">
        <v>21.05</v>
      </c>
      <c r="D900">
        <v>12</v>
      </c>
      <c r="E900" s="6">
        <v>0.2</v>
      </c>
      <c r="F900" t="str">
        <f>_xlfn.XLOOKUP(northwind_order_details[[#This Row],[order_id]],northwind_orders[order_id],northwind_orders[ship_country])</f>
        <v>Austria</v>
      </c>
      <c r="G900">
        <f>INDEX(northwind_orders[],MATCH(northwind_order_details[[#This Row],[order_id]], northwind_orders[order_id], 0), MATCH("employee_id", northwind_orders[#Headers], 0))</f>
        <v>7</v>
      </c>
      <c r="H900">
        <f>northwind_order_details[[#This Row],[unit_price]]*northwind_order_details[[#This Row],[quantity]]</f>
        <v>252.60000000000002</v>
      </c>
      <c r="I900" s="1">
        <f>northwind_order_details[[#This Row],[purchase amount]]*northwind_order_details[[#This Row],[discount]]</f>
        <v>50.52000000000001</v>
      </c>
      <c r="J900" s="1">
        <f>northwind_order_details[[#This Row],[purchase amount]]-northwind_order_details[[#This Row],[discount amount]]</f>
        <v>202.08</v>
      </c>
      <c r="K900" s="6" t="str">
        <f>IF(northwind_order_details[[#This Row],[discount amount]]&gt;0,"Yes","No")</f>
        <v>Yes</v>
      </c>
      <c r="L900" s="1" t="str">
        <f>IF(northwind_order_details[[#This Row],[Revenue]]&gt;1000,"High",IF(northwind_order_details[[#This Row],[Revenue]]&gt;300,"Medium","Low"))</f>
        <v>Low</v>
      </c>
      <c r="M90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01" spans="1:13" x14ac:dyDescent="0.25">
      <c r="A901">
        <v>10598</v>
      </c>
      <c r="B901">
        <v>27</v>
      </c>
      <c r="C901" s="6">
        <v>43.9</v>
      </c>
      <c r="D901">
        <v>50</v>
      </c>
      <c r="E901" s="6" t="s">
        <v>6</v>
      </c>
      <c r="F901" t="str">
        <f>_xlfn.XLOOKUP(northwind_order_details[[#This Row],[order_id]],northwind_orders[order_id],northwind_orders[ship_country])</f>
        <v>USA</v>
      </c>
      <c r="G901">
        <f>INDEX(northwind_orders[],MATCH(northwind_order_details[[#This Row],[order_id]], northwind_orders[order_id], 0), MATCH("employee_id", northwind_orders[#Headers], 0))</f>
        <v>1</v>
      </c>
      <c r="H901">
        <f>northwind_order_details[[#This Row],[unit_price]]*northwind_order_details[[#This Row],[quantity]]</f>
        <v>2195</v>
      </c>
      <c r="I901" s="1">
        <f>northwind_order_details[[#This Row],[purchase amount]]*northwind_order_details[[#This Row],[discount]]</f>
        <v>0</v>
      </c>
      <c r="J901" s="1">
        <f>northwind_order_details[[#This Row],[purchase amount]]-northwind_order_details[[#This Row],[discount amount]]</f>
        <v>2195</v>
      </c>
      <c r="K901" s="6" t="str">
        <f>IF(northwind_order_details[[#This Row],[discount amount]]&gt;0,"Yes","No")</f>
        <v>No</v>
      </c>
      <c r="L901" s="1" t="str">
        <f>IF(northwind_order_details[[#This Row],[Revenue]]&gt;1000,"High",IF(northwind_order_details[[#This Row],[Revenue]]&gt;300,"Medium","Low"))</f>
        <v>High</v>
      </c>
      <c r="M90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02" spans="1:13" x14ac:dyDescent="0.25">
      <c r="A902">
        <v>10598</v>
      </c>
      <c r="B902">
        <v>71</v>
      </c>
      <c r="C902" s="6">
        <v>21.5</v>
      </c>
      <c r="D902">
        <v>9</v>
      </c>
      <c r="E902" s="6" t="s">
        <v>6</v>
      </c>
      <c r="F902" t="str">
        <f>_xlfn.XLOOKUP(northwind_order_details[[#This Row],[order_id]],northwind_orders[order_id],northwind_orders[ship_country])</f>
        <v>USA</v>
      </c>
      <c r="G902">
        <f>INDEX(northwind_orders[],MATCH(northwind_order_details[[#This Row],[order_id]], northwind_orders[order_id], 0), MATCH("employee_id", northwind_orders[#Headers], 0))</f>
        <v>1</v>
      </c>
      <c r="H902">
        <f>northwind_order_details[[#This Row],[unit_price]]*northwind_order_details[[#This Row],[quantity]]</f>
        <v>193.5</v>
      </c>
      <c r="I902" s="1">
        <f>northwind_order_details[[#This Row],[purchase amount]]*northwind_order_details[[#This Row],[discount]]</f>
        <v>0</v>
      </c>
      <c r="J902" s="1">
        <f>northwind_order_details[[#This Row],[purchase amount]]-northwind_order_details[[#This Row],[discount amount]]</f>
        <v>193.5</v>
      </c>
      <c r="K902" s="6" t="str">
        <f>IF(northwind_order_details[[#This Row],[discount amount]]&gt;0,"Yes","No")</f>
        <v>No</v>
      </c>
      <c r="L902" s="1" t="str">
        <f>IF(northwind_order_details[[#This Row],[Revenue]]&gt;1000,"High",IF(northwind_order_details[[#This Row],[Revenue]]&gt;300,"Medium","Low"))</f>
        <v>Low</v>
      </c>
      <c r="M9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03" spans="1:13" x14ac:dyDescent="0.25">
      <c r="A903">
        <v>10599</v>
      </c>
      <c r="B903">
        <v>62</v>
      </c>
      <c r="C903" s="6">
        <v>49.3</v>
      </c>
      <c r="D903">
        <v>10</v>
      </c>
      <c r="E903" s="6" t="s">
        <v>6</v>
      </c>
      <c r="F903" t="str">
        <f>_xlfn.XLOOKUP(northwind_order_details[[#This Row],[order_id]],northwind_orders[order_id],northwind_orders[ship_country])</f>
        <v>UK</v>
      </c>
      <c r="G903">
        <f>INDEX(northwind_orders[],MATCH(northwind_order_details[[#This Row],[order_id]], northwind_orders[order_id], 0), MATCH("employee_id", northwind_orders[#Headers], 0))</f>
        <v>6</v>
      </c>
      <c r="H903">
        <f>northwind_order_details[[#This Row],[unit_price]]*northwind_order_details[[#This Row],[quantity]]</f>
        <v>493</v>
      </c>
      <c r="I903" s="1">
        <f>northwind_order_details[[#This Row],[purchase amount]]*northwind_order_details[[#This Row],[discount]]</f>
        <v>0</v>
      </c>
      <c r="J903" s="1">
        <f>northwind_order_details[[#This Row],[purchase amount]]-northwind_order_details[[#This Row],[discount amount]]</f>
        <v>493</v>
      </c>
      <c r="K903" s="6" t="str">
        <f>IF(northwind_order_details[[#This Row],[discount amount]]&gt;0,"Yes","No")</f>
        <v>No</v>
      </c>
      <c r="L903" s="1" t="str">
        <f>IF(northwind_order_details[[#This Row],[Revenue]]&gt;1000,"High",IF(northwind_order_details[[#This Row],[Revenue]]&gt;300,"Medium","Low"))</f>
        <v>Medium</v>
      </c>
      <c r="M90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04" spans="1:13" x14ac:dyDescent="0.25">
      <c r="A904">
        <v>10600</v>
      </c>
      <c r="B904">
        <v>54</v>
      </c>
      <c r="C904" s="6">
        <v>7.45</v>
      </c>
      <c r="D904">
        <v>4</v>
      </c>
      <c r="E904" s="6" t="s">
        <v>6</v>
      </c>
      <c r="F904" t="str">
        <f>_xlfn.XLOOKUP(northwind_order_details[[#This Row],[order_id]],northwind_orders[order_id],northwind_orders[ship_country])</f>
        <v>USA</v>
      </c>
      <c r="G904">
        <f>INDEX(northwind_orders[],MATCH(northwind_order_details[[#This Row],[order_id]], northwind_orders[order_id], 0), MATCH("employee_id", northwind_orders[#Headers], 0))</f>
        <v>4</v>
      </c>
      <c r="H904">
        <f>northwind_order_details[[#This Row],[unit_price]]*northwind_order_details[[#This Row],[quantity]]</f>
        <v>29.8</v>
      </c>
      <c r="I904" s="1">
        <f>northwind_order_details[[#This Row],[purchase amount]]*northwind_order_details[[#This Row],[discount]]</f>
        <v>0</v>
      </c>
      <c r="J904" s="1">
        <f>northwind_order_details[[#This Row],[purchase amount]]-northwind_order_details[[#This Row],[discount amount]]</f>
        <v>29.8</v>
      </c>
      <c r="K904" s="6" t="str">
        <f>IF(northwind_order_details[[#This Row],[discount amount]]&gt;0,"Yes","No")</f>
        <v>No</v>
      </c>
      <c r="L904" s="1" t="str">
        <f>IF(northwind_order_details[[#This Row],[Revenue]]&gt;1000,"High",IF(northwind_order_details[[#This Row],[Revenue]]&gt;300,"Medium","Low"))</f>
        <v>Low</v>
      </c>
      <c r="M9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05" spans="1:13" x14ac:dyDescent="0.25">
      <c r="A905">
        <v>10600</v>
      </c>
      <c r="B905">
        <v>73</v>
      </c>
      <c r="C905" s="6" t="s">
        <v>21</v>
      </c>
      <c r="D905">
        <v>30</v>
      </c>
      <c r="E905" s="6" t="s">
        <v>6</v>
      </c>
      <c r="F905" t="str">
        <f>_xlfn.XLOOKUP(northwind_order_details[[#This Row],[order_id]],northwind_orders[order_id],northwind_orders[ship_country])</f>
        <v>USA</v>
      </c>
      <c r="G905">
        <f>INDEX(northwind_orders[],MATCH(northwind_order_details[[#This Row],[order_id]], northwind_orders[order_id], 0), MATCH("employee_id", northwind_orders[#Headers], 0))</f>
        <v>4</v>
      </c>
      <c r="H905">
        <f>northwind_order_details[[#This Row],[unit_price]]*northwind_order_details[[#This Row],[quantity]]</f>
        <v>450</v>
      </c>
      <c r="I905" s="1">
        <f>northwind_order_details[[#This Row],[purchase amount]]*northwind_order_details[[#This Row],[discount]]</f>
        <v>0</v>
      </c>
      <c r="J905" s="1">
        <f>northwind_order_details[[#This Row],[purchase amount]]-northwind_order_details[[#This Row],[discount amount]]</f>
        <v>450</v>
      </c>
      <c r="K905" s="6" t="str">
        <f>IF(northwind_order_details[[#This Row],[discount amount]]&gt;0,"Yes","No")</f>
        <v>No</v>
      </c>
      <c r="L905" s="1" t="str">
        <f>IF(northwind_order_details[[#This Row],[Revenue]]&gt;1000,"High",IF(northwind_order_details[[#This Row],[Revenue]]&gt;300,"Medium","Low"))</f>
        <v>Medium</v>
      </c>
      <c r="M9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06" spans="1:13" x14ac:dyDescent="0.25">
      <c r="A906">
        <v>10601</v>
      </c>
      <c r="B906">
        <v>13</v>
      </c>
      <c r="C906" s="6" t="s">
        <v>23</v>
      </c>
      <c r="D906">
        <v>60</v>
      </c>
      <c r="E906" s="6" t="s">
        <v>6</v>
      </c>
      <c r="F906" t="str">
        <f>_xlfn.XLOOKUP(northwind_order_details[[#This Row],[order_id]],northwind_orders[order_id],northwind_orders[ship_country])</f>
        <v>Venezuela</v>
      </c>
      <c r="G906">
        <f>INDEX(northwind_orders[],MATCH(northwind_order_details[[#This Row],[order_id]], northwind_orders[order_id], 0), MATCH("employee_id", northwind_orders[#Headers], 0))</f>
        <v>7</v>
      </c>
      <c r="H906">
        <f>northwind_order_details[[#This Row],[unit_price]]*northwind_order_details[[#This Row],[quantity]]</f>
        <v>360</v>
      </c>
      <c r="I906" s="1">
        <f>northwind_order_details[[#This Row],[purchase amount]]*northwind_order_details[[#This Row],[discount]]</f>
        <v>0</v>
      </c>
      <c r="J906" s="1">
        <f>northwind_order_details[[#This Row],[purchase amount]]-northwind_order_details[[#This Row],[discount amount]]</f>
        <v>360</v>
      </c>
      <c r="K906" s="6" t="str">
        <f>IF(northwind_order_details[[#This Row],[discount amount]]&gt;0,"Yes","No")</f>
        <v>No</v>
      </c>
      <c r="L906" s="1" t="str">
        <f>IF(northwind_order_details[[#This Row],[Revenue]]&gt;1000,"High",IF(northwind_order_details[[#This Row],[Revenue]]&gt;300,"Medium","Low"))</f>
        <v>Medium</v>
      </c>
      <c r="M9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07" spans="1:13" x14ac:dyDescent="0.25">
      <c r="A907">
        <v>10601</v>
      </c>
      <c r="B907">
        <v>59</v>
      </c>
      <c r="C907" s="6" t="s">
        <v>33</v>
      </c>
      <c r="D907">
        <v>35</v>
      </c>
      <c r="E907" s="6" t="s">
        <v>6</v>
      </c>
      <c r="F907" t="str">
        <f>_xlfn.XLOOKUP(northwind_order_details[[#This Row],[order_id]],northwind_orders[order_id],northwind_orders[ship_country])</f>
        <v>Venezuela</v>
      </c>
      <c r="G907">
        <f>INDEX(northwind_orders[],MATCH(northwind_order_details[[#This Row],[order_id]], northwind_orders[order_id], 0), MATCH("employee_id", northwind_orders[#Headers], 0))</f>
        <v>7</v>
      </c>
      <c r="H907">
        <f>northwind_order_details[[#This Row],[unit_price]]*northwind_order_details[[#This Row],[quantity]]</f>
        <v>1925</v>
      </c>
      <c r="I907" s="1">
        <f>northwind_order_details[[#This Row],[purchase amount]]*northwind_order_details[[#This Row],[discount]]</f>
        <v>0</v>
      </c>
      <c r="J907" s="1">
        <f>northwind_order_details[[#This Row],[purchase amount]]-northwind_order_details[[#This Row],[discount amount]]</f>
        <v>1925</v>
      </c>
      <c r="K907" s="6" t="str">
        <f>IF(northwind_order_details[[#This Row],[discount amount]]&gt;0,"Yes","No")</f>
        <v>No</v>
      </c>
      <c r="L907" s="1" t="str">
        <f>IF(northwind_order_details[[#This Row],[Revenue]]&gt;1000,"High",IF(northwind_order_details[[#This Row],[Revenue]]&gt;300,"Medium","Low"))</f>
        <v>High</v>
      </c>
      <c r="M9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08" spans="1:13" x14ac:dyDescent="0.25">
      <c r="A908">
        <v>10602</v>
      </c>
      <c r="B908">
        <v>77</v>
      </c>
      <c r="C908" s="6" t="s">
        <v>19</v>
      </c>
      <c r="D908">
        <v>5</v>
      </c>
      <c r="E908" s="6">
        <v>0.25</v>
      </c>
      <c r="F908" t="str">
        <f>_xlfn.XLOOKUP(northwind_order_details[[#This Row],[order_id]],northwind_orders[order_id],northwind_orders[ship_country])</f>
        <v>Denmark</v>
      </c>
      <c r="G908">
        <f>INDEX(northwind_orders[],MATCH(northwind_order_details[[#This Row],[order_id]], northwind_orders[order_id], 0), MATCH("employee_id", northwind_orders[#Headers], 0))</f>
        <v>8</v>
      </c>
      <c r="H908">
        <f>northwind_order_details[[#This Row],[unit_price]]*northwind_order_details[[#This Row],[quantity]]</f>
        <v>65</v>
      </c>
      <c r="I908" s="1">
        <f>northwind_order_details[[#This Row],[purchase amount]]*northwind_order_details[[#This Row],[discount]]</f>
        <v>16.25</v>
      </c>
      <c r="J908" s="1">
        <f>northwind_order_details[[#This Row],[purchase amount]]-northwind_order_details[[#This Row],[discount amount]]</f>
        <v>48.75</v>
      </c>
      <c r="K908" s="6" t="str">
        <f>IF(northwind_order_details[[#This Row],[discount amount]]&gt;0,"Yes","No")</f>
        <v>Yes</v>
      </c>
      <c r="L908" s="1" t="str">
        <f>IF(northwind_order_details[[#This Row],[Revenue]]&gt;1000,"High",IF(northwind_order_details[[#This Row],[Revenue]]&gt;300,"Medium","Low"))</f>
        <v>Low</v>
      </c>
      <c r="M9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09" spans="1:13" x14ac:dyDescent="0.25">
      <c r="A909">
        <v>10603</v>
      </c>
      <c r="B909">
        <v>22</v>
      </c>
      <c r="C909" s="6" t="s">
        <v>37</v>
      </c>
      <c r="D909">
        <v>48</v>
      </c>
      <c r="E909" s="6" t="s">
        <v>6</v>
      </c>
      <c r="F909" t="str">
        <f>_xlfn.XLOOKUP(northwind_order_details[[#This Row],[order_id]],northwind_orders[order_id],northwind_orders[ship_country])</f>
        <v>USA</v>
      </c>
      <c r="G909">
        <f>INDEX(northwind_orders[],MATCH(northwind_order_details[[#This Row],[order_id]], northwind_orders[order_id], 0), MATCH("employee_id", northwind_orders[#Headers], 0))</f>
        <v>8</v>
      </c>
      <c r="H909">
        <f>northwind_order_details[[#This Row],[unit_price]]*northwind_order_details[[#This Row],[quantity]]</f>
        <v>1008</v>
      </c>
      <c r="I909" s="1">
        <f>northwind_order_details[[#This Row],[purchase amount]]*northwind_order_details[[#This Row],[discount]]</f>
        <v>0</v>
      </c>
      <c r="J909" s="1">
        <f>northwind_order_details[[#This Row],[purchase amount]]-northwind_order_details[[#This Row],[discount amount]]</f>
        <v>1008</v>
      </c>
      <c r="K909" s="6" t="str">
        <f>IF(northwind_order_details[[#This Row],[discount amount]]&gt;0,"Yes","No")</f>
        <v>No</v>
      </c>
      <c r="L909" s="1" t="str">
        <f>IF(northwind_order_details[[#This Row],[Revenue]]&gt;1000,"High",IF(northwind_order_details[[#This Row],[Revenue]]&gt;300,"Medium","Low"))</f>
        <v>High</v>
      </c>
      <c r="M9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0" spans="1:13" x14ac:dyDescent="0.25">
      <c r="A910">
        <v>10603</v>
      </c>
      <c r="B910">
        <v>49</v>
      </c>
      <c r="C910" s="6" t="s">
        <v>17</v>
      </c>
      <c r="D910">
        <v>25</v>
      </c>
      <c r="E910" s="6">
        <v>0.05</v>
      </c>
      <c r="F910" t="str">
        <f>_xlfn.XLOOKUP(northwind_order_details[[#This Row],[order_id]],northwind_orders[order_id],northwind_orders[ship_country])</f>
        <v>USA</v>
      </c>
      <c r="G910">
        <f>INDEX(northwind_orders[],MATCH(northwind_order_details[[#This Row],[order_id]], northwind_orders[order_id], 0), MATCH("employee_id", northwind_orders[#Headers], 0))</f>
        <v>8</v>
      </c>
      <c r="H910">
        <f>northwind_order_details[[#This Row],[unit_price]]*northwind_order_details[[#This Row],[quantity]]</f>
        <v>500</v>
      </c>
      <c r="I910" s="1">
        <f>northwind_order_details[[#This Row],[purchase amount]]*northwind_order_details[[#This Row],[discount]]</f>
        <v>25</v>
      </c>
      <c r="J910" s="1">
        <f>northwind_order_details[[#This Row],[purchase amount]]-northwind_order_details[[#This Row],[discount amount]]</f>
        <v>475</v>
      </c>
      <c r="K910" s="6" t="str">
        <f>IF(northwind_order_details[[#This Row],[discount amount]]&gt;0,"Yes","No")</f>
        <v>Yes</v>
      </c>
      <c r="L910" s="1" t="str">
        <f>IF(northwind_order_details[[#This Row],[Revenue]]&gt;1000,"High",IF(northwind_order_details[[#This Row],[Revenue]]&gt;300,"Medium","Low"))</f>
        <v>Medium</v>
      </c>
      <c r="M9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1" spans="1:13" x14ac:dyDescent="0.25">
      <c r="A911">
        <v>10604</v>
      </c>
      <c r="B911">
        <v>48</v>
      </c>
      <c r="C911" s="6">
        <v>12.75</v>
      </c>
      <c r="D911">
        <v>6</v>
      </c>
      <c r="E911" s="6">
        <v>0.1</v>
      </c>
      <c r="F911" t="str">
        <f>_xlfn.XLOOKUP(northwind_order_details[[#This Row],[order_id]],northwind_orders[order_id],northwind_orders[ship_country])</f>
        <v>Portugal</v>
      </c>
      <c r="G911">
        <f>INDEX(northwind_orders[],MATCH(northwind_order_details[[#This Row],[order_id]], northwind_orders[order_id], 0), MATCH("employee_id", northwind_orders[#Headers], 0))</f>
        <v>1</v>
      </c>
      <c r="H911">
        <f>northwind_order_details[[#This Row],[unit_price]]*northwind_order_details[[#This Row],[quantity]]</f>
        <v>76.5</v>
      </c>
      <c r="I911" s="1">
        <f>northwind_order_details[[#This Row],[purchase amount]]*northwind_order_details[[#This Row],[discount]]</f>
        <v>7.65</v>
      </c>
      <c r="J911" s="1">
        <f>northwind_order_details[[#This Row],[purchase amount]]-northwind_order_details[[#This Row],[discount amount]]</f>
        <v>68.849999999999994</v>
      </c>
      <c r="K911" s="6" t="str">
        <f>IF(northwind_order_details[[#This Row],[discount amount]]&gt;0,"Yes","No")</f>
        <v>Yes</v>
      </c>
      <c r="L911" s="1" t="str">
        <f>IF(northwind_order_details[[#This Row],[Revenue]]&gt;1000,"High",IF(northwind_order_details[[#This Row],[Revenue]]&gt;300,"Medium","Low"))</f>
        <v>Low</v>
      </c>
      <c r="M9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12" spans="1:13" x14ac:dyDescent="0.25">
      <c r="A912">
        <v>10604</v>
      </c>
      <c r="B912">
        <v>76</v>
      </c>
      <c r="C912" s="6" t="s">
        <v>24</v>
      </c>
      <c r="D912">
        <v>10</v>
      </c>
      <c r="E912" s="6">
        <v>0.1</v>
      </c>
      <c r="F912" t="str">
        <f>_xlfn.XLOOKUP(northwind_order_details[[#This Row],[order_id]],northwind_orders[order_id],northwind_orders[ship_country])</f>
        <v>Portugal</v>
      </c>
      <c r="G912">
        <f>INDEX(northwind_orders[],MATCH(northwind_order_details[[#This Row],[order_id]], northwind_orders[order_id], 0), MATCH("employee_id", northwind_orders[#Headers], 0))</f>
        <v>1</v>
      </c>
      <c r="H912">
        <f>northwind_order_details[[#This Row],[unit_price]]*northwind_order_details[[#This Row],[quantity]]</f>
        <v>180</v>
      </c>
      <c r="I912" s="1">
        <f>northwind_order_details[[#This Row],[purchase amount]]*northwind_order_details[[#This Row],[discount]]</f>
        <v>18</v>
      </c>
      <c r="J912" s="1">
        <f>northwind_order_details[[#This Row],[purchase amount]]-northwind_order_details[[#This Row],[discount amount]]</f>
        <v>162</v>
      </c>
      <c r="K912" s="6" t="str">
        <f>IF(northwind_order_details[[#This Row],[discount amount]]&gt;0,"Yes","No")</f>
        <v>Yes</v>
      </c>
      <c r="L912" s="1" t="str">
        <f>IF(northwind_order_details[[#This Row],[Revenue]]&gt;1000,"High",IF(northwind_order_details[[#This Row],[Revenue]]&gt;300,"Medium","Low"))</f>
        <v>Low</v>
      </c>
      <c r="M9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3" spans="1:13" x14ac:dyDescent="0.25">
      <c r="A913">
        <v>10605</v>
      </c>
      <c r="B913">
        <v>16</v>
      </c>
      <c r="C913" s="6">
        <v>17.45</v>
      </c>
      <c r="D913">
        <v>30</v>
      </c>
      <c r="E913" s="6">
        <v>0.05</v>
      </c>
      <c r="F913" t="str">
        <f>_xlfn.XLOOKUP(northwind_order_details[[#This Row],[order_id]],northwind_orders[order_id],northwind_orders[ship_country])</f>
        <v>Canada</v>
      </c>
      <c r="G913">
        <f>INDEX(northwind_orders[],MATCH(northwind_order_details[[#This Row],[order_id]], northwind_orders[order_id], 0), MATCH("employee_id", northwind_orders[#Headers], 0))</f>
        <v>1</v>
      </c>
      <c r="H913">
        <f>northwind_order_details[[#This Row],[unit_price]]*northwind_order_details[[#This Row],[quantity]]</f>
        <v>523.5</v>
      </c>
      <c r="I913" s="1">
        <f>northwind_order_details[[#This Row],[purchase amount]]*northwind_order_details[[#This Row],[discount]]</f>
        <v>26.175000000000001</v>
      </c>
      <c r="J913" s="1">
        <f>northwind_order_details[[#This Row],[purchase amount]]-northwind_order_details[[#This Row],[discount amount]]</f>
        <v>497.32499999999999</v>
      </c>
      <c r="K913" s="6" t="str">
        <f>IF(northwind_order_details[[#This Row],[discount amount]]&gt;0,"Yes","No")</f>
        <v>Yes</v>
      </c>
      <c r="L913" s="1" t="str">
        <f>IF(northwind_order_details[[#This Row],[Revenue]]&gt;1000,"High",IF(northwind_order_details[[#This Row],[Revenue]]&gt;300,"Medium","Low"))</f>
        <v>Medium</v>
      </c>
      <c r="M9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14" spans="1:13" x14ac:dyDescent="0.25">
      <c r="A914">
        <v>10605</v>
      </c>
      <c r="B914">
        <v>59</v>
      </c>
      <c r="C914" s="6" t="s">
        <v>33</v>
      </c>
      <c r="D914">
        <v>20</v>
      </c>
      <c r="E914" s="6">
        <v>0.05</v>
      </c>
      <c r="F914" t="str">
        <f>_xlfn.XLOOKUP(northwind_order_details[[#This Row],[order_id]],northwind_orders[order_id],northwind_orders[ship_country])</f>
        <v>Canada</v>
      </c>
      <c r="G914">
        <f>INDEX(northwind_orders[],MATCH(northwind_order_details[[#This Row],[order_id]], northwind_orders[order_id], 0), MATCH("employee_id", northwind_orders[#Headers], 0))</f>
        <v>1</v>
      </c>
      <c r="H914">
        <f>northwind_order_details[[#This Row],[unit_price]]*northwind_order_details[[#This Row],[quantity]]</f>
        <v>1100</v>
      </c>
      <c r="I914" s="1">
        <f>northwind_order_details[[#This Row],[purchase amount]]*northwind_order_details[[#This Row],[discount]]</f>
        <v>55</v>
      </c>
      <c r="J914" s="1">
        <f>northwind_order_details[[#This Row],[purchase amount]]-northwind_order_details[[#This Row],[discount amount]]</f>
        <v>1045</v>
      </c>
      <c r="K914" s="6" t="str">
        <f>IF(northwind_order_details[[#This Row],[discount amount]]&gt;0,"Yes","No")</f>
        <v>Yes</v>
      </c>
      <c r="L914" s="1" t="str">
        <f>IF(northwind_order_details[[#This Row],[Revenue]]&gt;1000,"High",IF(northwind_order_details[[#This Row],[Revenue]]&gt;300,"Medium","Low"))</f>
        <v>High</v>
      </c>
      <c r="M9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5" spans="1:13" x14ac:dyDescent="0.25">
      <c r="A915">
        <v>10605</v>
      </c>
      <c r="B915">
        <v>60</v>
      </c>
      <c r="C915" s="6" t="s">
        <v>28</v>
      </c>
      <c r="D915">
        <v>70</v>
      </c>
      <c r="E915" s="6">
        <v>0.05</v>
      </c>
      <c r="F915" t="str">
        <f>_xlfn.XLOOKUP(northwind_order_details[[#This Row],[order_id]],northwind_orders[order_id],northwind_orders[ship_country])</f>
        <v>Canada</v>
      </c>
      <c r="G915">
        <f>INDEX(northwind_orders[],MATCH(northwind_order_details[[#This Row],[order_id]], northwind_orders[order_id], 0), MATCH("employee_id", northwind_orders[#Headers], 0))</f>
        <v>1</v>
      </c>
      <c r="H915">
        <f>northwind_order_details[[#This Row],[unit_price]]*northwind_order_details[[#This Row],[quantity]]</f>
        <v>2380</v>
      </c>
      <c r="I915" s="1">
        <f>northwind_order_details[[#This Row],[purchase amount]]*northwind_order_details[[#This Row],[discount]]</f>
        <v>119</v>
      </c>
      <c r="J915" s="1">
        <f>northwind_order_details[[#This Row],[purchase amount]]-northwind_order_details[[#This Row],[discount amount]]</f>
        <v>2261</v>
      </c>
      <c r="K915" s="6" t="str">
        <f>IF(northwind_order_details[[#This Row],[discount amount]]&gt;0,"Yes","No")</f>
        <v>Yes</v>
      </c>
      <c r="L915" s="1" t="str">
        <f>IF(northwind_order_details[[#This Row],[Revenue]]&gt;1000,"High",IF(northwind_order_details[[#This Row],[Revenue]]&gt;300,"Medium","Low"))</f>
        <v>High</v>
      </c>
      <c r="M9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6" spans="1:13" x14ac:dyDescent="0.25">
      <c r="A916">
        <v>10605</v>
      </c>
      <c r="B916">
        <v>71</v>
      </c>
      <c r="C916" s="6">
        <v>21.5</v>
      </c>
      <c r="D916">
        <v>15</v>
      </c>
      <c r="E916" s="6">
        <v>0.05</v>
      </c>
      <c r="F916" t="str">
        <f>_xlfn.XLOOKUP(northwind_order_details[[#This Row],[order_id]],northwind_orders[order_id],northwind_orders[ship_country])</f>
        <v>Canada</v>
      </c>
      <c r="G916">
        <f>INDEX(northwind_orders[],MATCH(northwind_order_details[[#This Row],[order_id]], northwind_orders[order_id], 0), MATCH("employee_id", northwind_orders[#Headers], 0))</f>
        <v>1</v>
      </c>
      <c r="H916">
        <f>northwind_order_details[[#This Row],[unit_price]]*northwind_order_details[[#This Row],[quantity]]</f>
        <v>322.5</v>
      </c>
      <c r="I916" s="1">
        <f>northwind_order_details[[#This Row],[purchase amount]]*northwind_order_details[[#This Row],[discount]]</f>
        <v>16.125</v>
      </c>
      <c r="J916" s="1">
        <f>northwind_order_details[[#This Row],[purchase amount]]-northwind_order_details[[#This Row],[discount amount]]</f>
        <v>306.375</v>
      </c>
      <c r="K916" s="6" t="str">
        <f>IF(northwind_order_details[[#This Row],[discount amount]]&gt;0,"Yes","No")</f>
        <v>Yes</v>
      </c>
      <c r="L916" s="1" t="str">
        <f>IF(northwind_order_details[[#This Row],[Revenue]]&gt;1000,"High",IF(northwind_order_details[[#This Row],[Revenue]]&gt;300,"Medium","Low"))</f>
        <v>Medium</v>
      </c>
      <c r="M91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17" spans="1:13" x14ac:dyDescent="0.25">
      <c r="A917">
        <v>10606</v>
      </c>
      <c r="B917">
        <v>4</v>
      </c>
      <c r="C917" s="6" t="s">
        <v>25</v>
      </c>
      <c r="D917">
        <v>20</v>
      </c>
      <c r="E917" s="6">
        <v>0.2</v>
      </c>
      <c r="F917" t="str">
        <f>_xlfn.XLOOKUP(northwind_order_details[[#This Row],[order_id]],northwind_orders[order_id],northwind_orders[ship_country])</f>
        <v>Brazil</v>
      </c>
      <c r="G917">
        <f>INDEX(northwind_orders[],MATCH(northwind_order_details[[#This Row],[order_id]], northwind_orders[order_id], 0), MATCH("employee_id", northwind_orders[#Headers], 0))</f>
        <v>4</v>
      </c>
      <c r="H917">
        <f>northwind_order_details[[#This Row],[unit_price]]*northwind_order_details[[#This Row],[quantity]]</f>
        <v>440</v>
      </c>
      <c r="I917" s="1">
        <f>northwind_order_details[[#This Row],[purchase amount]]*northwind_order_details[[#This Row],[discount]]</f>
        <v>88</v>
      </c>
      <c r="J917" s="1">
        <f>northwind_order_details[[#This Row],[purchase amount]]-northwind_order_details[[#This Row],[discount amount]]</f>
        <v>352</v>
      </c>
      <c r="K917" s="6" t="str">
        <f>IF(northwind_order_details[[#This Row],[discount amount]]&gt;0,"Yes","No")</f>
        <v>Yes</v>
      </c>
      <c r="L917" s="1" t="str">
        <f>IF(northwind_order_details[[#This Row],[Revenue]]&gt;1000,"High",IF(northwind_order_details[[#This Row],[Revenue]]&gt;300,"Medium","Low"))</f>
        <v>Medium</v>
      </c>
      <c r="M9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8" spans="1:13" x14ac:dyDescent="0.25">
      <c r="A918">
        <v>10606</v>
      </c>
      <c r="B918">
        <v>55</v>
      </c>
      <c r="C918" s="6" t="s">
        <v>14</v>
      </c>
      <c r="D918">
        <v>20</v>
      </c>
      <c r="E918" s="6">
        <v>0.2</v>
      </c>
      <c r="F918" t="str">
        <f>_xlfn.XLOOKUP(northwind_order_details[[#This Row],[order_id]],northwind_orders[order_id],northwind_orders[ship_country])</f>
        <v>Brazil</v>
      </c>
      <c r="G918">
        <f>INDEX(northwind_orders[],MATCH(northwind_order_details[[#This Row],[order_id]], northwind_orders[order_id], 0), MATCH("employee_id", northwind_orders[#Headers], 0))</f>
        <v>4</v>
      </c>
      <c r="H918">
        <f>northwind_order_details[[#This Row],[unit_price]]*northwind_order_details[[#This Row],[quantity]]</f>
        <v>480</v>
      </c>
      <c r="I918" s="1">
        <f>northwind_order_details[[#This Row],[purchase amount]]*northwind_order_details[[#This Row],[discount]]</f>
        <v>96</v>
      </c>
      <c r="J918" s="1">
        <f>northwind_order_details[[#This Row],[purchase amount]]-northwind_order_details[[#This Row],[discount amount]]</f>
        <v>384</v>
      </c>
      <c r="K918" s="6" t="str">
        <f>IF(northwind_order_details[[#This Row],[discount amount]]&gt;0,"Yes","No")</f>
        <v>Yes</v>
      </c>
      <c r="L918" s="1" t="str">
        <f>IF(northwind_order_details[[#This Row],[Revenue]]&gt;1000,"High",IF(northwind_order_details[[#This Row],[Revenue]]&gt;300,"Medium","Low"))</f>
        <v>Medium</v>
      </c>
      <c r="M9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19" spans="1:13" x14ac:dyDescent="0.25">
      <c r="A919">
        <v>10606</v>
      </c>
      <c r="B919">
        <v>62</v>
      </c>
      <c r="C919" s="6">
        <v>49.3</v>
      </c>
      <c r="D919">
        <v>10</v>
      </c>
      <c r="E919" s="6">
        <v>0.2</v>
      </c>
      <c r="F919" t="str">
        <f>_xlfn.XLOOKUP(northwind_order_details[[#This Row],[order_id]],northwind_orders[order_id],northwind_orders[ship_country])</f>
        <v>Brazil</v>
      </c>
      <c r="G919">
        <f>INDEX(northwind_orders[],MATCH(northwind_order_details[[#This Row],[order_id]], northwind_orders[order_id], 0), MATCH("employee_id", northwind_orders[#Headers], 0))</f>
        <v>4</v>
      </c>
      <c r="H919">
        <f>northwind_order_details[[#This Row],[unit_price]]*northwind_order_details[[#This Row],[quantity]]</f>
        <v>493</v>
      </c>
      <c r="I919" s="1">
        <f>northwind_order_details[[#This Row],[purchase amount]]*northwind_order_details[[#This Row],[discount]]</f>
        <v>98.600000000000009</v>
      </c>
      <c r="J919" s="1">
        <f>northwind_order_details[[#This Row],[purchase amount]]-northwind_order_details[[#This Row],[discount amount]]</f>
        <v>394.4</v>
      </c>
      <c r="K919" s="6" t="str">
        <f>IF(northwind_order_details[[#This Row],[discount amount]]&gt;0,"Yes","No")</f>
        <v>Yes</v>
      </c>
      <c r="L919" s="1" t="str">
        <f>IF(northwind_order_details[[#This Row],[Revenue]]&gt;1000,"High",IF(northwind_order_details[[#This Row],[Revenue]]&gt;300,"Medium","Low"))</f>
        <v>Medium</v>
      </c>
      <c r="M91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20" spans="1:13" x14ac:dyDescent="0.25">
      <c r="A920">
        <v>10607</v>
      </c>
      <c r="B920">
        <v>7</v>
      </c>
      <c r="C920" s="6" t="s">
        <v>26</v>
      </c>
      <c r="D920">
        <v>45</v>
      </c>
      <c r="E920" s="6" t="s">
        <v>6</v>
      </c>
      <c r="F920" t="str">
        <f>_xlfn.XLOOKUP(northwind_order_details[[#This Row],[order_id]],northwind_orders[order_id],northwind_orders[ship_country])</f>
        <v>USA</v>
      </c>
      <c r="G920">
        <f>INDEX(northwind_orders[],MATCH(northwind_order_details[[#This Row],[order_id]], northwind_orders[order_id], 0), MATCH("employee_id", northwind_orders[#Headers], 0))</f>
        <v>5</v>
      </c>
      <c r="H920">
        <f>northwind_order_details[[#This Row],[unit_price]]*northwind_order_details[[#This Row],[quantity]]</f>
        <v>1350</v>
      </c>
      <c r="I920" s="1">
        <f>northwind_order_details[[#This Row],[purchase amount]]*northwind_order_details[[#This Row],[discount]]</f>
        <v>0</v>
      </c>
      <c r="J920" s="1">
        <f>northwind_order_details[[#This Row],[purchase amount]]-northwind_order_details[[#This Row],[discount amount]]</f>
        <v>1350</v>
      </c>
      <c r="K920" s="6" t="str">
        <f>IF(northwind_order_details[[#This Row],[discount amount]]&gt;0,"Yes","No")</f>
        <v>No</v>
      </c>
      <c r="L920" s="1" t="str">
        <f>IF(northwind_order_details[[#This Row],[Revenue]]&gt;1000,"High",IF(northwind_order_details[[#This Row],[Revenue]]&gt;300,"Medium","Low"))</f>
        <v>High</v>
      </c>
      <c r="M9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1" spans="1:13" x14ac:dyDescent="0.25">
      <c r="A921">
        <v>10607</v>
      </c>
      <c r="B921">
        <v>17</v>
      </c>
      <c r="C921" s="6" t="s">
        <v>35</v>
      </c>
      <c r="D921">
        <v>100</v>
      </c>
      <c r="E921" s="6" t="s">
        <v>6</v>
      </c>
      <c r="F921" t="str">
        <f>_xlfn.XLOOKUP(northwind_order_details[[#This Row],[order_id]],northwind_orders[order_id],northwind_orders[ship_country])</f>
        <v>USA</v>
      </c>
      <c r="G921">
        <f>INDEX(northwind_orders[],MATCH(northwind_order_details[[#This Row],[order_id]], northwind_orders[order_id], 0), MATCH("employee_id", northwind_orders[#Headers], 0))</f>
        <v>5</v>
      </c>
      <c r="H921">
        <f>northwind_order_details[[#This Row],[unit_price]]*northwind_order_details[[#This Row],[quantity]]</f>
        <v>3900</v>
      </c>
      <c r="I921" s="1">
        <f>northwind_order_details[[#This Row],[purchase amount]]*northwind_order_details[[#This Row],[discount]]</f>
        <v>0</v>
      </c>
      <c r="J921" s="1">
        <f>northwind_order_details[[#This Row],[purchase amount]]-northwind_order_details[[#This Row],[discount amount]]</f>
        <v>3900</v>
      </c>
      <c r="K921" s="6" t="str">
        <f>IF(northwind_order_details[[#This Row],[discount amount]]&gt;0,"Yes","No")</f>
        <v>No</v>
      </c>
      <c r="L921" s="1" t="str">
        <f>IF(northwind_order_details[[#This Row],[Revenue]]&gt;1000,"High",IF(northwind_order_details[[#This Row],[Revenue]]&gt;300,"Medium","Low"))</f>
        <v>High</v>
      </c>
      <c r="M9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2" spans="1:13" x14ac:dyDescent="0.25">
      <c r="A922">
        <v>10607</v>
      </c>
      <c r="B922">
        <v>33</v>
      </c>
      <c r="C922" s="6">
        <v>2.5</v>
      </c>
      <c r="D922">
        <v>14</v>
      </c>
      <c r="E922" s="6" t="s">
        <v>6</v>
      </c>
      <c r="F922" t="str">
        <f>_xlfn.XLOOKUP(northwind_order_details[[#This Row],[order_id]],northwind_orders[order_id],northwind_orders[ship_country])</f>
        <v>USA</v>
      </c>
      <c r="G922">
        <f>INDEX(northwind_orders[],MATCH(northwind_order_details[[#This Row],[order_id]], northwind_orders[order_id], 0), MATCH("employee_id", northwind_orders[#Headers], 0))</f>
        <v>5</v>
      </c>
      <c r="H922">
        <f>northwind_order_details[[#This Row],[unit_price]]*northwind_order_details[[#This Row],[quantity]]</f>
        <v>35</v>
      </c>
      <c r="I922" s="1">
        <f>northwind_order_details[[#This Row],[purchase amount]]*northwind_order_details[[#This Row],[discount]]</f>
        <v>0</v>
      </c>
      <c r="J922" s="1">
        <f>northwind_order_details[[#This Row],[purchase amount]]-northwind_order_details[[#This Row],[discount amount]]</f>
        <v>35</v>
      </c>
      <c r="K922" s="6" t="str">
        <f>IF(northwind_order_details[[#This Row],[discount amount]]&gt;0,"Yes","No")</f>
        <v>No</v>
      </c>
      <c r="L922" s="1" t="str">
        <f>IF(northwind_order_details[[#This Row],[Revenue]]&gt;1000,"High",IF(northwind_order_details[[#This Row],[Revenue]]&gt;300,"Medium","Low"))</f>
        <v>Low</v>
      </c>
      <c r="M92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23" spans="1:13" x14ac:dyDescent="0.25">
      <c r="A923">
        <v>10607</v>
      </c>
      <c r="B923">
        <v>40</v>
      </c>
      <c r="C923" s="6">
        <v>18.399999999999999</v>
      </c>
      <c r="D923">
        <v>42</v>
      </c>
      <c r="E923" s="6" t="s">
        <v>6</v>
      </c>
      <c r="F923" t="str">
        <f>_xlfn.XLOOKUP(northwind_order_details[[#This Row],[order_id]],northwind_orders[order_id],northwind_orders[ship_country])</f>
        <v>USA</v>
      </c>
      <c r="G923">
        <f>INDEX(northwind_orders[],MATCH(northwind_order_details[[#This Row],[order_id]], northwind_orders[order_id], 0), MATCH("employee_id", northwind_orders[#Headers], 0))</f>
        <v>5</v>
      </c>
      <c r="H923">
        <f>northwind_order_details[[#This Row],[unit_price]]*northwind_order_details[[#This Row],[quantity]]</f>
        <v>772.8</v>
      </c>
      <c r="I923" s="1">
        <f>northwind_order_details[[#This Row],[purchase amount]]*northwind_order_details[[#This Row],[discount]]</f>
        <v>0</v>
      </c>
      <c r="J923" s="1">
        <f>northwind_order_details[[#This Row],[purchase amount]]-northwind_order_details[[#This Row],[discount amount]]</f>
        <v>772.8</v>
      </c>
      <c r="K923" s="6" t="str">
        <f>IF(northwind_order_details[[#This Row],[discount amount]]&gt;0,"Yes","No")</f>
        <v>No</v>
      </c>
      <c r="L923" s="1" t="str">
        <f>IF(northwind_order_details[[#This Row],[Revenue]]&gt;1000,"High",IF(northwind_order_details[[#This Row],[Revenue]]&gt;300,"Medium","Low"))</f>
        <v>Medium</v>
      </c>
      <c r="M92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24" spans="1:13" x14ac:dyDescent="0.25">
      <c r="A924">
        <v>10607</v>
      </c>
      <c r="B924">
        <v>72</v>
      </c>
      <c r="C924" s="6">
        <v>34.799999999999997</v>
      </c>
      <c r="D924">
        <v>12</v>
      </c>
      <c r="E924" s="6" t="s">
        <v>6</v>
      </c>
      <c r="F924" t="str">
        <f>_xlfn.XLOOKUP(northwind_order_details[[#This Row],[order_id]],northwind_orders[order_id],northwind_orders[ship_country])</f>
        <v>USA</v>
      </c>
      <c r="G924">
        <f>INDEX(northwind_orders[],MATCH(northwind_order_details[[#This Row],[order_id]], northwind_orders[order_id], 0), MATCH("employee_id", northwind_orders[#Headers], 0))</f>
        <v>5</v>
      </c>
      <c r="H924">
        <f>northwind_order_details[[#This Row],[unit_price]]*northwind_order_details[[#This Row],[quantity]]</f>
        <v>417.59999999999997</v>
      </c>
      <c r="I924" s="1">
        <f>northwind_order_details[[#This Row],[purchase amount]]*northwind_order_details[[#This Row],[discount]]</f>
        <v>0</v>
      </c>
      <c r="J924" s="1">
        <f>northwind_order_details[[#This Row],[purchase amount]]-northwind_order_details[[#This Row],[discount amount]]</f>
        <v>417.59999999999997</v>
      </c>
      <c r="K924" s="6" t="str">
        <f>IF(northwind_order_details[[#This Row],[discount amount]]&gt;0,"Yes","No")</f>
        <v>No</v>
      </c>
      <c r="L924" s="1" t="str">
        <f>IF(northwind_order_details[[#This Row],[Revenue]]&gt;1000,"High",IF(northwind_order_details[[#This Row],[Revenue]]&gt;300,"Medium","Low"))</f>
        <v>Medium</v>
      </c>
      <c r="M92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25" spans="1:13" x14ac:dyDescent="0.25">
      <c r="A925">
        <v>10608</v>
      </c>
      <c r="B925">
        <v>56</v>
      </c>
      <c r="C925" s="6" t="s">
        <v>30</v>
      </c>
      <c r="D925">
        <v>28</v>
      </c>
      <c r="E925" s="6" t="s">
        <v>6</v>
      </c>
      <c r="F925" t="str">
        <f>_xlfn.XLOOKUP(northwind_order_details[[#This Row],[order_id]],northwind_orders[order_id],northwind_orders[ship_country])</f>
        <v>Germany</v>
      </c>
      <c r="G925">
        <f>INDEX(northwind_orders[],MATCH(northwind_order_details[[#This Row],[order_id]], northwind_orders[order_id], 0), MATCH("employee_id", northwind_orders[#Headers], 0))</f>
        <v>4</v>
      </c>
      <c r="H925">
        <f>northwind_order_details[[#This Row],[unit_price]]*northwind_order_details[[#This Row],[quantity]]</f>
        <v>1064</v>
      </c>
      <c r="I925" s="1">
        <f>northwind_order_details[[#This Row],[purchase amount]]*northwind_order_details[[#This Row],[discount]]</f>
        <v>0</v>
      </c>
      <c r="J925" s="1">
        <f>northwind_order_details[[#This Row],[purchase amount]]-northwind_order_details[[#This Row],[discount amount]]</f>
        <v>1064</v>
      </c>
      <c r="K925" s="6" t="str">
        <f>IF(northwind_order_details[[#This Row],[discount amount]]&gt;0,"Yes","No")</f>
        <v>No</v>
      </c>
      <c r="L925" s="1" t="str">
        <f>IF(northwind_order_details[[#This Row],[Revenue]]&gt;1000,"High",IF(northwind_order_details[[#This Row],[Revenue]]&gt;300,"Medium","Low"))</f>
        <v>High</v>
      </c>
      <c r="M9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6" spans="1:13" x14ac:dyDescent="0.25">
      <c r="A926">
        <v>10609</v>
      </c>
      <c r="B926">
        <v>1</v>
      </c>
      <c r="C926" s="6" t="s">
        <v>24</v>
      </c>
      <c r="D926">
        <v>3</v>
      </c>
      <c r="E926" s="6" t="s">
        <v>6</v>
      </c>
      <c r="F926" t="str">
        <f>_xlfn.XLOOKUP(northwind_order_details[[#This Row],[order_id]],northwind_orders[order_id],northwind_orders[ship_country])</f>
        <v>France</v>
      </c>
      <c r="G926">
        <f>INDEX(northwind_orders[],MATCH(northwind_order_details[[#This Row],[order_id]], northwind_orders[order_id], 0), MATCH("employee_id", northwind_orders[#Headers], 0))</f>
        <v>7</v>
      </c>
      <c r="H926">
        <f>northwind_order_details[[#This Row],[unit_price]]*northwind_order_details[[#This Row],[quantity]]</f>
        <v>54</v>
      </c>
      <c r="I926" s="1">
        <f>northwind_order_details[[#This Row],[purchase amount]]*northwind_order_details[[#This Row],[discount]]</f>
        <v>0</v>
      </c>
      <c r="J926" s="1">
        <f>northwind_order_details[[#This Row],[purchase amount]]-northwind_order_details[[#This Row],[discount amount]]</f>
        <v>54</v>
      </c>
      <c r="K926" s="6" t="str">
        <f>IF(northwind_order_details[[#This Row],[discount amount]]&gt;0,"Yes","No")</f>
        <v>No</v>
      </c>
      <c r="L926" s="1" t="str">
        <f>IF(northwind_order_details[[#This Row],[Revenue]]&gt;1000,"High",IF(northwind_order_details[[#This Row],[Revenue]]&gt;300,"Medium","Low"))</f>
        <v>Low</v>
      </c>
      <c r="M9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7" spans="1:13" x14ac:dyDescent="0.25">
      <c r="A927">
        <v>10609</v>
      </c>
      <c r="B927">
        <v>10</v>
      </c>
      <c r="C927" s="6" t="s">
        <v>34</v>
      </c>
      <c r="D927">
        <v>10</v>
      </c>
      <c r="E927" s="6" t="s">
        <v>6</v>
      </c>
      <c r="F927" t="str">
        <f>_xlfn.XLOOKUP(northwind_order_details[[#This Row],[order_id]],northwind_orders[order_id],northwind_orders[ship_country])</f>
        <v>France</v>
      </c>
      <c r="G927">
        <f>INDEX(northwind_orders[],MATCH(northwind_order_details[[#This Row],[order_id]], northwind_orders[order_id], 0), MATCH("employee_id", northwind_orders[#Headers], 0))</f>
        <v>7</v>
      </c>
      <c r="H927">
        <f>northwind_order_details[[#This Row],[unit_price]]*northwind_order_details[[#This Row],[quantity]]</f>
        <v>310</v>
      </c>
      <c r="I927" s="1">
        <f>northwind_order_details[[#This Row],[purchase amount]]*northwind_order_details[[#This Row],[discount]]</f>
        <v>0</v>
      </c>
      <c r="J927" s="1">
        <f>northwind_order_details[[#This Row],[purchase amount]]-northwind_order_details[[#This Row],[discount amount]]</f>
        <v>310</v>
      </c>
      <c r="K927" s="6" t="str">
        <f>IF(northwind_order_details[[#This Row],[discount amount]]&gt;0,"Yes","No")</f>
        <v>No</v>
      </c>
      <c r="L927" s="1" t="str">
        <f>IF(northwind_order_details[[#This Row],[Revenue]]&gt;1000,"High",IF(northwind_order_details[[#This Row],[Revenue]]&gt;300,"Medium","Low"))</f>
        <v>Medium</v>
      </c>
      <c r="M9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8" spans="1:13" x14ac:dyDescent="0.25">
      <c r="A928">
        <v>10609</v>
      </c>
      <c r="B928">
        <v>21</v>
      </c>
      <c r="C928" s="6" t="s">
        <v>8</v>
      </c>
      <c r="D928">
        <v>6</v>
      </c>
      <c r="E928" s="6" t="s">
        <v>6</v>
      </c>
      <c r="F928" t="str">
        <f>_xlfn.XLOOKUP(northwind_order_details[[#This Row],[order_id]],northwind_orders[order_id],northwind_orders[ship_country])</f>
        <v>France</v>
      </c>
      <c r="G928">
        <f>INDEX(northwind_orders[],MATCH(northwind_order_details[[#This Row],[order_id]], northwind_orders[order_id], 0), MATCH("employee_id", northwind_orders[#Headers], 0))</f>
        <v>7</v>
      </c>
      <c r="H928">
        <f>northwind_order_details[[#This Row],[unit_price]]*northwind_order_details[[#This Row],[quantity]]</f>
        <v>60</v>
      </c>
      <c r="I928" s="1">
        <f>northwind_order_details[[#This Row],[purchase amount]]*northwind_order_details[[#This Row],[discount]]</f>
        <v>0</v>
      </c>
      <c r="J928" s="1">
        <f>northwind_order_details[[#This Row],[purchase amount]]-northwind_order_details[[#This Row],[discount amount]]</f>
        <v>60</v>
      </c>
      <c r="K928" s="6" t="str">
        <f>IF(northwind_order_details[[#This Row],[discount amount]]&gt;0,"Yes","No")</f>
        <v>No</v>
      </c>
      <c r="L928" s="1" t="str">
        <f>IF(northwind_order_details[[#This Row],[Revenue]]&gt;1000,"High",IF(northwind_order_details[[#This Row],[Revenue]]&gt;300,"Medium","Low"))</f>
        <v>Low</v>
      </c>
      <c r="M9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29" spans="1:13" x14ac:dyDescent="0.25">
      <c r="A929">
        <v>10610</v>
      </c>
      <c r="B929">
        <v>36</v>
      </c>
      <c r="C929" s="6" t="s">
        <v>20</v>
      </c>
      <c r="D929">
        <v>21</v>
      </c>
      <c r="E929" s="6">
        <v>0.25</v>
      </c>
      <c r="F929" t="str">
        <f>_xlfn.XLOOKUP(northwind_order_details[[#This Row],[order_id]],northwind_orders[order_id],northwind_orders[ship_country])</f>
        <v>France</v>
      </c>
      <c r="G929">
        <f>INDEX(northwind_orders[],MATCH(northwind_order_details[[#This Row],[order_id]], northwind_orders[order_id], 0), MATCH("employee_id", northwind_orders[#Headers], 0))</f>
        <v>8</v>
      </c>
      <c r="H929">
        <f>northwind_order_details[[#This Row],[unit_price]]*northwind_order_details[[#This Row],[quantity]]</f>
        <v>399</v>
      </c>
      <c r="I929" s="1">
        <f>northwind_order_details[[#This Row],[purchase amount]]*northwind_order_details[[#This Row],[discount]]</f>
        <v>99.75</v>
      </c>
      <c r="J929" s="1">
        <f>northwind_order_details[[#This Row],[purchase amount]]-northwind_order_details[[#This Row],[discount amount]]</f>
        <v>299.25</v>
      </c>
      <c r="K929" s="6" t="str">
        <f>IF(northwind_order_details[[#This Row],[discount amount]]&gt;0,"Yes","No")</f>
        <v>Yes</v>
      </c>
      <c r="L929" s="1" t="str">
        <f>IF(northwind_order_details[[#This Row],[Revenue]]&gt;1000,"High",IF(northwind_order_details[[#This Row],[Revenue]]&gt;300,"Medium","Low"))</f>
        <v>Low</v>
      </c>
      <c r="M9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0" spans="1:13" x14ac:dyDescent="0.25">
      <c r="A930">
        <v>10611</v>
      </c>
      <c r="B930">
        <v>1</v>
      </c>
      <c r="C930" s="6" t="s">
        <v>24</v>
      </c>
      <c r="D930">
        <v>6</v>
      </c>
      <c r="E930" s="6" t="s">
        <v>6</v>
      </c>
      <c r="F930" t="str">
        <f>_xlfn.XLOOKUP(northwind_order_details[[#This Row],[order_id]],northwind_orders[order_id],northwind_orders[ship_country])</f>
        <v>Poland</v>
      </c>
      <c r="G930">
        <f>INDEX(northwind_orders[],MATCH(northwind_order_details[[#This Row],[order_id]], northwind_orders[order_id], 0), MATCH("employee_id", northwind_orders[#Headers], 0))</f>
        <v>6</v>
      </c>
      <c r="H930">
        <f>northwind_order_details[[#This Row],[unit_price]]*northwind_order_details[[#This Row],[quantity]]</f>
        <v>108</v>
      </c>
      <c r="I930" s="1">
        <f>northwind_order_details[[#This Row],[purchase amount]]*northwind_order_details[[#This Row],[discount]]</f>
        <v>0</v>
      </c>
      <c r="J930" s="1">
        <f>northwind_order_details[[#This Row],[purchase amount]]-northwind_order_details[[#This Row],[discount amount]]</f>
        <v>108</v>
      </c>
      <c r="K930" s="6" t="str">
        <f>IF(northwind_order_details[[#This Row],[discount amount]]&gt;0,"Yes","No")</f>
        <v>No</v>
      </c>
      <c r="L930" s="1" t="str">
        <f>IF(northwind_order_details[[#This Row],[Revenue]]&gt;1000,"High",IF(northwind_order_details[[#This Row],[Revenue]]&gt;300,"Medium","Low"))</f>
        <v>Low</v>
      </c>
      <c r="M9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1" spans="1:13" x14ac:dyDescent="0.25">
      <c r="A931">
        <v>10611</v>
      </c>
      <c r="B931">
        <v>2</v>
      </c>
      <c r="C931" s="6" t="s">
        <v>20</v>
      </c>
      <c r="D931">
        <v>10</v>
      </c>
      <c r="E931" s="6" t="s">
        <v>6</v>
      </c>
      <c r="F931" t="str">
        <f>_xlfn.XLOOKUP(northwind_order_details[[#This Row],[order_id]],northwind_orders[order_id],northwind_orders[ship_country])</f>
        <v>Poland</v>
      </c>
      <c r="G931">
        <f>INDEX(northwind_orders[],MATCH(northwind_order_details[[#This Row],[order_id]], northwind_orders[order_id], 0), MATCH("employee_id", northwind_orders[#Headers], 0))</f>
        <v>6</v>
      </c>
      <c r="H931">
        <f>northwind_order_details[[#This Row],[unit_price]]*northwind_order_details[[#This Row],[quantity]]</f>
        <v>190</v>
      </c>
      <c r="I931" s="1">
        <f>northwind_order_details[[#This Row],[purchase amount]]*northwind_order_details[[#This Row],[discount]]</f>
        <v>0</v>
      </c>
      <c r="J931" s="1">
        <f>northwind_order_details[[#This Row],[purchase amount]]-northwind_order_details[[#This Row],[discount amount]]</f>
        <v>190</v>
      </c>
      <c r="K931" s="6" t="str">
        <f>IF(northwind_order_details[[#This Row],[discount amount]]&gt;0,"Yes","No")</f>
        <v>No</v>
      </c>
      <c r="L931" s="1" t="str">
        <f>IF(northwind_order_details[[#This Row],[Revenue]]&gt;1000,"High",IF(northwind_order_details[[#This Row],[Revenue]]&gt;300,"Medium","Low"))</f>
        <v>Low</v>
      </c>
      <c r="M9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2" spans="1:13" x14ac:dyDescent="0.25">
      <c r="A932">
        <v>10611</v>
      </c>
      <c r="B932">
        <v>60</v>
      </c>
      <c r="C932" s="6" t="s">
        <v>28</v>
      </c>
      <c r="D932">
        <v>15</v>
      </c>
      <c r="E932" s="6" t="s">
        <v>6</v>
      </c>
      <c r="F932" t="str">
        <f>_xlfn.XLOOKUP(northwind_order_details[[#This Row],[order_id]],northwind_orders[order_id],northwind_orders[ship_country])</f>
        <v>Poland</v>
      </c>
      <c r="G932">
        <f>INDEX(northwind_orders[],MATCH(northwind_order_details[[#This Row],[order_id]], northwind_orders[order_id], 0), MATCH("employee_id", northwind_orders[#Headers], 0))</f>
        <v>6</v>
      </c>
      <c r="H932">
        <f>northwind_order_details[[#This Row],[unit_price]]*northwind_order_details[[#This Row],[quantity]]</f>
        <v>510</v>
      </c>
      <c r="I932" s="1">
        <f>northwind_order_details[[#This Row],[purchase amount]]*northwind_order_details[[#This Row],[discount]]</f>
        <v>0</v>
      </c>
      <c r="J932" s="1">
        <f>northwind_order_details[[#This Row],[purchase amount]]-northwind_order_details[[#This Row],[discount amount]]</f>
        <v>510</v>
      </c>
      <c r="K932" s="6" t="str">
        <f>IF(northwind_order_details[[#This Row],[discount amount]]&gt;0,"Yes","No")</f>
        <v>No</v>
      </c>
      <c r="L932" s="1" t="str">
        <f>IF(northwind_order_details[[#This Row],[Revenue]]&gt;1000,"High",IF(northwind_order_details[[#This Row],[Revenue]]&gt;300,"Medium","Low"))</f>
        <v>Medium</v>
      </c>
      <c r="M9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3" spans="1:13" x14ac:dyDescent="0.25">
      <c r="A933">
        <v>10612</v>
      </c>
      <c r="B933">
        <v>10</v>
      </c>
      <c r="C933" s="6" t="s">
        <v>34</v>
      </c>
      <c r="D933">
        <v>70</v>
      </c>
      <c r="E933" s="6" t="s">
        <v>6</v>
      </c>
      <c r="F933" t="str">
        <f>_xlfn.XLOOKUP(northwind_order_details[[#This Row],[order_id]],northwind_orders[order_id],northwind_orders[ship_country])</f>
        <v>USA</v>
      </c>
      <c r="G933">
        <f>INDEX(northwind_orders[],MATCH(northwind_order_details[[#This Row],[order_id]], northwind_orders[order_id], 0), MATCH("employee_id", northwind_orders[#Headers], 0))</f>
        <v>1</v>
      </c>
      <c r="H933">
        <f>northwind_order_details[[#This Row],[unit_price]]*northwind_order_details[[#This Row],[quantity]]</f>
        <v>2170</v>
      </c>
      <c r="I933" s="1">
        <f>northwind_order_details[[#This Row],[purchase amount]]*northwind_order_details[[#This Row],[discount]]</f>
        <v>0</v>
      </c>
      <c r="J933" s="1">
        <f>northwind_order_details[[#This Row],[purchase amount]]-northwind_order_details[[#This Row],[discount amount]]</f>
        <v>2170</v>
      </c>
      <c r="K933" s="6" t="str">
        <f>IF(northwind_order_details[[#This Row],[discount amount]]&gt;0,"Yes","No")</f>
        <v>No</v>
      </c>
      <c r="L933" s="1" t="str">
        <f>IF(northwind_order_details[[#This Row],[Revenue]]&gt;1000,"High",IF(northwind_order_details[[#This Row],[Revenue]]&gt;300,"Medium","Low"))</f>
        <v>High</v>
      </c>
      <c r="M9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4" spans="1:13" x14ac:dyDescent="0.25">
      <c r="A934">
        <v>10612</v>
      </c>
      <c r="B934">
        <v>36</v>
      </c>
      <c r="C934" s="6" t="s">
        <v>20</v>
      </c>
      <c r="D934">
        <v>55</v>
      </c>
      <c r="E934" s="6" t="s">
        <v>6</v>
      </c>
      <c r="F934" t="str">
        <f>_xlfn.XLOOKUP(northwind_order_details[[#This Row],[order_id]],northwind_orders[order_id],northwind_orders[ship_country])</f>
        <v>USA</v>
      </c>
      <c r="G934">
        <f>INDEX(northwind_orders[],MATCH(northwind_order_details[[#This Row],[order_id]], northwind_orders[order_id], 0), MATCH("employee_id", northwind_orders[#Headers], 0))</f>
        <v>1</v>
      </c>
      <c r="H934">
        <f>northwind_order_details[[#This Row],[unit_price]]*northwind_order_details[[#This Row],[quantity]]</f>
        <v>1045</v>
      </c>
      <c r="I934" s="1">
        <f>northwind_order_details[[#This Row],[purchase amount]]*northwind_order_details[[#This Row],[discount]]</f>
        <v>0</v>
      </c>
      <c r="J934" s="1">
        <f>northwind_order_details[[#This Row],[purchase amount]]-northwind_order_details[[#This Row],[discount amount]]</f>
        <v>1045</v>
      </c>
      <c r="K934" s="6" t="str">
        <f>IF(northwind_order_details[[#This Row],[discount amount]]&gt;0,"Yes","No")</f>
        <v>No</v>
      </c>
      <c r="L934" s="1" t="str">
        <f>IF(northwind_order_details[[#This Row],[Revenue]]&gt;1000,"High",IF(northwind_order_details[[#This Row],[Revenue]]&gt;300,"Medium","Low"))</f>
        <v>High</v>
      </c>
      <c r="M9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5" spans="1:13" x14ac:dyDescent="0.25">
      <c r="A935">
        <v>10612</v>
      </c>
      <c r="B935">
        <v>49</v>
      </c>
      <c r="C935" s="6" t="s">
        <v>17</v>
      </c>
      <c r="D935">
        <v>18</v>
      </c>
      <c r="E935" s="6" t="s">
        <v>6</v>
      </c>
      <c r="F935" t="str">
        <f>_xlfn.XLOOKUP(northwind_order_details[[#This Row],[order_id]],northwind_orders[order_id],northwind_orders[ship_country])</f>
        <v>USA</v>
      </c>
      <c r="G935">
        <f>INDEX(northwind_orders[],MATCH(northwind_order_details[[#This Row],[order_id]], northwind_orders[order_id], 0), MATCH("employee_id", northwind_orders[#Headers], 0))</f>
        <v>1</v>
      </c>
      <c r="H935">
        <f>northwind_order_details[[#This Row],[unit_price]]*northwind_order_details[[#This Row],[quantity]]</f>
        <v>360</v>
      </c>
      <c r="I935" s="1">
        <f>northwind_order_details[[#This Row],[purchase amount]]*northwind_order_details[[#This Row],[discount]]</f>
        <v>0</v>
      </c>
      <c r="J935" s="1">
        <f>northwind_order_details[[#This Row],[purchase amount]]-northwind_order_details[[#This Row],[discount amount]]</f>
        <v>360</v>
      </c>
      <c r="K935" s="6" t="str">
        <f>IF(northwind_order_details[[#This Row],[discount amount]]&gt;0,"Yes","No")</f>
        <v>No</v>
      </c>
      <c r="L935" s="1" t="str">
        <f>IF(northwind_order_details[[#This Row],[Revenue]]&gt;1000,"High",IF(northwind_order_details[[#This Row],[Revenue]]&gt;300,"Medium","Low"))</f>
        <v>Medium</v>
      </c>
      <c r="M9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6" spans="1:13" x14ac:dyDescent="0.25">
      <c r="A936">
        <v>10612</v>
      </c>
      <c r="B936">
        <v>60</v>
      </c>
      <c r="C936" s="6" t="s">
        <v>28</v>
      </c>
      <c r="D936">
        <v>40</v>
      </c>
      <c r="E936" s="6" t="s">
        <v>6</v>
      </c>
      <c r="F936" t="str">
        <f>_xlfn.XLOOKUP(northwind_order_details[[#This Row],[order_id]],northwind_orders[order_id],northwind_orders[ship_country])</f>
        <v>USA</v>
      </c>
      <c r="G936">
        <f>INDEX(northwind_orders[],MATCH(northwind_order_details[[#This Row],[order_id]], northwind_orders[order_id], 0), MATCH("employee_id", northwind_orders[#Headers], 0))</f>
        <v>1</v>
      </c>
      <c r="H936">
        <f>northwind_order_details[[#This Row],[unit_price]]*northwind_order_details[[#This Row],[quantity]]</f>
        <v>1360</v>
      </c>
      <c r="I936" s="1">
        <f>northwind_order_details[[#This Row],[purchase amount]]*northwind_order_details[[#This Row],[discount]]</f>
        <v>0</v>
      </c>
      <c r="J936" s="1">
        <f>northwind_order_details[[#This Row],[purchase amount]]-northwind_order_details[[#This Row],[discount amount]]</f>
        <v>1360</v>
      </c>
      <c r="K936" s="6" t="str">
        <f>IF(northwind_order_details[[#This Row],[discount amount]]&gt;0,"Yes","No")</f>
        <v>No</v>
      </c>
      <c r="L936" s="1" t="str">
        <f>IF(northwind_order_details[[#This Row],[Revenue]]&gt;1000,"High",IF(northwind_order_details[[#This Row],[Revenue]]&gt;300,"Medium","Low"))</f>
        <v>High</v>
      </c>
      <c r="M9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7" spans="1:13" x14ac:dyDescent="0.25">
      <c r="A937">
        <v>10612</v>
      </c>
      <c r="B937">
        <v>76</v>
      </c>
      <c r="C937" s="6" t="s">
        <v>24</v>
      </c>
      <c r="D937">
        <v>80</v>
      </c>
      <c r="E937" s="6" t="s">
        <v>6</v>
      </c>
      <c r="F937" t="str">
        <f>_xlfn.XLOOKUP(northwind_order_details[[#This Row],[order_id]],northwind_orders[order_id],northwind_orders[ship_country])</f>
        <v>USA</v>
      </c>
      <c r="G937">
        <f>INDEX(northwind_orders[],MATCH(northwind_order_details[[#This Row],[order_id]], northwind_orders[order_id], 0), MATCH("employee_id", northwind_orders[#Headers], 0))</f>
        <v>1</v>
      </c>
      <c r="H937">
        <f>northwind_order_details[[#This Row],[unit_price]]*northwind_order_details[[#This Row],[quantity]]</f>
        <v>1440</v>
      </c>
      <c r="I937" s="1">
        <f>northwind_order_details[[#This Row],[purchase amount]]*northwind_order_details[[#This Row],[discount]]</f>
        <v>0</v>
      </c>
      <c r="J937" s="1">
        <f>northwind_order_details[[#This Row],[purchase amount]]-northwind_order_details[[#This Row],[discount amount]]</f>
        <v>1440</v>
      </c>
      <c r="K937" s="6" t="str">
        <f>IF(northwind_order_details[[#This Row],[discount amount]]&gt;0,"Yes","No")</f>
        <v>No</v>
      </c>
      <c r="L937" s="1" t="str">
        <f>IF(northwind_order_details[[#This Row],[Revenue]]&gt;1000,"High",IF(northwind_order_details[[#This Row],[Revenue]]&gt;300,"Medium","Low"))</f>
        <v>High</v>
      </c>
      <c r="M9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8" spans="1:13" x14ac:dyDescent="0.25">
      <c r="A938">
        <v>10613</v>
      </c>
      <c r="B938">
        <v>13</v>
      </c>
      <c r="C938" s="6" t="s">
        <v>23</v>
      </c>
      <c r="D938">
        <v>8</v>
      </c>
      <c r="E938" s="6">
        <v>0.1</v>
      </c>
      <c r="F938" t="str">
        <f>_xlfn.XLOOKUP(northwind_order_details[[#This Row],[order_id]],northwind_orders[order_id],northwind_orders[ship_country])</f>
        <v>Venezuela</v>
      </c>
      <c r="G938">
        <f>INDEX(northwind_orders[],MATCH(northwind_order_details[[#This Row],[order_id]], northwind_orders[order_id], 0), MATCH("employee_id", northwind_orders[#Headers], 0))</f>
        <v>4</v>
      </c>
      <c r="H938">
        <f>northwind_order_details[[#This Row],[unit_price]]*northwind_order_details[[#This Row],[quantity]]</f>
        <v>48</v>
      </c>
      <c r="I938" s="1">
        <f>northwind_order_details[[#This Row],[purchase amount]]*northwind_order_details[[#This Row],[discount]]</f>
        <v>4.8000000000000007</v>
      </c>
      <c r="J938" s="1">
        <f>northwind_order_details[[#This Row],[purchase amount]]-northwind_order_details[[#This Row],[discount amount]]</f>
        <v>43.2</v>
      </c>
      <c r="K938" s="6" t="str">
        <f>IF(northwind_order_details[[#This Row],[discount amount]]&gt;0,"Yes","No")</f>
        <v>Yes</v>
      </c>
      <c r="L938" s="1" t="str">
        <f>IF(northwind_order_details[[#This Row],[Revenue]]&gt;1000,"High",IF(northwind_order_details[[#This Row],[Revenue]]&gt;300,"Medium","Low"))</f>
        <v>Low</v>
      </c>
      <c r="M9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39" spans="1:13" x14ac:dyDescent="0.25">
      <c r="A939">
        <v>10613</v>
      </c>
      <c r="B939">
        <v>75</v>
      </c>
      <c r="C939" s="6">
        <v>7.75</v>
      </c>
      <c r="D939">
        <v>40</v>
      </c>
      <c r="E939" s="6" t="s">
        <v>6</v>
      </c>
      <c r="F939" t="str">
        <f>_xlfn.XLOOKUP(northwind_order_details[[#This Row],[order_id]],northwind_orders[order_id],northwind_orders[ship_country])</f>
        <v>Venezuela</v>
      </c>
      <c r="G939">
        <f>INDEX(northwind_orders[],MATCH(northwind_order_details[[#This Row],[order_id]], northwind_orders[order_id], 0), MATCH("employee_id", northwind_orders[#Headers], 0))</f>
        <v>4</v>
      </c>
      <c r="H939">
        <f>northwind_order_details[[#This Row],[unit_price]]*northwind_order_details[[#This Row],[quantity]]</f>
        <v>310</v>
      </c>
      <c r="I939" s="1">
        <f>northwind_order_details[[#This Row],[purchase amount]]*northwind_order_details[[#This Row],[discount]]</f>
        <v>0</v>
      </c>
      <c r="J939" s="1">
        <f>northwind_order_details[[#This Row],[purchase amount]]-northwind_order_details[[#This Row],[discount amount]]</f>
        <v>310</v>
      </c>
      <c r="K939" s="6" t="str">
        <f>IF(northwind_order_details[[#This Row],[discount amount]]&gt;0,"Yes","No")</f>
        <v>No</v>
      </c>
      <c r="L939" s="1" t="str">
        <f>IF(northwind_order_details[[#This Row],[Revenue]]&gt;1000,"High",IF(northwind_order_details[[#This Row],[Revenue]]&gt;300,"Medium","Low"))</f>
        <v>Medium</v>
      </c>
      <c r="M9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40" spans="1:13" x14ac:dyDescent="0.25">
      <c r="A940">
        <v>10614</v>
      </c>
      <c r="B940">
        <v>11</v>
      </c>
      <c r="C940" s="6" t="s">
        <v>37</v>
      </c>
      <c r="D940">
        <v>14</v>
      </c>
      <c r="E940" s="6" t="s">
        <v>6</v>
      </c>
      <c r="F940" t="str">
        <f>_xlfn.XLOOKUP(northwind_order_details[[#This Row],[order_id]],northwind_orders[order_id],northwind_orders[ship_country])</f>
        <v>Germany</v>
      </c>
      <c r="G940">
        <f>INDEX(northwind_orders[],MATCH(northwind_order_details[[#This Row],[order_id]], northwind_orders[order_id], 0), MATCH("employee_id", northwind_orders[#Headers], 0))</f>
        <v>8</v>
      </c>
      <c r="H940">
        <f>northwind_order_details[[#This Row],[unit_price]]*northwind_order_details[[#This Row],[quantity]]</f>
        <v>294</v>
      </c>
      <c r="I940" s="1">
        <f>northwind_order_details[[#This Row],[purchase amount]]*northwind_order_details[[#This Row],[discount]]</f>
        <v>0</v>
      </c>
      <c r="J940" s="1">
        <f>northwind_order_details[[#This Row],[purchase amount]]-northwind_order_details[[#This Row],[discount amount]]</f>
        <v>294</v>
      </c>
      <c r="K940" s="6" t="str">
        <f>IF(northwind_order_details[[#This Row],[discount amount]]&gt;0,"Yes","No")</f>
        <v>No</v>
      </c>
      <c r="L940" s="1" t="str">
        <f>IF(northwind_order_details[[#This Row],[Revenue]]&gt;1000,"High",IF(northwind_order_details[[#This Row],[Revenue]]&gt;300,"Medium","Low"))</f>
        <v>Low</v>
      </c>
      <c r="M9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1" spans="1:13" x14ac:dyDescent="0.25">
      <c r="A941">
        <v>10614</v>
      </c>
      <c r="B941">
        <v>21</v>
      </c>
      <c r="C941" s="6" t="s">
        <v>8</v>
      </c>
      <c r="D941">
        <v>8</v>
      </c>
      <c r="E941" s="6" t="s">
        <v>6</v>
      </c>
      <c r="F941" t="str">
        <f>_xlfn.XLOOKUP(northwind_order_details[[#This Row],[order_id]],northwind_orders[order_id],northwind_orders[ship_country])</f>
        <v>Germany</v>
      </c>
      <c r="G941">
        <f>INDEX(northwind_orders[],MATCH(northwind_order_details[[#This Row],[order_id]], northwind_orders[order_id], 0), MATCH("employee_id", northwind_orders[#Headers], 0))</f>
        <v>8</v>
      </c>
      <c r="H941">
        <f>northwind_order_details[[#This Row],[unit_price]]*northwind_order_details[[#This Row],[quantity]]</f>
        <v>80</v>
      </c>
      <c r="I941" s="1">
        <f>northwind_order_details[[#This Row],[purchase amount]]*northwind_order_details[[#This Row],[discount]]</f>
        <v>0</v>
      </c>
      <c r="J941" s="1">
        <f>northwind_order_details[[#This Row],[purchase amount]]-northwind_order_details[[#This Row],[discount amount]]</f>
        <v>80</v>
      </c>
      <c r="K941" s="6" t="str">
        <f>IF(northwind_order_details[[#This Row],[discount amount]]&gt;0,"Yes","No")</f>
        <v>No</v>
      </c>
      <c r="L941" s="1" t="str">
        <f>IF(northwind_order_details[[#This Row],[Revenue]]&gt;1000,"High",IF(northwind_order_details[[#This Row],[Revenue]]&gt;300,"Medium","Low"))</f>
        <v>Low</v>
      </c>
      <c r="M9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2" spans="1:13" x14ac:dyDescent="0.25">
      <c r="A942">
        <v>10614</v>
      </c>
      <c r="B942">
        <v>39</v>
      </c>
      <c r="C942" s="6" t="s">
        <v>24</v>
      </c>
      <c r="D942">
        <v>5</v>
      </c>
      <c r="E942" s="6" t="s">
        <v>6</v>
      </c>
      <c r="F942" t="str">
        <f>_xlfn.XLOOKUP(northwind_order_details[[#This Row],[order_id]],northwind_orders[order_id],northwind_orders[ship_country])</f>
        <v>Germany</v>
      </c>
      <c r="G942">
        <f>INDEX(northwind_orders[],MATCH(northwind_order_details[[#This Row],[order_id]], northwind_orders[order_id], 0), MATCH("employee_id", northwind_orders[#Headers], 0))</f>
        <v>8</v>
      </c>
      <c r="H942">
        <f>northwind_order_details[[#This Row],[unit_price]]*northwind_order_details[[#This Row],[quantity]]</f>
        <v>90</v>
      </c>
      <c r="I942" s="1">
        <f>northwind_order_details[[#This Row],[purchase amount]]*northwind_order_details[[#This Row],[discount]]</f>
        <v>0</v>
      </c>
      <c r="J942" s="1">
        <f>northwind_order_details[[#This Row],[purchase amount]]-northwind_order_details[[#This Row],[discount amount]]</f>
        <v>90</v>
      </c>
      <c r="K942" s="6" t="str">
        <f>IF(northwind_order_details[[#This Row],[discount amount]]&gt;0,"Yes","No")</f>
        <v>No</v>
      </c>
      <c r="L942" s="1" t="str">
        <f>IF(northwind_order_details[[#This Row],[Revenue]]&gt;1000,"High",IF(northwind_order_details[[#This Row],[Revenue]]&gt;300,"Medium","Low"))</f>
        <v>Low</v>
      </c>
      <c r="M9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3" spans="1:13" x14ac:dyDescent="0.25">
      <c r="A943">
        <v>10615</v>
      </c>
      <c r="B943">
        <v>55</v>
      </c>
      <c r="C943" s="6" t="s">
        <v>14</v>
      </c>
      <c r="D943">
        <v>5</v>
      </c>
      <c r="E943" s="6" t="s">
        <v>6</v>
      </c>
      <c r="F943" t="str">
        <f>_xlfn.XLOOKUP(northwind_order_details[[#This Row],[order_id]],northwind_orders[order_id],northwind_orders[ship_country])</f>
        <v>Finland</v>
      </c>
      <c r="G943">
        <f>INDEX(northwind_orders[],MATCH(northwind_order_details[[#This Row],[order_id]], northwind_orders[order_id], 0), MATCH("employee_id", northwind_orders[#Headers], 0))</f>
        <v>2</v>
      </c>
      <c r="H943">
        <f>northwind_order_details[[#This Row],[unit_price]]*northwind_order_details[[#This Row],[quantity]]</f>
        <v>120</v>
      </c>
      <c r="I943" s="1">
        <f>northwind_order_details[[#This Row],[purchase amount]]*northwind_order_details[[#This Row],[discount]]</f>
        <v>0</v>
      </c>
      <c r="J943" s="1">
        <f>northwind_order_details[[#This Row],[purchase amount]]-northwind_order_details[[#This Row],[discount amount]]</f>
        <v>120</v>
      </c>
      <c r="K943" s="6" t="str">
        <f>IF(northwind_order_details[[#This Row],[discount amount]]&gt;0,"Yes","No")</f>
        <v>No</v>
      </c>
      <c r="L943" s="1" t="str">
        <f>IF(northwind_order_details[[#This Row],[Revenue]]&gt;1000,"High",IF(northwind_order_details[[#This Row],[Revenue]]&gt;300,"Medium","Low"))</f>
        <v>Low</v>
      </c>
      <c r="M9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4" spans="1:13" x14ac:dyDescent="0.25">
      <c r="A944">
        <v>10616</v>
      </c>
      <c r="B944">
        <v>38</v>
      </c>
      <c r="C944" s="6">
        <v>263.5</v>
      </c>
      <c r="D944">
        <v>15</v>
      </c>
      <c r="E944" s="6">
        <v>0.05</v>
      </c>
      <c r="F944" t="str">
        <f>_xlfn.XLOOKUP(northwind_order_details[[#This Row],[order_id]],northwind_orders[order_id],northwind_orders[ship_country])</f>
        <v>USA</v>
      </c>
      <c r="G944">
        <f>INDEX(northwind_orders[],MATCH(northwind_order_details[[#This Row],[order_id]], northwind_orders[order_id], 0), MATCH("employee_id", northwind_orders[#Headers], 0))</f>
        <v>1</v>
      </c>
      <c r="H944">
        <f>northwind_order_details[[#This Row],[unit_price]]*northwind_order_details[[#This Row],[quantity]]</f>
        <v>3952.5</v>
      </c>
      <c r="I944" s="1">
        <f>northwind_order_details[[#This Row],[purchase amount]]*northwind_order_details[[#This Row],[discount]]</f>
        <v>197.625</v>
      </c>
      <c r="J944" s="1">
        <f>northwind_order_details[[#This Row],[purchase amount]]-northwind_order_details[[#This Row],[discount amount]]</f>
        <v>3754.875</v>
      </c>
      <c r="K944" s="6" t="str">
        <f>IF(northwind_order_details[[#This Row],[discount amount]]&gt;0,"Yes","No")</f>
        <v>Yes</v>
      </c>
      <c r="L944" s="1" t="str">
        <f>IF(northwind_order_details[[#This Row],[Revenue]]&gt;1000,"High",IF(northwind_order_details[[#This Row],[Revenue]]&gt;300,"Medium","Low"))</f>
        <v>High</v>
      </c>
      <c r="M9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45" spans="1:13" x14ac:dyDescent="0.25">
      <c r="A945">
        <v>10616</v>
      </c>
      <c r="B945">
        <v>56</v>
      </c>
      <c r="C945" s="6" t="s">
        <v>30</v>
      </c>
      <c r="D945">
        <v>14</v>
      </c>
      <c r="E945" s="6" t="s">
        <v>6</v>
      </c>
      <c r="F945" t="str">
        <f>_xlfn.XLOOKUP(northwind_order_details[[#This Row],[order_id]],northwind_orders[order_id],northwind_orders[ship_country])</f>
        <v>USA</v>
      </c>
      <c r="G945">
        <f>INDEX(northwind_orders[],MATCH(northwind_order_details[[#This Row],[order_id]], northwind_orders[order_id], 0), MATCH("employee_id", northwind_orders[#Headers], 0))</f>
        <v>1</v>
      </c>
      <c r="H945">
        <f>northwind_order_details[[#This Row],[unit_price]]*northwind_order_details[[#This Row],[quantity]]</f>
        <v>532</v>
      </c>
      <c r="I945" s="1">
        <f>northwind_order_details[[#This Row],[purchase amount]]*northwind_order_details[[#This Row],[discount]]</f>
        <v>0</v>
      </c>
      <c r="J945" s="1">
        <f>northwind_order_details[[#This Row],[purchase amount]]-northwind_order_details[[#This Row],[discount amount]]</f>
        <v>532</v>
      </c>
      <c r="K945" s="6" t="str">
        <f>IF(northwind_order_details[[#This Row],[discount amount]]&gt;0,"Yes","No")</f>
        <v>No</v>
      </c>
      <c r="L945" s="1" t="str">
        <f>IF(northwind_order_details[[#This Row],[Revenue]]&gt;1000,"High",IF(northwind_order_details[[#This Row],[Revenue]]&gt;300,"Medium","Low"))</f>
        <v>Medium</v>
      </c>
      <c r="M9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6" spans="1:13" x14ac:dyDescent="0.25">
      <c r="A946">
        <v>10616</v>
      </c>
      <c r="B946">
        <v>70</v>
      </c>
      <c r="C946" s="6" t="s">
        <v>21</v>
      </c>
      <c r="D946">
        <v>15</v>
      </c>
      <c r="E946" s="6">
        <v>0.05</v>
      </c>
      <c r="F946" t="str">
        <f>_xlfn.XLOOKUP(northwind_order_details[[#This Row],[order_id]],northwind_orders[order_id],northwind_orders[ship_country])</f>
        <v>USA</v>
      </c>
      <c r="G946">
        <f>INDEX(northwind_orders[],MATCH(northwind_order_details[[#This Row],[order_id]], northwind_orders[order_id], 0), MATCH("employee_id", northwind_orders[#Headers], 0))</f>
        <v>1</v>
      </c>
      <c r="H946">
        <f>northwind_order_details[[#This Row],[unit_price]]*northwind_order_details[[#This Row],[quantity]]</f>
        <v>225</v>
      </c>
      <c r="I946" s="1">
        <f>northwind_order_details[[#This Row],[purchase amount]]*northwind_order_details[[#This Row],[discount]]</f>
        <v>11.25</v>
      </c>
      <c r="J946" s="1">
        <f>northwind_order_details[[#This Row],[purchase amount]]-northwind_order_details[[#This Row],[discount amount]]</f>
        <v>213.75</v>
      </c>
      <c r="K946" s="6" t="str">
        <f>IF(northwind_order_details[[#This Row],[discount amount]]&gt;0,"Yes","No")</f>
        <v>Yes</v>
      </c>
      <c r="L946" s="1" t="str">
        <f>IF(northwind_order_details[[#This Row],[Revenue]]&gt;1000,"High",IF(northwind_order_details[[#This Row],[Revenue]]&gt;300,"Medium","Low"))</f>
        <v>Low</v>
      </c>
      <c r="M9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7" spans="1:13" x14ac:dyDescent="0.25">
      <c r="A947">
        <v>10616</v>
      </c>
      <c r="B947">
        <v>71</v>
      </c>
      <c r="C947" s="6">
        <v>21.5</v>
      </c>
      <c r="D947">
        <v>15</v>
      </c>
      <c r="E947" s="6">
        <v>0.05</v>
      </c>
      <c r="F947" t="str">
        <f>_xlfn.XLOOKUP(northwind_order_details[[#This Row],[order_id]],northwind_orders[order_id],northwind_orders[ship_country])</f>
        <v>USA</v>
      </c>
      <c r="G947">
        <f>INDEX(northwind_orders[],MATCH(northwind_order_details[[#This Row],[order_id]], northwind_orders[order_id], 0), MATCH("employee_id", northwind_orders[#Headers], 0))</f>
        <v>1</v>
      </c>
      <c r="H947">
        <f>northwind_order_details[[#This Row],[unit_price]]*northwind_order_details[[#This Row],[quantity]]</f>
        <v>322.5</v>
      </c>
      <c r="I947" s="1">
        <f>northwind_order_details[[#This Row],[purchase amount]]*northwind_order_details[[#This Row],[discount]]</f>
        <v>16.125</v>
      </c>
      <c r="J947" s="1">
        <f>northwind_order_details[[#This Row],[purchase amount]]-northwind_order_details[[#This Row],[discount amount]]</f>
        <v>306.375</v>
      </c>
      <c r="K947" s="6" t="str">
        <f>IF(northwind_order_details[[#This Row],[discount amount]]&gt;0,"Yes","No")</f>
        <v>Yes</v>
      </c>
      <c r="L947" s="1" t="str">
        <f>IF(northwind_order_details[[#This Row],[Revenue]]&gt;1000,"High",IF(northwind_order_details[[#This Row],[Revenue]]&gt;300,"Medium","Low"))</f>
        <v>Medium</v>
      </c>
      <c r="M9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48" spans="1:13" x14ac:dyDescent="0.25">
      <c r="A948">
        <v>10617</v>
      </c>
      <c r="B948">
        <v>59</v>
      </c>
      <c r="C948" s="6" t="s">
        <v>33</v>
      </c>
      <c r="D948">
        <v>30</v>
      </c>
      <c r="E948" s="6">
        <v>0.15</v>
      </c>
      <c r="F948" t="str">
        <f>_xlfn.XLOOKUP(northwind_order_details[[#This Row],[order_id]],northwind_orders[order_id],northwind_orders[ship_country])</f>
        <v>USA</v>
      </c>
      <c r="G948">
        <f>INDEX(northwind_orders[],MATCH(northwind_order_details[[#This Row],[order_id]], northwind_orders[order_id], 0), MATCH("employee_id", northwind_orders[#Headers], 0))</f>
        <v>4</v>
      </c>
      <c r="H948">
        <f>northwind_order_details[[#This Row],[unit_price]]*northwind_order_details[[#This Row],[quantity]]</f>
        <v>1650</v>
      </c>
      <c r="I948" s="1">
        <f>northwind_order_details[[#This Row],[purchase amount]]*northwind_order_details[[#This Row],[discount]]</f>
        <v>247.5</v>
      </c>
      <c r="J948" s="1">
        <f>northwind_order_details[[#This Row],[purchase amount]]-northwind_order_details[[#This Row],[discount amount]]</f>
        <v>1402.5</v>
      </c>
      <c r="K948" s="6" t="str">
        <f>IF(northwind_order_details[[#This Row],[discount amount]]&gt;0,"Yes","No")</f>
        <v>Yes</v>
      </c>
      <c r="L948" s="1" t="str">
        <f>IF(northwind_order_details[[#This Row],[Revenue]]&gt;1000,"High",IF(northwind_order_details[[#This Row],[Revenue]]&gt;300,"Medium","Low"))</f>
        <v>High</v>
      </c>
      <c r="M9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49" spans="1:13" x14ac:dyDescent="0.25">
      <c r="A949">
        <v>10618</v>
      </c>
      <c r="B949">
        <v>6</v>
      </c>
      <c r="C949" s="6" t="s">
        <v>41</v>
      </c>
      <c r="D949">
        <v>70</v>
      </c>
      <c r="E949" s="6" t="s">
        <v>6</v>
      </c>
      <c r="F949" t="str">
        <f>_xlfn.XLOOKUP(northwind_order_details[[#This Row],[order_id]],northwind_orders[order_id],northwind_orders[ship_country])</f>
        <v>Canada</v>
      </c>
      <c r="G949">
        <f>INDEX(northwind_orders[],MATCH(northwind_order_details[[#This Row],[order_id]], northwind_orders[order_id], 0), MATCH("employee_id", northwind_orders[#Headers], 0))</f>
        <v>1</v>
      </c>
      <c r="H949">
        <f>northwind_order_details[[#This Row],[unit_price]]*northwind_order_details[[#This Row],[quantity]]</f>
        <v>1750</v>
      </c>
      <c r="I949" s="1">
        <f>northwind_order_details[[#This Row],[purchase amount]]*northwind_order_details[[#This Row],[discount]]</f>
        <v>0</v>
      </c>
      <c r="J949" s="1">
        <f>northwind_order_details[[#This Row],[purchase amount]]-northwind_order_details[[#This Row],[discount amount]]</f>
        <v>1750</v>
      </c>
      <c r="K949" s="6" t="str">
        <f>IF(northwind_order_details[[#This Row],[discount amount]]&gt;0,"Yes","No")</f>
        <v>No</v>
      </c>
      <c r="L949" s="1" t="str">
        <f>IF(northwind_order_details[[#This Row],[Revenue]]&gt;1000,"High",IF(northwind_order_details[[#This Row],[Revenue]]&gt;300,"Medium","Low"))</f>
        <v>High</v>
      </c>
      <c r="M9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0" spans="1:13" x14ac:dyDescent="0.25">
      <c r="A950">
        <v>10618</v>
      </c>
      <c r="B950">
        <v>56</v>
      </c>
      <c r="C950" s="6" t="s">
        <v>30</v>
      </c>
      <c r="D950">
        <v>20</v>
      </c>
      <c r="E950" s="6" t="s">
        <v>6</v>
      </c>
      <c r="F950" t="str">
        <f>_xlfn.XLOOKUP(northwind_order_details[[#This Row],[order_id]],northwind_orders[order_id],northwind_orders[ship_country])</f>
        <v>Canada</v>
      </c>
      <c r="G950">
        <f>INDEX(northwind_orders[],MATCH(northwind_order_details[[#This Row],[order_id]], northwind_orders[order_id], 0), MATCH("employee_id", northwind_orders[#Headers], 0))</f>
        <v>1</v>
      </c>
      <c r="H950">
        <f>northwind_order_details[[#This Row],[unit_price]]*northwind_order_details[[#This Row],[quantity]]</f>
        <v>760</v>
      </c>
      <c r="I950" s="1">
        <f>northwind_order_details[[#This Row],[purchase amount]]*northwind_order_details[[#This Row],[discount]]</f>
        <v>0</v>
      </c>
      <c r="J950" s="1">
        <f>northwind_order_details[[#This Row],[purchase amount]]-northwind_order_details[[#This Row],[discount amount]]</f>
        <v>760</v>
      </c>
      <c r="K950" s="6" t="str">
        <f>IF(northwind_order_details[[#This Row],[discount amount]]&gt;0,"Yes","No")</f>
        <v>No</v>
      </c>
      <c r="L950" s="1" t="str">
        <f>IF(northwind_order_details[[#This Row],[Revenue]]&gt;1000,"High",IF(northwind_order_details[[#This Row],[Revenue]]&gt;300,"Medium","Low"))</f>
        <v>Medium</v>
      </c>
      <c r="M9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1" spans="1:13" x14ac:dyDescent="0.25">
      <c r="A951">
        <v>10618</v>
      </c>
      <c r="B951">
        <v>68</v>
      </c>
      <c r="C951" s="6">
        <v>12.5</v>
      </c>
      <c r="D951">
        <v>15</v>
      </c>
      <c r="E951" s="6" t="s">
        <v>6</v>
      </c>
      <c r="F951" t="str">
        <f>_xlfn.XLOOKUP(northwind_order_details[[#This Row],[order_id]],northwind_orders[order_id],northwind_orders[ship_country])</f>
        <v>Canada</v>
      </c>
      <c r="G951">
        <f>INDEX(northwind_orders[],MATCH(northwind_order_details[[#This Row],[order_id]], northwind_orders[order_id], 0), MATCH("employee_id", northwind_orders[#Headers], 0))</f>
        <v>1</v>
      </c>
      <c r="H951">
        <f>northwind_order_details[[#This Row],[unit_price]]*northwind_order_details[[#This Row],[quantity]]</f>
        <v>187.5</v>
      </c>
      <c r="I951" s="1">
        <f>northwind_order_details[[#This Row],[purchase amount]]*northwind_order_details[[#This Row],[discount]]</f>
        <v>0</v>
      </c>
      <c r="J951" s="1">
        <f>northwind_order_details[[#This Row],[purchase amount]]-northwind_order_details[[#This Row],[discount amount]]</f>
        <v>187.5</v>
      </c>
      <c r="K951" s="6" t="str">
        <f>IF(northwind_order_details[[#This Row],[discount amount]]&gt;0,"Yes","No")</f>
        <v>No</v>
      </c>
      <c r="L951" s="1" t="str">
        <f>IF(northwind_order_details[[#This Row],[Revenue]]&gt;1000,"High",IF(northwind_order_details[[#This Row],[Revenue]]&gt;300,"Medium","Low"))</f>
        <v>Low</v>
      </c>
      <c r="M9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52" spans="1:13" x14ac:dyDescent="0.25">
      <c r="A952">
        <v>10619</v>
      </c>
      <c r="B952">
        <v>21</v>
      </c>
      <c r="C952" s="6" t="s">
        <v>8</v>
      </c>
      <c r="D952">
        <v>42</v>
      </c>
      <c r="E952" s="6" t="s">
        <v>6</v>
      </c>
      <c r="F952" t="str">
        <f>_xlfn.XLOOKUP(northwind_order_details[[#This Row],[order_id]],northwind_orders[order_id],northwind_orders[ship_country])</f>
        <v>Canada</v>
      </c>
      <c r="G952">
        <f>INDEX(northwind_orders[],MATCH(northwind_order_details[[#This Row],[order_id]], northwind_orders[order_id], 0), MATCH("employee_id", northwind_orders[#Headers], 0))</f>
        <v>3</v>
      </c>
      <c r="H952">
        <f>northwind_order_details[[#This Row],[unit_price]]*northwind_order_details[[#This Row],[quantity]]</f>
        <v>420</v>
      </c>
      <c r="I952" s="1">
        <f>northwind_order_details[[#This Row],[purchase amount]]*northwind_order_details[[#This Row],[discount]]</f>
        <v>0</v>
      </c>
      <c r="J952" s="1">
        <f>northwind_order_details[[#This Row],[purchase amount]]-northwind_order_details[[#This Row],[discount amount]]</f>
        <v>420</v>
      </c>
      <c r="K952" s="6" t="str">
        <f>IF(northwind_order_details[[#This Row],[discount amount]]&gt;0,"Yes","No")</f>
        <v>No</v>
      </c>
      <c r="L952" s="1" t="str">
        <f>IF(northwind_order_details[[#This Row],[Revenue]]&gt;1000,"High",IF(northwind_order_details[[#This Row],[Revenue]]&gt;300,"Medium","Low"))</f>
        <v>Medium</v>
      </c>
      <c r="M9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3" spans="1:13" x14ac:dyDescent="0.25">
      <c r="A953">
        <v>10619</v>
      </c>
      <c r="B953">
        <v>22</v>
      </c>
      <c r="C953" s="6" t="s">
        <v>37</v>
      </c>
      <c r="D953">
        <v>40</v>
      </c>
      <c r="E953" s="6" t="s">
        <v>6</v>
      </c>
      <c r="F953" t="str">
        <f>_xlfn.XLOOKUP(northwind_order_details[[#This Row],[order_id]],northwind_orders[order_id],northwind_orders[ship_country])</f>
        <v>Canada</v>
      </c>
      <c r="G953">
        <f>INDEX(northwind_orders[],MATCH(northwind_order_details[[#This Row],[order_id]], northwind_orders[order_id], 0), MATCH("employee_id", northwind_orders[#Headers], 0))</f>
        <v>3</v>
      </c>
      <c r="H953">
        <f>northwind_order_details[[#This Row],[unit_price]]*northwind_order_details[[#This Row],[quantity]]</f>
        <v>840</v>
      </c>
      <c r="I953" s="1">
        <f>northwind_order_details[[#This Row],[purchase amount]]*northwind_order_details[[#This Row],[discount]]</f>
        <v>0</v>
      </c>
      <c r="J953" s="1">
        <f>northwind_order_details[[#This Row],[purchase amount]]-northwind_order_details[[#This Row],[discount amount]]</f>
        <v>840</v>
      </c>
      <c r="K953" s="6" t="str">
        <f>IF(northwind_order_details[[#This Row],[discount amount]]&gt;0,"Yes","No")</f>
        <v>No</v>
      </c>
      <c r="L953" s="1" t="str">
        <f>IF(northwind_order_details[[#This Row],[Revenue]]&gt;1000,"High",IF(northwind_order_details[[#This Row],[Revenue]]&gt;300,"Medium","Low"))</f>
        <v>Medium</v>
      </c>
      <c r="M9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4" spans="1:13" x14ac:dyDescent="0.25">
      <c r="A954">
        <v>10620</v>
      </c>
      <c r="B954">
        <v>24</v>
      </c>
      <c r="C954" s="6">
        <v>4.5</v>
      </c>
      <c r="D954">
        <v>5</v>
      </c>
      <c r="E954" s="6" t="s">
        <v>6</v>
      </c>
      <c r="F954" t="str">
        <f>_xlfn.XLOOKUP(northwind_order_details[[#This Row],[order_id]],northwind_orders[order_id],northwind_orders[ship_country])</f>
        <v>Canada</v>
      </c>
      <c r="G954">
        <f>INDEX(northwind_orders[],MATCH(northwind_order_details[[#This Row],[order_id]], northwind_orders[order_id], 0), MATCH("employee_id", northwind_orders[#Headers], 0))</f>
        <v>2</v>
      </c>
      <c r="H954">
        <f>northwind_order_details[[#This Row],[unit_price]]*northwind_order_details[[#This Row],[quantity]]</f>
        <v>22.5</v>
      </c>
      <c r="I954" s="1">
        <f>northwind_order_details[[#This Row],[purchase amount]]*northwind_order_details[[#This Row],[discount]]</f>
        <v>0</v>
      </c>
      <c r="J954" s="1">
        <f>northwind_order_details[[#This Row],[purchase amount]]-northwind_order_details[[#This Row],[discount amount]]</f>
        <v>22.5</v>
      </c>
      <c r="K954" s="6" t="str">
        <f>IF(northwind_order_details[[#This Row],[discount amount]]&gt;0,"Yes","No")</f>
        <v>No</v>
      </c>
      <c r="L954" s="1" t="str">
        <f>IF(northwind_order_details[[#This Row],[Revenue]]&gt;1000,"High",IF(northwind_order_details[[#This Row],[Revenue]]&gt;300,"Medium","Low"))</f>
        <v>Low</v>
      </c>
      <c r="M95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55" spans="1:13" x14ac:dyDescent="0.25">
      <c r="A955">
        <v>10620</v>
      </c>
      <c r="B955">
        <v>52</v>
      </c>
      <c r="C955" s="6" t="s">
        <v>32</v>
      </c>
      <c r="D955">
        <v>5</v>
      </c>
      <c r="E955" s="6" t="s">
        <v>6</v>
      </c>
      <c r="F955" t="str">
        <f>_xlfn.XLOOKUP(northwind_order_details[[#This Row],[order_id]],northwind_orders[order_id],northwind_orders[ship_country])</f>
        <v>Canada</v>
      </c>
      <c r="G955">
        <f>INDEX(northwind_orders[],MATCH(northwind_order_details[[#This Row],[order_id]], northwind_orders[order_id], 0), MATCH("employee_id", northwind_orders[#Headers], 0))</f>
        <v>2</v>
      </c>
      <c r="H955">
        <f>northwind_order_details[[#This Row],[unit_price]]*northwind_order_details[[#This Row],[quantity]]</f>
        <v>35</v>
      </c>
      <c r="I955" s="1">
        <f>northwind_order_details[[#This Row],[purchase amount]]*northwind_order_details[[#This Row],[discount]]</f>
        <v>0</v>
      </c>
      <c r="J955" s="1">
        <f>northwind_order_details[[#This Row],[purchase amount]]-northwind_order_details[[#This Row],[discount amount]]</f>
        <v>35</v>
      </c>
      <c r="K955" s="6" t="str">
        <f>IF(northwind_order_details[[#This Row],[discount amount]]&gt;0,"Yes","No")</f>
        <v>No</v>
      </c>
      <c r="L955" s="1" t="str">
        <f>IF(northwind_order_details[[#This Row],[Revenue]]&gt;1000,"High",IF(northwind_order_details[[#This Row],[Revenue]]&gt;300,"Medium","Low"))</f>
        <v>Low</v>
      </c>
      <c r="M9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6" spans="1:13" x14ac:dyDescent="0.25">
      <c r="A956">
        <v>10621</v>
      </c>
      <c r="B956">
        <v>19</v>
      </c>
      <c r="C956" s="6">
        <v>9.1999999999999993</v>
      </c>
      <c r="D956">
        <v>5</v>
      </c>
      <c r="E956" s="6" t="s">
        <v>6</v>
      </c>
      <c r="F956" t="str">
        <f>_xlfn.XLOOKUP(northwind_order_details[[#This Row],[order_id]],northwind_orders[order_id],northwind_orders[ship_country])</f>
        <v>UK</v>
      </c>
      <c r="G956">
        <f>INDEX(northwind_orders[],MATCH(northwind_order_details[[#This Row],[order_id]], northwind_orders[order_id], 0), MATCH("employee_id", northwind_orders[#Headers], 0))</f>
        <v>4</v>
      </c>
      <c r="H956">
        <f>northwind_order_details[[#This Row],[unit_price]]*northwind_order_details[[#This Row],[quantity]]</f>
        <v>46</v>
      </c>
      <c r="I956" s="1">
        <f>northwind_order_details[[#This Row],[purchase amount]]*northwind_order_details[[#This Row],[discount]]</f>
        <v>0</v>
      </c>
      <c r="J956" s="1">
        <f>northwind_order_details[[#This Row],[purchase amount]]-northwind_order_details[[#This Row],[discount amount]]</f>
        <v>46</v>
      </c>
      <c r="K956" s="6" t="str">
        <f>IF(northwind_order_details[[#This Row],[discount amount]]&gt;0,"Yes","No")</f>
        <v>No</v>
      </c>
      <c r="L956" s="1" t="str">
        <f>IF(northwind_order_details[[#This Row],[Revenue]]&gt;1000,"High",IF(northwind_order_details[[#This Row],[Revenue]]&gt;300,"Medium","Low"))</f>
        <v>Low</v>
      </c>
      <c r="M9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57" spans="1:13" x14ac:dyDescent="0.25">
      <c r="A957">
        <v>10621</v>
      </c>
      <c r="B957">
        <v>23</v>
      </c>
      <c r="C957" s="6" t="s">
        <v>40</v>
      </c>
      <c r="D957">
        <v>10</v>
      </c>
      <c r="E957" s="6" t="s">
        <v>6</v>
      </c>
      <c r="F957" t="str">
        <f>_xlfn.XLOOKUP(northwind_order_details[[#This Row],[order_id]],northwind_orders[order_id],northwind_orders[ship_country])</f>
        <v>UK</v>
      </c>
      <c r="G957">
        <f>INDEX(northwind_orders[],MATCH(northwind_order_details[[#This Row],[order_id]], northwind_orders[order_id], 0), MATCH("employee_id", northwind_orders[#Headers], 0))</f>
        <v>4</v>
      </c>
      <c r="H957">
        <f>northwind_order_details[[#This Row],[unit_price]]*northwind_order_details[[#This Row],[quantity]]</f>
        <v>90</v>
      </c>
      <c r="I957" s="1">
        <f>northwind_order_details[[#This Row],[purchase amount]]*northwind_order_details[[#This Row],[discount]]</f>
        <v>0</v>
      </c>
      <c r="J957" s="1">
        <f>northwind_order_details[[#This Row],[purchase amount]]-northwind_order_details[[#This Row],[discount amount]]</f>
        <v>90</v>
      </c>
      <c r="K957" s="6" t="str">
        <f>IF(northwind_order_details[[#This Row],[discount amount]]&gt;0,"Yes","No")</f>
        <v>No</v>
      </c>
      <c r="L957" s="1" t="str">
        <f>IF(northwind_order_details[[#This Row],[Revenue]]&gt;1000,"High",IF(northwind_order_details[[#This Row],[Revenue]]&gt;300,"Medium","Low"))</f>
        <v>Low</v>
      </c>
      <c r="M9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8" spans="1:13" x14ac:dyDescent="0.25">
      <c r="A958">
        <v>10621</v>
      </c>
      <c r="B958">
        <v>70</v>
      </c>
      <c r="C958" s="6" t="s">
        <v>21</v>
      </c>
      <c r="D958">
        <v>20</v>
      </c>
      <c r="E958" s="6" t="s">
        <v>6</v>
      </c>
      <c r="F958" t="str">
        <f>_xlfn.XLOOKUP(northwind_order_details[[#This Row],[order_id]],northwind_orders[order_id],northwind_orders[ship_country])</f>
        <v>UK</v>
      </c>
      <c r="G958">
        <f>INDEX(northwind_orders[],MATCH(northwind_order_details[[#This Row],[order_id]], northwind_orders[order_id], 0), MATCH("employee_id", northwind_orders[#Headers], 0))</f>
        <v>4</v>
      </c>
      <c r="H958">
        <f>northwind_order_details[[#This Row],[unit_price]]*northwind_order_details[[#This Row],[quantity]]</f>
        <v>300</v>
      </c>
      <c r="I958" s="1">
        <f>northwind_order_details[[#This Row],[purchase amount]]*northwind_order_details[[#This Row],[discount]]</f>
        <v>0</v>
      </c>
      <c r="J958" s="1">
        <f>northwind_order_details[[#This Row],[purchase amount]]-northwind_order_details[[#This Row],[discount amount]]</f>
        <v>300</v>
      </c>
      <c r="K958" s="6" t="str">
        <f>IF(northwind_order_details[[#This Row],[discount amount]]&gt;0,"Yes","No")</f>
        <v>No</v>
      </c>
      <c r="L958" s="1" t="str">
        <f>IF(northwind_order_details[[#This Row],[Revenue]]&gt;1000,"High",IF(northwind_order_details[[#This Row],[Revenue]]&gt;300,"Medium","Low"))</f>
        <v>Low</v>
      </c>
      <c r="M9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59" spans="1:13" x14ac:dyDescent="0.25">
      <c r="A959">
        <v>10621</v>
      </c>
      <c r="B959">
        <v>71</v>
      </c>
      <c r="C959" s="6">
        <v>21.5</v>
      </c>
      <c r="D959">
        <v>15</v>
      </c>
      <c r="E959" s="6" t="s">
        <v>6</v>
      </c>
      <c r="F959" t="str">
        <f>_xlfn.XLOOKUP(northwind_order_details[[#This Row],[order_id]],northwind_orders[order_id],northwind_orders[ship_country])</f>
        <v>UK</v>
      </c>
      <c r="G959">
        <f>INDEX(northwind_orders[],MATCH(northwind_order_details[[#This Row],[order_id]], northwind_orders[order_id], 0), MATCH("employee_id", northwind_orders[#Headers], 0))</f>
        <v>4</v>
      </c>
      <c r="H959">
        <f>northwind_order_details[[#This Row],[unit_price]]*northwind_order_details[[#This Row],[quantity]]</f>
        <v>322.5</v>
      </c>
      <c r="I959" s="1">
        <f>northwind_order_details[[#This Row],[purchase amount]]*northwind_order_details[[#This Row],[discount]]</f>
        <v>0</v>
      </c>
      <c r="J959" s="1">
        <f>northwind_order_details[[#This Row],[purchase amount]]-northwind_order_details[[#This Row],[discount amount]]</f>
        <v>322.5</v>
      </c>
      <c r="K959" s="6" t="str">
        <f>IF(northwind_order_details[[#This Row],[discount amount]]&gt;0,"Yes","No")</f>
        <v>No</v>
      </c>
      <c r="L959" s="1" t="str">
        <f>IF(northwind_order_details[[#This Row],[Revenue]]&gt;1000,"High",IF(northwind_order_details[[#This Row],[Revenue]]&gt;300,"Medium","Low"))</f>
        <v>Medium</v>
      </c>
      <c r="M9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0" spans="1:13" x14ac:dyDescent="0.25">
      <c r="A960">
        <v>10622</v>
      </c>
      <c r="B960">
        <v>2</v>
      </c>
      <c r="C960" s="6" t="s">
        <v>20</v>
      </c>
      <c r="D960">
        <v>20</v>
      </c>
      <c r="E960" s="6" t="s">
        <v>6</v>
      </c>
      <c r="F960" t="str">
        <f>_xlfn.XLOOKUP(northwind_order_details[[#This Row],[order_id]],northwind_orders[order_id],northwind_orders[ship_country])</f>
        <v>Brazil</v>
      </c>
      <c r="G960">
        <f>INDEX(northwind_orders[],MATCH(northwind_order_details[[#This Row],[order_id]], northwind_orders[order_id], 0), MATCH("employee_id", northwind_orders[#Headers], 0))</f>
        <v>4</v>
      </c>
      <c r="H960">
        <f>northwind_order_details[[#This Row],[unit_price]]*northwind_order_details[[#This Row],[quantity]]</f>
        <v>380</v>
      </c>
      <c r="I960" s="1">
        <f>northwind_order_details[[#This Row],[purchase amount]]*northwind_order_details[[#This Row],[discount]]</f>
        <v>0</v>
      </c>
      <c r="J960" s="1">
        <f>northwind_order_details[[#This Row],[purchase amount]]-northwind_order_details[[#This Row],[discount amount]]</f>
        <v>380</v>
      </c>
      <c r="K960" s="6" t="str">
        <f>IF(northwind_order_details[[#This Row],[discount amount]]&gt;0,"Yes","No")</f>
        <v>No</v>
      </c>
      <c r="L960" s="1" t="str">
        <f>IF(northwind_order_details[[#This Row],[Revenue]]&gt;1000,"High",IF(northwind_order_details[[#This Row],[Revenue]]&gt;300,"Medium","Low"))</f>
        <v>Medium</v>
      </c>
      <c r="M9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61" spans="1:13" x14ac:dyDescent="0.25">
      <c r="A961">
        <v>10622</v>
      </c>
      <c r="B961">
        <v>68</v>
      </c>
      <c r="C961" s="6">
        <v>12.5</v>
      </c>
      <c r="D961">
        <v>18</v>
      </c>
      <c r="E961" s="6">
        <v>0.2</v>
      </c>
      <c r="F961" t="str">
        <f>_xlfn.XLOOKUP(northwind_order_details[[#This Row],[order_id]],northwind_orders[order_id],northwind_orders[ship_country])</f>
        <v>Brazil</v>
      </c>
      <c r="G961">
        <f>INDEX(northwind_orders[],MATCH(northwind_order_details[[#This Row],[order_id]], northwind_orders[order_id], 0), MATCH("employee_id", northwind_orders[#Headers], 0))</f>
        <v>4</v>
      </c>
      <c r="H961">
        <f>northwind_order_details[[#This Row],[unit_price]]*northwind_order_details[[#This Row],[quantity]]</f>
        <v>225</v>
      </c>
      <c r="I961" s="1">
        <f>northwind_order_details[[#This Row],[purchase amount]]*northwind_order_details[[#This Row],[discount]]</f>
        <v>45</v>
      </c>
      <c r="J961" s="1">
        <f>northwind_order_details[[#This Row],[purchase amount]]-northwind_order_details[[#This Row],[discount amount]]</f>
        <v>180</v>
      </c>
      <c r="K961" s="6" t="str">
        <f>IF(northwind_order_details[[#This Row],[discount amount]]&gt;0,"Yes","No")</f>
        <v>Yes</v>
      </c>
      <c r="L961" s="1" t="str">
        <f>IF(northwind_order_details[[#This Row],[Revenue]]&gt;1000,"High",IF(northwind_order_details[[#This Row],[Revenue]]&gt;300,"Medium","Low"))</f>
        <v>Low</v>
      </c>
      <c r="M9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2" spans="1:13" x14ac:dyDescent="0.25">
      <c r="A962">
        <v>10623</v>
      </c>
      <c r="B962">
        <v>14</v>
      </c>
      <c r="C962" s="6">
        <v>23.25</v>
      </c>
      <c r="D962">
        <v>21</v>
      </c>
      <c r="E962" s="6" t="s">
        <v>6</v>
      </c>
      <c r="F962" t="str">
        <f>_xlfn.XLOOKUP(northwind_order_details[[#This Row],[order_id]],northwind_orders[order_id],northwind_orders[ship_country])</f>
        <v>Germany</v>
      </c>
      <c r="G962">
        <f>INDEX(northwind_orders[],MATCH(northwind_order_details[[#This Row],[order_id]], northwind_orders[order_id], 0), MATCH("employee_id", northwind_orders[#Headers], 0))</f>
        <v>8</v>
      </c>
      <c r="H962">
        <f>northwind_order_details[[#This Row],[unit_price]]*northwind_order_details[[#This Row],[quantity]]</f>
        <v>488.25</v>
      </c>
      <c r="I962" s="1">
        <f>northwind_order_details[[#This Row],[purchase amount]]*northwind_order_details[[#This Row],[discount]]</f>
        <v>0</v>
      </c>
      <c r="J962" s="1">
        <f>northwind_order_details[[#This Row],[purchase amount]]-northwind_order_details[[#This Row],[discount amount]]</f>
        <v>488.25</v>
      </c>
      <c r="K962" s="6" t="str">
        <f>IF(northwind_order_details[[#This Row],[discount amount]]&gt;0,"Yes","No")</f>
        <v>No</v>
      </c>
      <c r="L962" s="1" t="str">
        <f>IF(northwind_order_details[[#This Row],[Revenue]]&gt;1000,"High",IF(northwind_order_details[[#This Row],[Revenue]]&gt;300,"Medium","Low"))</f>
        <v>Medium</v>
      </c>
      <c r="M9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3" spans="1:13" x14ac:dyDescent="0.25">
      <c r="A963">
        <v>10623</v>
      </c>
      <c r="B963">
        <v>19</v>
      </c>
      <c r="C963" s="6">
        <v>9.1999999999999993</v>
      </c>
      <c r="D963">
        <v>15</v>
      </c>
      <c r="E963" s="6">
        <v>0.1</v>
      </c>
      <c r="F963" t="str">
        <f>_xlfn.XLOOKUP(northwind_order_details[[#This Row],[order_id]],northwind_orders[order_id],northwind_orders[ship_country])</f>
        <v>Germany</v>
      </c>
      <c r="G963">
        <f>INDEX(northwind_orders[],MATCH(northwind_order_details[[#This Row],[order_id]], northwind_orders[order_id], 0), MATCH("employee_id", northwind_orders[#Headers], 0))</f>
        <v>8</v>
      </c>
      <c r="H963">
        <f>northwind_order_details[[#This Row],[unit_price]]*northwind_order_details[[#This Row],[quantity]]</f>
        <v>138</v>
      </c>
      <c r="I963" s="1">
        <f>northwind_order_details[[#This Row],[purchase amount]]*northwind_order_details[[#This Row],[discount]]</f>
        <v>13.8</v>
      </c>
      <c r="J963" s="1">
        <f>northwind_order_details[[#This Row],[purchase amount]]-northwind_order_details[[#This Row],[discount amount]]</f>
        <v>124.2</v>
      </c>
      <c r="K963" s="6" t="str">
        <f>IF(northwind_order_details[[#This Row],[discount amount]]&gt;0,"Yes","No")</f>
        <v>Yes</v>
      </c>
      <c r="L963" s="1" t="str">
        <f>IF(northwind_order_details[[#This Row],[Revenue]]&gt;1000,"High",IF(northwind_order_details[[#This Row],[Revenue]]&gt;300,"Medium","Low"))</f>
        <v>Low</v>
      </c>
      <c r="M9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4" spans="1:13" x14ac:dyDescent="0.25">
      <c r="A964">
        <v>10623</v>
      </c>
      <c r="B964">
        <v>21</v>
      </c>
      <c r="C964" s="6" t="s">
        <v>8</v>
      </c>
      <c r="D964">
        <v>25</v>
      </c>
      <c r="E964" s="6">
        <v>0.1</v>
      </c>
      <c r="F964" t="str">
        <f>_xlfn.XLOOKUP(northwind_order_details[[#This Row],[order_id]],northwind_orders[order_id],northwind_orders[ship_country])</f>
        <v>Germany</v>
      </c>
      <c r="G964">
        <f>INDEX(northwind_orders[],MATCH(northwind_order_details[[#This Row],[order_id]], northwind_orders[order_id], 0), MATCH("employee_id", northwind_orders[#Headers], 0))</f>
        <v>8</v>
      </c>
      <c r="H964">
        <f>northwind_order_details[[#This Row],[unit_price]]*northwind_order_details[[#This Row],[quantity]]</f>
        <v>250</v>
      </c>
      <c r="I964" s="1">
        <f>northwind_order_details[[#This Row],[purchase amount]]*northwind_order_details[[#This Row],[discount]]</f>
        <v>25</v>
      </c>
      <c r="J964" s="1">
        <f>northwind_order_details[[#This Row],[purchase amount]]-northwind_order_details[[#This Row],[discount amount]]</f>
        <v>225</v>
      </c>
      <c r="K964" s="6" t="str">
        <f>IF(northwind_order_details[[#This Row],[discount amount]]&gt;0,"Yes","No")</f>
        <v>Yes</v>
      </c>
      <c r="L964" s="1" t="str">
        <f>IF(northwind_order_details[[#This Row],[Revenue]]&gt;1000,"High",IF(northwind_order_details[[#This Row],[Revenue]]&gt;300,"Medium","Low"))</f>
        <v>Low</v>
      </c>
      <c r="M9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65" spans="1:13" x14ac:dyDescent="0.25">
      <c r="A965">
        <v>10623</v>
      </c>
      <c r="B965">
        <v>24</v>
      </c>
      <c r="C965" s="6">
        <v>4.5</v>
      </c>
      <c r="D965">
        <v>3</v>
      </c>
      <c r="E965" s="6" t="s">
        <v>6</v>
      </c>
      <c r="F965" t="str">
        <f>_xlfn.XLOOKUP(northwind_order_details[[#This Row],[order_id]],northwind_orders[order_id],northwind_orders[ship_country])</f>
        <v>Germany</v>
      </c>
      <c r="G965">
        <f>INDEX(northwind_orders[],MATCH(northwind_order_details[[#This Row],[order_id]], northwind_orders[order_id], 0), MATCH("employee_id", northwind_orders[#Headers], 0))</f>
        <v>8</v>
      </c>
      <c r="H965">
        <f>northwind_order_details[[#This Row],[unit_price]]*northwind_order_details[[#This Row],[quantity]]</f>
        <v>13.5</v>
      </c>
      <c r="I965" s="1">
        <f>northwind_order_details[[#This Row],[purchase amount]]*northwind_order_details[[#This Row],[discount]]</f>
        <v>0</v>
      </c>
      <c r="J965" s="1">
        <f>northwind_order_details[[#This Row],[purchase amount]]-northwind_order_details[[#This Row],[discount amount]]</f>
        <v>13.5</v>
      </c>
      <c r="K965" s="6" t="str">
        <f>IF(northwind_order_details[[#This Row],[discount amount]]&gt;0,"Yes","No")</f>
        <v>No</v>
      </c>
      <c r="L965" s="1" t="str">
        <f>IF(northwind_order_details[[#This Row],[Revenue]]&gt;1000,"High",IF(northwind_order_details[[#This Row],[Revenue]]&gt;300,"Medium","Low"))</f>
        <v>Low</v>
      </c>
      <c r="M9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6" spans="1:13" x14ac:dyDescent="0.25">
      <c r="A966">
        <v>10623</v>
      </c>
      <c r="B966">
        <v>35</v>
      </c>
      <c r="C966" s="6" t="s">
        <v>24</v>
      </c>
      <c r="D966">
        <v>30</v>
      </c>
      <c r="E966" s="6">
        <v>0.1</v>
      </c>
      <c r="F966" t="str">
        <f>_xlfn.XLOOKUP(northwind_order_details[[#This Row],[order_id]],northwind_orders[order_id],northwind_orders[ship_country])</f>
        <v>Germany</v>
      </c>
      <c r="G966">
        <f>INDEX(northwind_orders[],MATCH(northwind_order_details[[#This Row],[order_id]], northwind_orders[order_id], 0), MATCH("employee_id", northwind_orders[#Headers], 0))</f>
        <v>8</v>
      </c>
      <c r="H966">
        <f>northwind_order_details[[#This Row],[unit_price]]*northwind_order_details[[#This Row],[quantity]]</f>
        <v>540</v>
      </c>
      <c r="I966" s="1">
        <f>northwind_order_details[[#This Row],[purchase amount]]*northwind_order_details[[#This Row],[discount]]</f>
        <v>54</v>
      </c>
      <c r="J966" s="1">
        <f>northwind_order_details[[#This Row],[purchase amount]]-northwind_order_details[[#This Row],[discount amount]]</f>
        <v>486</v>
      </c>
      <c r="K966" s="6" t="str">
        <f>IF(northwind_order_details[[#This Row],[discount amount]]&gt;0,"Yes","No")</f>
        <v>Yes</v>
      </c>
      <c r="L966" s="1" t="str">
        <f>IF(northwind_order_details[[#This Row],[Revenue]]&gt;1000,"High",IF(northwind_order_details[[#This Row],[Revenue]]&gt;300,"Medium","Low"))</f>
        <v>Medium</v>
      </c>
      <c r="M9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67" spans="1:13" x14ac:dyDescent="0.25">
      <c r="A967">
        <v>10624</v>
      </c>
      <c r="B967">
        <v>28</v>
      </c>
      <c r="C967" s="6">
        <v>45.6</v>
      </c>
      <c r="D967">
        <v>10</v>
      </c>
      <c r="E967" s="6" t="s">
        <v>6</v>
      </c>
      <c r="F967" t="str">
        <f>_xlfn.XLOOKUP(northwind_order_details[[#This Row],[order_id]],northwind_orders[order_id],northwind_orders[ship_country])</f>
        <v>USA</v>
      </c>
      <c r="G967">
        <f>INDEX(northwind_orders[],MATCH(northwind_order_details[[#This Row],[order_id]], northwind_orders[order_id], 0), MATCH("employee_id", northwind_orders[#Headers], 0))</f>
        <v>4</v>
      </c>
      <c r="H967">
        <f>northwind_order_details[[#This Row],[unit_price]]*northwind_order_details[[#This Row],[quantity]]</f>
        <v>456</v>
      </c>
      <c r="I967" s="1">
        <f>northwind_order_details[[#This Row],[purchase amount]]*northwind_order_details[[#This Row],[discount]]</f>
        <v>0</v>
      </c>
      <c r="J967" s="1">
        <f>northwind_order_details[[#This Row],[purchase amount]]-northwind_order_details[[#This Row],[discount amount]]</f>
        <v>456</v>
      </c>
      <c r="K967" s="6" t="str">
        <f>IF(northwind_order_details[[#This Row],[discount amount]]&gt;0,"Yes","No")</f>
        <v>No</v>
      </c>
      <c r="L967" s="1" t="str">
        <f>IF(northwind_order_details[[#This Row],[Revenue]]&gt;1000,"High",IF(northwind_order_details[[#This Row],[Revenue]]&gt;300,"Medium","Low"))</f>
        <v>Medium</v>
      </c>
      <c r="M9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8" spans="1:13" x14ac:dyDescent="0.25">
      <c r="A968">
        <v>10624</v>
      </c>
      <c r="B968">
        <v>29</v>
      </c>
      <c r="C968" s="6">
        <v>123.79</v>
      </c>
      <c r="D968">
        <v>6</v>
      </c>
      <c r="E968" s="6" t="s">
        <v>6</v>
      </c>
      <c r="F968" t="str">
        <f>_xlfn.XLOOKUP(northwind_order_details[[#This Row],[order_id]],northwind_orders[order_id],northwind_orders[ship_country])</f>
        <v>USA</v>
      </c>
      <c r="G968">
        <f>INDEX(northwind_orders[],MATCH(northwind_order_details[[#This Row],[order_id]], northwind_orders[order_id], 0), MATCH("employee_id", northwind_orders[#Headers], 0))</f>
        <v>4</v>
      </c>
      <c r="H968">
        <f>northwind_order_details[[#This Row],[unit_price]]*northwind_order_details[[#This Row],[quantity]]</f>
        <v>742.74</v>
      </c>
      <c r="I968" s="1">
        <f>northwind_order_details[[#This Row],[purchase amount]]*northwind_order_details[[#This Row],[discount]]</f>
        <v>0</v>
      </c>
      <c r="J968" s="1">
        <f>northwind_order_details[[#This Row],[purchase amount]]-northwind_order_details[[#This Row],[discount amount]]</f>
        <v>742.74</v>
      </c>
      <c r="K968" s="6" t="str">
        <f>IF(northwind_order_details[[#This Row],[discount amount]]&gt;0,"Yes","No")</f>
        <v>No</v>
      </c>
      <c r="L968" s="1" t="str">
        <f>IF(northwind_order_details[[#This Row],[Revenue]]&gt;1000,"High",IF(northwind_order_details[[#This Row],[Revenue]]&gt;300,"Medium","Low"))</f>
        <v>Medium</v>
      </c>
      <c r="M9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69" spans="1:13" x14ac:dyDescent="0.25">
      <c r="A969">
        <v>10624</v>
      </c>
      <c r="B969">
        <v>44</v>
      </c>
      <c r="C969" s="6">
        <v>19.45</v>
      </c>
      <c r="D969">
        <v>10</v>
      </c>
      <c r="E969" s="6" t="s">
        <v>6</v>
      </c>
      <c r="F969" t="str">
        <f>_xlfn.XLOOKUP(northwind_order_details[[#This Row],[order_id]],northwind_orders[order_id],northwind_orders[ship_country])</f>
        <v>USA</v>
      </c>
      <c r="G969">
        <f>INDEX(northwind_orders[],MATCH(northwind_order_details[[#This Row],[order_id]], northwind_orders[order_id], 0), MATCH("employee_id", northwind_orders[#Headers], 0))</f>
        <v>4</v>
      </c>
      <c r="H969">
        <f>northwind_order_details[[#This Row],[unit_price]]*northwind_order_details[[#This Row],[quantity]]</f>
        <v>194.5</v>
      </c>
      <c r="I969" s="1">
        <f>northwind_order_details[[#This Row],[purchase amount]]*northwind_order_details[[#This Row],[discount]]</f>
        <v>0</v>
      </c>
      <c r="J969" s="1">
        <f>northwind_order_details[[#This Row],[purchase amount]]-northwind_order_details[[#This Row],[discount amount]]</f>
        <v>194.5</v>
      </c>
      <c r="K969" s="6" t="str">
        <f>IF(northwind_order_details[[#This Row],[discount amount]]&gt;0,"Yes","No")</f>
        <v>No</v>
      </c>
      <c r="L969" s="1" t="str">
        <f>IF(northwind_order_details[[#This Row],[Revenue]]&gt;1000,"High",IF(northwind_order_details[[#This Row],[Revenue]]&gt;300,"Medium","Low"))</f>
        <v>Low</v>
      </c>
      <c r="M9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70" spans="1:13" x14ac:dyDescent="0.25">
      <c r="A970">
        <v>10625</v>
      </c>
      <c r="B970">
        <v>14</v>
      </c>
      <c r="C970" s="6">
        <v>23.25</v>
      </c>
      <c r="D970">
        <v>3</v>
      </c>
      <c r="E970" s="6" t="s">
        <v>6</v>
      </c>
      <c r="F970" t="str">
        <f>_xlfn.XLOOKUP(northwind_order_details[[#This Row],[order_id]],northwind_orders[order_id],northwind_orders[ship_country])</f>
        <v>Mexico</v>
      </c>
      <c r="G970">
        <f>INDEX(northwind_orders[],MATCH(northwind_order_details[[#This Row],[order_id]], northwind_orders[order_id], 0), MATCH("employee_id", northwind_orders[#Headers], 0))</f>
        <v>3</v>
      </c>
      <c r="H970">
        <f>northwind_order_details[[#This Row],[unit_price]]*northwind_order_details[[#This Row],[quantity]]</f>
        <v>69.75</v>
      </c>
      <c r="I970" s="1">
        <f>northwind_order_details[[#This Row],[purchase amount]]*northwind_order_details[[#This Row],[discount]]</f>
        <v>0</v>
      </c>
      <c r="J970" s="1">
        <f>northwind_order_details[[#This Row],[purchase amount]]-northwind_order_details[[#This Row],[discount amount]]</f>
        <v>69.75</v>
      </c>
      <c r="K970" s="6" t="str">
        <f>IF(northwind_order_details[[#This Row],[discount amount]]&gt;0,"Yes","No")</f>
        <v>No</v>
      </c>
      <c r="L970" s="1" t="str">
        <f>IF(northwind_order_details[[#This Row],[Revenue]]&gt;1000,"High",IF(northwind_order_details[[#This Row],[Revenue]]&gt;300,"Medium","Low"))</f>
        <v>Low</v>
      </c>
      <c r="M9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71" spans="1:13" x14ac:dyDescent="0.25">
      <c r="A971">
        <v>10625</v>
      </c>
      <c r="B971">
        <v>42</v>
      </c>
      <c r="C971" s="6" t="s">
        <v>5</v>
      </c>
      <c r="D971">
        <v>5</v>
      </c>
      <c r="E971" s="6" t="s">
        <v>6</v>
      </c>
      <c r="F971" t="str">
        <f>_xlfn.XLOOKUP(northwind_order_details[[#This Row],[order_id]],northwind_orders[order_id],northwind_orders[ship_country])</f>
        <v>Mexico</v>
      </c>
      <c r="G971">
        <f>INDEX(northwind_orders[],MATCH(northwind_order_details[[#This Row],[order_id]], northwind_orders[order_id], 0), MATCH("employee_id", northwind_orders[#Headers], 0))</f>
        <v>3</v>
      </c>
      <c r="H971">
        <f>northwind_order_details[[#This Row],[unit_price]]*northwind_order_details[[#This Row],[quantity]]</f>
        <v>70</v>
      </c>
      <c r="I971" s="1">
        <f>northwind_order_details[[#This Row],[purchase amount]]*northwind_order_details[[#This Row],[discount]]</f>
        <v>0</v>
      </c>
      <c r="J971" s="1">
        <f>northwind_order_details[[#This Row],[purchase amount]]-northwind_order_details[[#This Row],[discount amount]]</f>
        <v>70</v>
      </c>
      <c r="K971" s="6" t="str">
        <f>IF(northwind_order_details[[#This Row],[discount amount]]&gt;0,"Yes","No")</f>
        <v>No</v>
      </c>
      <c r="L971" s="1" t="str">
        <f>IF(northwind_order_details[[#This Row],[Revenue]]&gt;1000,"High",IF(northwind_order_details[[#This Row],[Revenue]]&gt;300,"Medium","Low"))</f>
        <v>Low</v>
      </c>
      <c r="M9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72" spans="1:13" x14ac:dyDescent="0.25">
      <c r="A972">
        <v>10625</v>
      </c>
      <c r="B972">
        <v>60</v>
      </c>
      <c r="C972" s="6" t="s">
        <v>28</v>
      </c>
      <c r="D972">
        <v>10</v>
      </c>
      <c r="E972" s="6" t="s">
        <v>6</v>
      </c>
      <c r="F972" t="str">
        <f>_xlfn.XLOOKUP(northwind_order_details[[#This Row],[order_id]],northwind_orders[order_id],northwind_orders[ship_country])</f>
        <v>Mexico</v>
      </c>
      <c r="G972">
        <f>INDEX(northwind_orders[],MATCH(northwind_order_details[[#This Row],[order_id]], northwind_orders[order_id], 0), MATCH("employee_id", northwind_orders[#Headers], 0))</f>
        <v>3</v>
      </c>
      <c r="H972">
        <f>northwind_order_details[[#This Row],[unit_price]]*northwind_order_details[[#This Row],[quantity]]</f>
        <v>340</v>
      </c>
      <c r="I972" s="1">
        <f>northwind_order_details[[#This Row],[purchase amount]]*northwind_order_details[[#This Row],[discount]]</f>
        <v>0</v>
      </c>
      <c r="J972" s="1">
        <f>northwind_order_details[[#This Row],[purchase amount]]-northwind_order_details[[#This Row],[discount amount]]</f>
        <v>340</v>
      </c>
      <c r="K972" s="6" t="str">
        <f>IF(northwind_order_details[[#This Row],[discount amount]]&gt;0,"Yes","No")</f>
        <v>No</v>
      </c>
      <c r="L972" s="1" t="str">
        <f>IF(northwind_order_details[[#This Row],[Revenue]]&gt;1000,"High",IF(northwind_order_details[[#This Row],[Revenue]]&gt;300,"Medium","Low"))</f>
        <v>Medium</v>
      </c>
      <c r="M9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73" spans="1:13" x14ac:dyDescent="0.25">
      <c r="A973">
        <v>10626</v>
      </c>
      <c r="B973">
        <v>53</v>
      </c>
      <c r="C973" s="6">
        <v>32.799999999999997</v>
      </c>
      <c r="D973">
        <v>12</v>
      </c>
      <c r="E973" s="6" t="s">
        <v>6</v>
      </c>
      <c r="F973" t="str">
        <f>_xlfn.XLOOKUP(northwind_order_details[[#This Row],[order_id]],northwind_orders[order_id],northwind_orders[ship_country])</f>
        <v>Sweden</v>
      </c>
      <c r="G973">
        <f>INDEX(northwind_orders[],MATCH(northwind_order_details[[#This Row],[order_id]], northwind_orders[order_id], 0), MATCH("employee_id", northwind_orders[#Headers], 0))</f>
        <v>1</v>
      </c>
      <c r="H973">
        <f>northwind_order_details[[#This Row],[unit_price]]*northwind_order_details[[#This Row],[quantity]]</f>
        <v>393.59999999999997</v>
      </c>
      <c r="I973" s="1">
        <f>northwind_order_details[[#This Row],[purchase amount]]*northwind_order_details[[#This Row],[discount]]</f>
        <v>0</v>
      </c>
      <c r="J973" s="1">
        <f>northwind_order_details[[#This Row],[purchase amount]]-northwind_order_details[[#This Row],[discount amount]]</f>
        <v>393.59999999999997</v>
      </c>
      <c r="K973" s="6" t="str">
        <f>IF(northwind_order_details[[#This Row],[discount amount]]&gt;0,"Yes","No")</f>
        <v>No</v>
      </c>
      <c r="L973" s="1" t="str">
        <f>IF(northwind_order_details[[#This Row],[Revenue]]&gt;1000,"High",IF(northwind_order_details[[#This Row],[Revenue]]&gt;300,"Medium","Low"))</f>
        <v>Medium</v>
      </c>
      <c r="M9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74" spans="1:13" x14ac:dyDescent="0.25">
      <c r="A974">
        <v>10626</v>
      </c>
      <c r="B974">
        <v>60</v>
      </c>
      <c r="C974" s="6" t="s">
        <v>28</v>
      </c>
      <c r="D974">
        <v>20</v>
      </c>
      <c r="E974" s="6" t="s">
        <v>6</v>
      </c>
      <c r="F974" t="str">
        <f>_xlfn.XLOOKUP(northwind_order_details[[#This Row],[order_id]],northwind_orders[order_id],northwind_orders[ship_country])</f>
        <v>Sweden</v>
      </c>
      <c r="G974">
        <f>INDEX(northwind_orders[],MATCH(northwind_order_details[[#This Row],[order_id]], northwind_orders[order_id], 0), MATCH("employee_id", northwind_orders[#Headers], 0))</f>
        <v>1</v>
      </c>
      <c r="H974">
        <f>northwind_order_details[[#This Row],[unit_price]]*northwind_order_details[[#This Row],[quantity]]</f>
        <v>680</v>
      </c>
      <c r="I974" s="1">
        <f>northwind_order_details[[#This Row],[purchase amount]]*northwind_order_details[[#This Row],[discount]]</f>
        <v>0</v>
      </c>
      <c r="J974" s="1">
        <f>northwind_order_details[[#This Row],[purchase amount]]-northwind_order_details[[#This Row],[discount amount]]</f>
        <v>680</v>
      </c>
      <c r="K974" s="6" t="str">
        <f>IF(northwind_order_details[[#This Row],[discount amount]]&gt;0,"Yes","No")</f>
        <v>No</v>
      </c>
      <c r="L974" s="1" t="str">
        <f>IF(northwind_order_details[[#This Row],[Revenue]]&gt;1000,"High",IF(northwind_order_details[[#This Row],[Revenue]]&gt;300,"Medium","Low"))</f>
        <v>Medium</v>
      </c>
      <c r="M9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75" spans="1:13" x14ac:dyDescent="0.25">
      <c r="A975">
        <v>10626</v>
      </c>
      <c r="B975">
        <v>71</v>
      </c>
      <c r="C975" s="6">
        <v>21.5</v>
      </c>
      <c r="D975">
        <v>20</v>
      </c>
      <c r="E975" s="6" t="s">
        <v>6</v>
      </c>
      <c r="F975" t="str">
        <f>_xlfn.XLOOKUP(northwind_order_details[[#This Row],[order_id]],northwind_orders[order_id],northwind_orders[ship_country])</f>
        <v>Sweden</v>
      </c>
      <c r="G975">
        <f>INDEX(northwind_orders[],MATCH(northwind_order_details[[#This Row],[order_id]], northwind_orders[order_id], 0), MATCH("employee_id", northwind_orders[#Headers], 0))</f>
        <v>1</v>
      </c>
      <c r="H975">
        <f>northwind_order_details[[#This Row],[unit_price]]*northwind_order_details[[#This Row],[quantity]]</f>
        <v>430</v>
      </c>
      <c r="I975" s="1">
        <f>northwind_order_details[[#This Row],[purchase amount]]*northwind_order_details[[#This Row],[discount]]</f>
        <v>0</v>
      </c>
      <c r="J975" s="1">
        <f>northwind_order_details[[#This Row],[purchase amount]]-northwind_order_details[[#This Row],[discount amount]]</f>
        <v>430</v>
      </c>
      <c r="K975" s="6" t="str">
        <f>IF(northwind_order_details[[#This Row],[discount amount]]&gt;0,"Yes","No")</f>
        <v>No</v>
      </c>
      <c r="L975" s="1" t="str">
        <f>IF(northwind_order_details[[#This Row],[Revenue]]&gt;1000,"High",IF(northwind_order_details[[#This Row],[Revenue]]&gt;300,"Medium","Low"))</f>
        <v>Medium</v>
      </c>
      <c r="M97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76" spans="1:13" x14ac:dyDescent="0.25">
      <c r="A976">
        <v>10627</v>
      </c>
      <c r="B976">
        <v>62</v>
      </c>
      <c r="C976" s="6">
        <v>49.3</v>
      </c>
      <c r="D976">
        <v>15</v>
      </c>
      <c r="E976" s="6" t="s">
        <v>6</v>
      </c>
      <c r="F976" t="str">
        <f>_xlfn.XLOOKUP(northwind_order_details[[#This Row],[order_id]],northwind_orders[order_id],northwind_orders[ship_country])</f>
        <v>USA</v>
      </c>
      <c r="G976">
        <f>INDEX(northwind_orders[],MATCH(northwind_order_details[[#This Row],[order_id]], northwind_orders[order_id], 0), MATCH("employee_id", northwind_orders[#Headers], 0))</f>
        <v>8</v>
      </c>
      <c r="H976">
        <f>northwind_order_details[[#This Row],[unit_price]]*northwind_order_details[[#This Row],[quantity]]</f>
        <v>739.5</v>
      </c>
      <c r="I976" s="1">
        <f>northwind_order_details[[#This Row],[purchase amount]]*northwind_order_details[[#This Row],[discount]]</f>
        <v>0</v>
      </c>
      <c r="J976" s="1">
        <f>northwind_order_details[[#This Row],[purchase amount]]-northwind_order_details[[#This Row],[discount amount]]</f>
        <v>739.5</v>
      </c>
      <c r="K976" s="6" t="str">
        <f>IF(northwind_order_details[[#This Row],[discount amount]]&gt;0,"Yes","No")</f>
        <v>No</v>
      </c>
      <c r="L976" s="1" t="str">
        <f>IF(northwind_order_details[[#This Row],[Revenue]]&gt;1000,"High",IF(northwind_order_details[[#This Row],[Revenue]]&gt;300,"Medium","Low"))</f>
        <v>Medium</v>
      </c>
      <c r="M97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77" spans="1:13" x14ac:dyDescent="0.25">
      <c r="A977">
        <v>10627</v>
      </c>
      <c r="B977">
        <v>73</v>
      </c>
      <c r="C977" s="6" t="s">
        <v>21</v>
      </c>
      <c r="D977">
        <v>35</v>
      </c>
      <c r="E977" s="6">
        <v>0.15</v>
      </c>
      <c r="F977" t="str">
        <f>_xlfn.XLOOKUP(northwind_order_details[[#This Row],[order_id]],northwind_orders[order_id],northwind_orders[ship_country])</f>
        <v>USA</v>
      </c>
      <c r="G977">
        <f>INDEX(northwind_orders[],MATCH(northwind_order_details[[#This Row],[order_id]], northwind_orders[order_id], 0), MATCH("employee_id", northwind_orders[#Headers], 0))</f>
        <v>8</v>
      </c>
      <c r="H977">
        <f>northwind_order_details[[#This Row],[unit_price]]*northwind_order_details[[#This Row],[quantity]]</f>
        <v>525</v>
      </c>
      <c r="I977" s="1">
        <f>northwind_order_details[[#This Row],[purchase amount]]*northwind_order_details[[#This Row],[discount]]</f>
        <v>78.75</v>
      </c>
      <c r="J977" s="1">
        <f>northwind_order_details[[#This Row],[purchase amount]]-northwind_order_details[[#This Row],[discount amount]]</f>
        <v>446.25</v>
      </c>
      <c r="K977" s="6" t="str">
        <f>IF(northwind_order_details[[#This Row],[discount amount]]&gt;0,"Yes","No")</f>
        <v>Yes</v>
      </c>
      <c r="L977" s="1" t="str">
        <f>IF(northwind_order_details[[#This Row],[Revenue]]&gt;1000,"High",IF(northwind_order_details[[#This Row],[Revenue]]&gt;300,"Medium","Low"))</f>
        <v>Medium</v>
      </c>
      <c r="M9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78" spans="1:13" x14ac:dyDescent="0.25">
      <c r="A978">
        <v>10628</v>
      </c>
      <c r="B978">
        <v>1</v>
      </c>
      <c r="C978" s="6" t="s">
        <v>24</v>
      </c>
      <c r="D978">
        <v>25</v>
      </c>
      <c r="E978" s="6" t="s">
        <v>6</v>
      </c>
      <c r="F978" t="str">
        <f>_xlfn.XLOOKUP(northwind_order_details[[#This Row],[order_id]],northwind_orders[order_id],northwind_orders[ship_country])</f>
        <v>France</v>
      </c>
      <c r="G978">
        <f>INDEX(northwind_orders[],MATCH(northwind_order_details[[#This Row],[order_id]], northwind_orders[order_id], 0), MATCH("employee_id", northwind_orders[#Headers], 0))</f>
        <v>4</v>
      </c>
      <c r="H978">
        <f>northwind_order_details[[#This Row],[unit_price]]*northwind_order_details[[#This Row],[quantity]]</f>
        <v>450</v>
      </c>
      <c r="I978" s="1">
        <f>northwind_order_details[[#This Row],[purchase amount]]*northwind_order_details[[#This Row],[discount]]</f>
        <v>0</v>
      </c>
      <c r="J978" s="1">
        <f>northwind_order_details[[#This Row],[purchase amount]]-northwind_order_details[[#This Row],[discount amount]]</f>
        <v>450</v>
      </c>
      <c r="K978" s="6" t="str">
        <f>IF(northwind_order_details[[#This Row],[discount amount]]&gt;0,"Yes","No")</f>
        <v>No</v>
      </c>
      <c r="L978" s="1" t="str">
        <f>IF(northwind_order_details[[#This Row],[Revenue]]&gt;1000,"High",IF(northwind_order_details[[#This Row],[Revenue]]&gt;300,"Medium","Low"))</f>
        <v>Medium</v>
      </c>
      <c r="M9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79" spans="1:13" x14ac:dyDescent="0.25">
      <c r="A979">
        <v>10629</v>
      </c>
      <c r="B979">
        <v>29</v>
      </c>
      <c r="C979" s="6">
        <v>123.79</v>
      </c>
      <c r="D979">
        <v>20</v>
      </c>
      <c r="E979" s="6" t="s">
        <v>6</v>
      </c>
      <c r="F979" t="str">
        <f>_xlfn.XLOOKUP(northwind_order_details[[#This Row],[order_id]],northwind_orders[order_id],northwind_orders[ship_country])</f>
        <v>Spain</v>
      </c>
      <c r="G979">
        <f>INDEX(northwind_orders[],MATCH(northwind_order_details[[#This Row],[order_id]], northwind_orders[order_id], 0), MATCH("employee_id", northwind_orders[#Headers], 0))</f>
        <v>4</v>
      </c>
      <c r="H979">
        <f>northwind_order_details[[#This Row],[unit_price]]*northwind_order_details[[#This Row],[quantity]]</f>
        <v>2475.8000000000002</v>
      </c>
      <c r="I979" s="1">
        <f>northwind_order_details[[#This Row],[purchase amount]]*northwind_order_details[[#This Row],[discount]]</f>
        <v>0</v>
      </c>
      <c r="J979" s="1">
        <f>northwind_order_details[[#This Row],[purchase amount]]-northwind_order_details[[#This Row],[discount amount]]</f>
        <v>2475.8000000000002</v>
      </c>
      <c r="K979" s="6" t="str">
        <f>IF(northwind_order_details[[#This Row],[discount amount]]&gt;0,"Yes","No")</f>
        <v>No</v>
      </c>
      <c r="L979" s="1" t="str">
        <f>IF(northwind_order_details[[#This Row],[Revenue]]&gt;1000,"High",IF(northwind_order_details[[#This Row],[Revenue]]&gt;300,"Medium","Low"))</f>
        <v>High</v>
      </c>
      <c r="M9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80" spans="1:13" x14ac:dyDescent="0.25">
      <c r="A980">
        <v>10629</v>
      </c>
      <c r="B980">
        <v>64</v>
      </c>
      <c r="C980" s="6">
        <v>33.25</v>
      </c>
      <c r="D980">
        <v>9</v>
      </c>
      <c r="E980" s="6" t="s">
        <v>6</v>
      </c>
      <c r="F980" t="str">
        <f>_xlfn.XLOOKUP(northwind_order_details[[#This Row],[order_id]],northwind_orders[order_id],northwind_orders[ship_country])</f>
        <v>Spain</v>
      </c>
      <c r="G980">
        <f>INDEX(northwind_orders[],MATCH(northwind_order_details[[#This Row],[order_id]], northwind_orders[order_id], 0), MATCH("employee_id", northwind_orders[#Headers], 0))</f>
        <v>4</v>
      </c>
      <c r="H980">
        <f>northwind_order_details[[#This Row],[unit_price]]*northwind_order_details[[#This Row],[quantity]]</f>
        <v>299.25</v>
      </c>
      <c r="I980" s="1">
        <f>northwind_order_details[[#This Row],[purchase amount]]*northwind_order_details[[#This Row],[discount]]</f>
        <v>0</v>
      </c>
      <c r="J980" s="1">
        <f>northwind_order_details[[#This Row],[purchase amount]]-northwind_order_details[[#This Row],[discount amount]]</f>
        <v>299.25</v>
      </c>
      <c r="K980" s="6" t="str">
        <f>IF(northwind_order_details[[#This Row],[discount amount]]&gt;0,"Yes","No")</f>
        <v>No</v>
      </c>
      <c r="L980" s="1" t="str">
        <f>IF(northwind_order_details[[#This Row],[Revenue]]&gt;1000,"High",IF(northwind_order_details[[#This Row],[Revenue]]&gt;300,"Medium","Low"))</f>
        <v>Low</v>
      </c>
      <c r="M98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81" spans="1:13" x14ac:dyDescent="0.25">
      <c r="A981">
        <v>10630</v>
      </c>
      <c r="B981">
        <v>55</v>
      </c>
      <c r="C981" s="6" t="s">
        <v>14</v>
      </c>
      <c r="D981">
        <v>12</v>
      </c>
      <c r="E981" s="6">
        <v>0.05</v>
      </c>
      <c r="F981" t="str">
        <f>_xlfn.XLOOKUP(northwind_order_details[[#This Row],[order_id]],northwind_orders[order_id],northwind_orders[ship_country])</f>
        <v>Germany</v>
      </c>
      <c r="G981">
        <f>INDEX(northwind_orders[],MATCH(northwind_order_details[[#This Row],[order_id]], northwind_orders[order_id], 0), MATCH("employee_id", northwind_orders[#Headers], 0))</f>
        <v>1</v>
      </c>
      <c r="H981">
        <f>northwind_order_details[[#This Row],[unit_price]]*northwind_order_details[[#This Row],[quantity]]</f>
        <v>288</v>
      </c>
      <c r="I981" s="1">
        <f>northwind_order_details[[#This Row],[purchase amount]]*northwind_order_details[[#This Row],[discount]]</f>
        <v>14.4</v>
      </c>
      <c r="J981" s="1">
        <f>northwind_order_details[[#This Row],[purchase amount]]-northwind_order_details[[#This Row],[discount amount]]</f>
        <v>273.60000000000002</v>
      </c>
      <c r="K981" s="6" t="str">
        <f>IF(northwind_order_details[[#This Row],[discount amount]]&gt;0,"Yes","No")</f>
        <v>Yes</v>
      </c>
      <c r="L981" s="1" t="str">
        <f>IF(northwind_order_details[[#This Row],[Revenue]]&gt;1000,"High",IF(northwind_order_details[[#This Row],[Revenue]]&gt;300,"Medium","Low"))</f>
        <v>Low</v>
      </c>
      <c r="M9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82" spans="1:13" x14ac:dyDescent="0.25">
      <c r="A982">
        <v>10630</v>
      </c>
      <c r="B982">
        <v>76</v>
      </c>
      <c r="C982" s="6" t="s">
        <v>24</v>
      </c>
      <c r="D982">
        <v>35</v>
      </c>
      <c r="E982" s="6" t="s">
        <v>6</v>
      </c>
      <c r="F982" t="str">
        <f>_xlfn.XLOOKUP(northwind_order_details[[#This Row],[order_id]],northwind_orders[order_id],northwind_orders[ship_country])</f>
        <v>Germany</v>
      </c>
      <c r="G982">
        <f>INDEX(northwind_orders[],MATCH(northwind_order_details[[#This Row],[order_id]], northwind_orders[order_id], 0), MATCH("employee_id", northwind_orders[#Headers], 0))</f>
        <v>1</v>
      </c>
      <c r="H982">
        <f>northwind_order_details[[#This Row],[unit_price]]*northwind_order_details[[#This Row],[quantity]]</f>
        <v>630</v>
      </c>
      <c r="I982" s="1">
        <f>northwind_order_details[[#This Row],[purchase amount]]*northwind_order_details[[#This Row],[discount]]</f>
        <v>0</v>
      </c>
      <c r="J982" s="1">
        <f>northwind_order_details[[#This Row],[purchase amount]]-northwind_order_details[[#This Row],[discount amount]]</f>
        <v>630</v>
      </c>
      <c r="K982" s="6" t="str">
        <f>IF(northwind_order_details[[#This Row],[discount amount]]&gt;0,"Yes","No")</f>
        <v>No</v>
      </c>
      <c r="L982" s="1" t="str">
        <f>IF(northwind_order_details[[#This Row],[Revenue]]&gt;1000,"High",IF(northwind_order_details[[#This Row],[Revenue]]&gt;300,"Medium","Low"))</f>
        <v>Medium</v>
      </c>
      <c r="M9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83" spans="1:13" x14ac:dyDescent="0.25">
      <c r="A983">
        <v>10631</v>
      </c>
      <c r="B983">
        <v>75</v>
      </c>
      <c r="C983" s="6">
        <v>7.75</v>
      </c>
      <c r="D983">
        <v>8</v>
      </c>
      <c r="E983" s="6">
        <v>0.1</v>
      </c>
      <c r="F983" t="str">
        <f>_xlfn.XLOOKUP(northwind_order_details[[#This Row],[order_id]],northwind_orders[order_id],northwind_orders[ship_country])</f>
        <v>France</v>
      </c>
      <c r="G983">
        <f>INDEX(northwind_orders[],MATCH(northwind_order_details[[#This Row],[order_id]], northwind_orders[order_id], 0), MATCH("employee_id", northwind_orders[#Headers], 0))</f>
        <v>8</v>
      </c>
      <c r="H983">
        <f>northwind_order_details[[#This Row],[unit_price]]*northwind_order_details[[#This Row],[quantity]]</f>
        <v>62</v>
      </c>
      <c r="I983" s="1">
        <f>northwind_order_details[[#This Row],[purchase amount]]*northwind_order_details[[#This Row],[discount]]</f>
        <v>6.2</v>
      </c>
      <c r="J983" s="1">
        <f>northwind_order_details[[#This Row],[purchase amount]]-northwind_order_details[[#This Row],[discount amount]]</f>
        <v>55.8</v>
      </c>
      <c r="K983" s="6" t="str">
        <f>IF(northwind_order_details[[#This Row],[discount amount]]&gt;0,"Yes","No")</f>
        <v>Yes</v>
      </c>
      <c r="L983" s="1" t="str">
        <f>IF(northwind_order_details[[#This Row],[Revenue]]&gt;1000,"High",IF(northwind_order_details[[#This Row],[Revenue]]&gt;300,"Medium","Low"))</f>
        <v>Low</v>
      </c>
      <c r="M9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84" spans="1:13" x14ac:dyDescent="0.25">
      <c r="A984">
        <v>10632</v>
      </c>
      <c r="B984">
        <v>2</v>
      </c>
      <c r="C984" s="6" t="s">
        <v>20</v>
      </c>
      <c r="D984">
        <v>30</v>
      </c>
      <c r="E984" s="6">
        <v>0.05</v>
      </c>
      <c r="F984" t="str">
        <f>_xlfn.XLOOKUP(northwind_order_details[[#This Row],[order_id]],northwind_orders[order_id],northwind_orders[ship_country])</f>
        <v>Germany</v>
      </c>
      <c r="G984">
        <f>INDEX(northwind_orders[],MATCH(northwind_order_details[[#This Row],[order_id]], northwind_orders[order_id], 0), MATCH("employee_id", northwind_orders[#Headers], 0))</f>
        <v>8</v>
      </c>
      <c r="H984">
        <f>northwind_order_details[[#This Row],[unit_price]]*northwind_order_details[[#This Row],[quantity]]</f>
        <v>570</v>
      </c>
      <c r="I984" s="1">
        <f>northwind_order_details[[#This Row],[purchase amount]]*northwind_order_details[[#This Row],[discount]]</f>
        <v>28.5</v>
      </c>
      <c r="J984" s="1">
        <f>northwind_order_details[[#This Row],[purchase amount]]-northwind_order_details[[#This Row],[discount amount]]</f>
        <v>541.5</v>
      </c>
      <c r="K984" s="6" t="str">
        <f>IF(northwind_order_details[[#This Row],[discount amount]]&gt;0,"Yes","No")</f>
        <v>Yes</v>
      </c>
      <c r="L984" s="1" t="str">
        <f>IF(northwind_order_details[[#This Row],[Revenue]]&gt;1000,"High",IF(northwind_order_details[[#This Row],[Revenue]]&gt;300,"Medium","Low"))</f>
        <v>Medium</v>
      </c>
      <c r="M9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85" spans="1:13" x14ac:dyDescent="0.25">
      <c r="A985">
        <v>10632</v>
      </c>
      <c r="B985">
        <v>33</v>
      </c>
      <c r="C985" s="6">
        <v>2.5</v>
      </c>
      <c r="D985">
        <v>20</v>
      </c>
      <c r="E985" s="6">
        <v>0.05</v>
      </c>
      <c r="F985" t="str">
        <f>_xlfn.XLOOKUP(northwind_order_details[[#This Row],[order_id]],northwind_orders[order_id],northwind_orders[ship_country])</f>
        <v>Germany</v>
      </c>
      <c r="G985">
        <f>INDEX(northwind_orders[],MATCH(northwind_order_details[[#This Row],[order_id]], northwind_orders[order_id], 0), MATCH("employee_id", northwind_orders[#Headers], 0))</f>
        <v>8</v>
      </c>
      <c r="H985">
        <f>northwind_order_details[[#This Row],[unit_price]]*northwind_order_details[[#This Row],[quantity]]</f>
        <v>50</v>
      </c>
      <c r="I985" s="1">
        <f>northwind_order_details[[#This Row],[purchase amount]]*northwind_order_details[[#This Row],[discount]]</f>
        <v>2.5</v>
      </c>
      <c r="J985" s="1">
        <f>northwind_order_details[[#This Row],[purchase amount]]-northwind_order_details[[#This Row],[discount amount]]</f>
        <v>47.5</v>
      </c>
      <c r="K985" s="6" t="str">
        <f>IF(northwind_order_details[[#This Row],[discount amount]]&gt;0,"Yes","No")</f>
        <v>Yes</v>
      </c>
      <c r="L985" s="1" t="str">
        <f>IF(northwind_order_details[[#This Row],[Revenue]]&gt;1000,"High",IF(northwind_order_details[[#This Row],[Revenue]]&gt;300,"Medium","Low"))</f>
        <v>Low</v>
      </c>
      <c r="M98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86" spans="1:13" x14ac:dyDescent="0.25">
      <c r="A986">
        <v>10633</v>
      </c>
      <c r="B986">
        <v>12</v>
      </c>
      <c r="C986" s="6" t="s">
        <v>30</v>
      </c>
      <c r="D986">
        <v>36</v>
      </c>
      <c r="E986" s="6">
        <v>0.15</v>
      </c>
      <c r="F986" t="str">
        <f>_xlfn.XLOOKUP(northwind_order_details[[#This Row],[order_id]],northwind_orders[order_id],northwind_orders[ship_country])</f>
        <v>Austria</v>
      </c>
      <c r="G986">
        <f>INDEX(northwind_orders[],MATCH(northwind_order_details[[#This Row],[order_id]], northwind_orders[order_id], 0), MATCH("employee_id", northwind_orders[#Headers], 0))</f>
        <v>7</v>
      </c>
      <c r="H986">
        <f>northwind_order_details[[#This Row],[unit_price]]*northwind_order_details[[#This Row],[quantity]]</f>
        <v>1368</v>
      </c>
      <c r="I986" s="1">
        <f>northwind_order_details[[#This Row],[purchase amount]]*northwind_order_details[[#This Row],[discount]]</f>
        <v>205.2</v>
      </c>
      <c r="J986" s="1">
        <f>northwind_order_details[[#This Row],[purchase amount]]-northwind_order_details[[#This Row],[discount amount]]</f>
        <v>1162.8</v>
      </c>
      <c r="K986" s="6" t="str">
        <f>IF(northwind_order_details[[#This Row],[discount amount]]&gt;0,"Yes","No")</f>
        <v>Yes</v>
      </c>
      <c r="L986" s="1" t="str">
        <f>IF(northwind_order_details[[#This Row],[Revenue]]&gt;1000,"High",IF(northwind_order_details[[#This Row],[Revenue]]&gt;300,"Medium","Low"))</f>
        <v>High</v>
      </c>
      <c r="M9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87" spans="1:13" x14ac:dyDescent="0.25">
      <c r="A987">
        <v>10633</v>
      </c>
      <c r="B987">
        <v>13</v>
      </c>
      <c r="C987" s="6" t="s">
        <v>23</v>
      </c>
      <c r="D987">
        <v>13</v>
      </c>
      <c r="E987" s="6">
        <v>0.15</v>
      </c>
      <c r="F987" t="str">
        <f>_xlfn.XLOOKUP(northwind_order_details[[#This Row],[order_id]],northwind_orders[order_id],northwind_orders[ship_country])</f>
        <v>Austria</v>
      </c>
      <c r="G987">
        <f>INDEX(northwind_orders[],MATCH(northwind_order_details[[#This Row],[order_id]], northwind_orders[order_id], 0), MATCH("employee_id", northwind_orders[#Headers], 0))</f>
        <v>7</v>
      </c>
      <c r="H987">
        <f>northwind_order_details[[#This Row],[unit_price]]*northwind_order_details[[#This Row],[quantity]]</f>
        <v>78</v>
      </c>
      <c r="I987" s="1">
        <f>northwind_order_details[[#This Row],[purchase amount]]*northwind_order_details[[#This Row],[discount]]</f>
        <v>11.7</v>
      </c>
      <c r="J987" s="1">
        <f>northwind_order_details[[#This Row],[purchase amount]]-northwind_order_details[[#This Row],[discount amount]]</f>
        <v>66.3</v>
      </c>
      <c r="K987" s="6" t="str">
        <f>IF(northwind_order_details[[#This Row],[discount amount]]&gt;0,"Yes","No")</f>
        <v>Yes</v>
      </c>
      <c r="L987" s="1" t="str">
        <f>IF(northwind_order_details[[#This Row],[Revenue]]&gt;1000,"High",IF(northwind_order_details[[#This Row],[Revenue]]&gt;300,"Medium","Low"))</f>
        <v>Low</v>
      </c>
      <c r="M9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88" spans="1:13" x14ac:dyDescent="0.25">
      <c r="A988">
        <v>10633</v>
      </c>
      <c r="B988">
        <v>26</v>
      </c>
      <c r="C988" s="6">
        <v>31.23</v>
      </c>
      <c r="D988">
        <v>35</v>
      </c>
      <c r="E988" s="6">
        <v>0.15</v>
      </c>
      <c r="F988" t="str">
        <f>_xlfn.XLOOKUP(northwind_order_details[[#This Row],[order_id]],northwind_orders[order_id],northwind_orders[ship_country])</f>
        <v>Austria</v>
      </c>
      <c r="G988">
        <f>INDEX(northwind_orders[],MATCH(northwind_order_details[[#This Row],[order_id]], northwind_orders[order_id], 0), MATCH("employee_id", northwind_orders[#Headers], 0))</f>
        <v>7</v>
      </c>
      <c r="H988">
        <f>northwind_order_details[[#This Row],[unit_price]]*northwind_order_details[[#This Row],[quantity]]</f>
        <v>1093.05</v>
      </c>
      <c r="I988" s="1">
        <f>northwind_order_details[[#This Row],[purchase amount]]*northwind_order_details[[#This Row],[discount]]</f>
        <v>163.95749999999998</v>
      </c>
      <c r="J988" s="1">
        <f>northwind_order_details[[#This Row],[purchase amount]]-northwind_order_details[[#This Row],[discount amount]]</f>
        <v>929.09249999999997</v>
      </c>
      <c r="K988" s="6" t="str">
        <f>IF(northwind_order_details[[#This Row],[discount amount]]&gt;0,"Yes","No")</f>
        <v>Yes</v>
      </c>
      <c r="L988" s="1" t="str">
        <f>IF(northwind_order_details[[#This Row],[Revenue]]&gt;1000,"High",IF(northwind_order_details[[#This Row],[Revenue]]&gt;300,"Medium","Low"))</f>
        <v>Medium</v>
      </c>
      <c r="M9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89" spans="1:13" x14ac:dyDescent="0.25">
      <c r="A989">
        <v>10633</v>
      </c>
      <c r="B989">
        <v>62</v>
      </c>
      <c r="C989" s="6">
        <v>49.3</v>
      </c>
      <c r="D989">
        <v>80</v>
      </c>
      <c r="E989" s="6">
        <v>0.15</v>
      </c>
      <c r="F989" t="str">
        <f>_xlfn.XLOOKUP(northwind_order_details[[#This Row],[order_id]],northwind_orders[order_id],northwind_orders[ship_country])</f>
        <v>Austria</v>
      </c>
      <c r="G989">
        <f>INDEX(northwind_orders[],MATCH(northwind_order_details[[#This Row],[order_id]], northwind_orders[order_id], 0), MATCH("employee_id", northwind_orders[#Headers], 0))</f>
        <v>7</v>
      </c>
      <c r="H989">
        <f>northwind_order_details[[#This Row],[unit_price]]*northwind_order_details[[#This Row],[quantity]]</f>
        <v>3944</v>
      </c>
      <c r="I989" s="1">
        <f>northwind_order_details[[#This Row],[purchase amount]]*northwind_order_details[[#This Row],[discount]]</f>
        <v>591.6</v>
      </c>
      <c r="J989" s="1">
        <f>northwind_order_details[[#This Row],[purchase amount]]-northwind_order_details[[#This Row],[discount amount]]</f>
        <v>3352.4</v>
      </c>
      <c r="K989" s="6" t="str">
        <f>IF(northwind_order_details[[#This Row],[discount amount]]&gt;0,"Yes","No")</f>
        <v>Yes</v>
      </c>
      <c r="L989" s="1" t="str">
        <f>IF(northwind_order_details[[#This Row],[Revenue]]&gt;1000,"High",IF(northwind_order_details[[#This Row],[Revenue]]&gt;300,"Medium","Low"))</f>
        <v>High</v>
      </c>
      <c r="M9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90" spans="1:13" x14ac:dyDescent="0.25">
      <c r="A990">
        <v>10634</v>
      </c>
      <c r="B990">
        <v>7</v>
      </c>
      <c r="C990" s="6" t="s">
        <v>26</v>
      </c>
      <c r="D990">
        <v>35</v>
      </c>
      <c r="E990" s="6" t="s">
        <v>6</v>
      </c>
      <c r="F990" t="str">
        <f>_xlfn.XLOOKUP(northwind_order_details[[#This Row],[order_id]],northwind_orders[order_id],northwind_orders[ship_country])</f>
        <v>France</v>
      </c>
      <c r="G990">
        <f>INDEX(northwind_orders[],MATCH(northwind_order_details[[#This Row],[order_id]], northwind_orders[order_id], 0), MATCH("employee_id", northwind_orders[#Headers], 0))</f>
        <v>4</v>
      </c>
      <c r="H990">
        <f>northwind_order_details[[#This Row],[unit_price]]*northwind_order_details[[#This Row],[quantity]]</f>
        <v>1050</v>
      </c>
      <c r="I990" s="1">
        <f>northwind_order_details[[#This Row],[purchase amount]]*northwind_order_details[[#This Row],[discount]]</f>
        <v>0</v>
      </c>
      <c r="J990" s="1">
        <f>northwind_order_details[[#This Row],[purchase amount]]-northwind_order_details[[#This Row],[discount amount]]</f>
        <v>1050</v>
      </c>
      <c r="K990" s="6" t="str">
        <f>IF(northwind_order_details[[#This Row],[discount amount]]&gt;0,"Yes","No")</f>
        <v>No</v>
      </c>
      <c r="L990" s="1" t="str">
        <f>IF(northwind_order_details[[#This Row],[Revenue]]&gt;1000,"High",IF(northwind_order_details[[#This Row],[Revenue]]&gt;300,"Medium","Low"))</f>
        <v>High</v>
      </c>
      <c r="M9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91" spans="1:13" x14ac:dyDescent="0.25">
      <c r="A991">
        <v>10634</v>
      </c>
      <c r="B991">
        <v>18</v>
      </c>
      <c r="C991" s="6">
        <v>62.5</v>
      </c>
      <c r="D991">
        <v>50</v>
      </c>
      <c r="E991" s="6" t="s">
        <v>6</v>
      </c>
      <c r="F991" t="str">
        <f>_xlfn.XLOOKUP(northwind_order_details[[#This Row],[order_id]],northwind_orders[order_id],northwind_orders[ship_country])</f>
        <v>France</v>
      </c>
      <c r="G991">
        <f>INDEX(northwind_orders[],MATCH(northwind_order_details[[#This Row],[order_id]], northwind_orders[order_id], 0), MATCH("employee_id", northwind_orders[#Headers], 0))</f>
        <v>4</v>
      </c>
      <c r="H991">
        <f>northwind_order_details[[#This Row],[unit_price]]*northwind_order_details[[#This Row],[quantity]]</f>
        <v>3125</v>
      </c>
      <c r="I991" s="1">
        <f>northwind_order_details[[#This Row],[purchase amount]]*northwind_order_details[[#This Row],[discount]]</f>
        <v>0</v>
      </c>
      <c r="J991" s="1">
        <f>northwind_order_details[[#This Row],[purchase amount]]-northwind_order_details[[#This Row],[discount amount]]</f>
        <v>3125</v>
      </c>
      <c r="K991" s="6" t="str">
        <f>IF(northwind_order_details[[#This Row],[discount amount]]&gt;0,"Yes","No")</f>
        <v>No</v>
      </c>
      <c r="L991" s="1" t="str">
        <f>IF(northwind_order_details[[#This Row],[Revenue]]&gt;1000,"High",IF(northwind_order_details[[#This Row],[Revenue]]&gt;300,"Medium","Low"))</f>
        <v>High</v>
      </c>
      <c r="M9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92" spans="1:13" x14ac:dyDescent="0.25">
      <c r="A992">
        <v>10634</v>
      </c>
      <c r="B992">
        <v>51</v>
      </c>
      <c r="C992" s="6" t="s">
        <v>39</v>
      </c>
      <c r="D992">
        <v>15</v>
      </c>
      <c r="E992" s="6" t="s">
        <v>6</v>
      </c>
      <c r="F992" t="str">
        <f>_xlfn.XLOOKUP(northwind_order_details[[#This Row],[order_id]],northwind_orders[order_id],northwind_orders[ship_country])</f>
        <v>France</v>
      </c>
      <c r="G992">
        <f>INDEX(northwind_orders[],MATCH(northwind_order_details[[#This Row],[order_id]], northwind_orders[order_id], 0), MATCH("employee_id", northwind_orders[#Headers], 0))</f>
        <v>4</v>
      </c>
      <c r="H992">
        <f>northwind_order_details[[#This Row],[unit_price]]*northwind_order_details[[#This Row],[quantity]]</f>
        <v>795</v>
      </c>
      <c r="I992" s="1">
        <f>northwind_order_details[[#This Row],[purchase amount]]*northwind_order_details[[#This Row],[discount]]</f>
        <v>0</v>
      </c>
      <c r="J992" s="1">
        <f>northwind_order_details[[#This Row],[purchase amount]]-northwind_order_details[[#This Row],[discount amount]]</f>
        <v>795</v>
      </c>
      <c r="K992" s="6" t="str">
        <f>IF(northwind_order_details[[#This Row],[discount amount]]&gt;0,"Yes","No")</f>
        <v>No</v>
      </c>
      <c r="L992" s="1" t="str">
        <f>IF(northwind_order_details[[#This Row],[Revenue]]&gt;1000,"High",IF(northwind_order_details[[#This Row],[Revenue]]&gt;300,"Medium","Low"))</f>
        <v>Medium</v>
      </c>
      <c r="M9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93" spans="1:13" x14ac:dyDescent="0.25">
      <c r="A993">
        <v>10634</v>
      </c>
      <c r="B993">
        <v>75</v>
      </c>
      <c r="C993" s="6">
        <v>7.75</v>
      </c>
      <c r="D993">
        <v>2</v>
      </c>
      <c r="E993" s="6" t="s">
        <v>6</v>
      </c>
      <c r="F993" t="str">
        <f>_xlfn.XLOOKUP(northwind_order_details[[#This Row],[order_id]],northwind_orders[order_id],northwind_orders[ship_country])</f>
        <v>France</v>
      </c>
      <c r="G993">
        <f>INDEX(northwind_orders[],MATCH(northwind_order_details[[#This Row],[order_id]], northwind_orders[order_id], 0), MATCH("employee_id", northwind_orders[#Headers], 0))</f>
        <v>4</v>
      </c>
      <c r="H993">
        <f>northwind_order_details[[#This Row],[unit_price]]*northwind_order_details[[#This Row],[quantity]]</f>
        <v>15.5</v>
      </c>
      <c r="I993" s="1">
        <f>northwind_order_details[[#This Row],[purchase amount]]*northwind_order_details[[#This Row],[discount]]</f>
        <v>0</v>
      </c>
      <c r="J993" s="1">
        <f>northwind_order_details[[#This Row],[purchase amount]]-northwind_order_details[[#This Row],[discount amount]]</f>
        <v>15.5</v>
      </c>
      <c r="K993" s="6" t="str">
        <f>IF(northwind_order_details[[#This Row],[discount amount]]&gt;0,"Yes","No")</f>
        <v>No</v>
      </c>
      <c r="L993" s="1" t="str">
        <f>IF(northwind_order_details[[#This Row],[Revenue]]&gt;1000,"High",IF(northwind_order_details[[#This Row],[Revenue]]&gt;300,"Medium","Low"))</f>
        <v>Low</v>
      </c>
      <c r="M9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94" spans="1:13" x14ac:dyDescent="0.25">
      <c r="A994">
        <v>10635</v>
      </c>
      <c r="B994">
        <v>4</v>
      </c>
      <c r="C994" s="6" t="s">
        <v>25</v>
      </c>
      <c r="D994">
        <v>10</v>
      </c>
      <c r="E994" s="6">
        <v>0.1</v>
      </c>
      <c r="F994" t="str">
        <f>_xlfn.XLOOKUP(northwind_order_details[[#This Row],[order_id]],northwind_orders[order_id],northwind_orders[ship_country])</f>
        <v>Italy</v>
      </c>
      <c r="G994">
        <f>INDEX(northwind_orders[],MATCH(northwind_order_details[[#This Row],[order_id]], northwind_orders[order_id], 0), MATCH("employee_id", northwind_orders[#Headers], 0))</f>
        <v>8</v>
      </c>
      <c r="H994">
        <f>northwind_order_details[[#This Row],[unit_price]]*northwind_order_details[[#This Row],[quantity]]</f>
        <v>220</v>
      </c>
      <c r="I994" s="1">
        <f>northwind_order_details[[#This Row],[purchase amount]]*northwind_order_details[[#This Row],[discount]]</f>
        <v>22</v>
      </c>
      <c r="J994" s="1">
        <f>northwind_order_details[[#This Row],[purchase amount]]-northwind_order_details[[#This Row],[discount amount]]</f>
        <v>198</v>
      </c>
      <c r="K994" s="6" t="str">
        <f>IF(northwind_order_details[[#This Row],[discount amount]]&gt;0,"Yes","No")</f>
        <v>Yes</v>
      </c>
      <c r="L994" s="1" t="str">
        <f>IF(northwind_order_details[[#This Row],[Revenue]]&gt;1000,"High",IF(northwind_order_details[[#This Row],[Revenue]]&gt;300,"Medium","Low"))</f>
        <v>Low</v>
      </c>
      <c r="M9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95" spans="1:13" x14ac:dyDescent="0.25">
      <c r="A995">
        <v>10635</v>
      </c>
      <c r="B995">
        <v>5</v>
      </c>
      <c r="C995" s="6">
        <v>21.35</v>
      </c>
      <c r="D995">
        <v>15</v>
      </c>
      <c r="E995" s="6">
        <v>0.1</v>
      </c>
      <c r="F995" t="str">
        <f>_xlfn.XLOOKUP(northwind_order_details[[#This Row],[order_id]],northwind_orders[order_id],northwind_orders[ship_country])</f>
        <v>Italy</v>
      </c>
      <c r="G995">
        <f>INDEX(northwind_orders[],MATCH(northwind_order_details[[#This Row],[order_id]], northwind_orders[order_id], 0), MATCH("employee_id", northwind_orders[#Headers], 0))</f>
        <v>8</v>
      </c>
      <c r="H995">
        <f>northwind_order_details[[#This Row],[unit_price]]*northwind_order_details[[#This Row],[quantity]]</f>
        <v>320.25</v>
      </c>
      <c r="I995" s="1">
        <f>northwind_order_details[[#This Row],[purchase amount]]*northwind_order_details[[#This Row],[discount]]</f>
        <v>32.024999999999999</v>
      </c>
      <c r="J995" s="1">
        <f>northwind_order_details[[#This Row],[purchase amount]]-northwind_order_details[[#This Row],[discount amount]]</f>
        <v>288.22500000000002</v>
      </c>
      <c r="K995" s="6" t="str">
        <f>IF(northwind_order_details[[#This Row],[discount amount]]&gt;0,"Yes","No")</f>
        <v>Yes</v>
      </c>
      <c r="L995" s="1" t="str">
        <f>IF(northwind_order_details[[#This Row],[Revenue]]&gt;1000,"High",IF(northwind_order_details[[#This Row],[Revenue]]&gt;300,"Medium","Low"))</f>
        <v>Low</v>
      </c>
      <c r="M9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96" spans="1:13" x14ac:dyDescent="0.25">
      <c r="A996">
        <v>10635</v>
      </c>
      <c r="B996">
        <v>22</v>
      </c>
      <c r="C996" s="6" t="s">
        <v>37</v>
      </c>
      <c r="D996">
        <v>40</v>
      </c>
      <c r="E996" s="6" t="s">
        <v>6</v>
      </c>
      <c r="F996" t="str">
        <f>_xlfn.XLOOKUP(northwind_order_details[[#This Row],[order_id]],northwind_orders[order_id],northwind_orders[ship_country])</f>
        <v>Italy</v>
      </c>
      <c r="G996">
        <f>INDEX(northwind_orders[],MATCH(northwind_order_details[[#This Row],[order_id]], northwind_orders[order_id], 0), MATCH("employee_id", northwind_orders[#Headers], 0))</f>
        <v>8</v>
      </c>
      <c r="H996">
        <f>northwind_order_details[[#This Row],[unit_price]]*northwind_order_details[[#This Row],[quantity]]</f>
        <v>840</v>
      </c>
      <c r="I996" s="1">
        <f>northwind_order_details[[#This Row],[purchase amount]]*northwind_order_details[[#This Row],[discount]]</f>
        <v>0</v>
      </c>
      <c r="J996" s="1">
        <f>northwind_order_details[[#This Row],[purchase amount]]-northwind_order_details[[#This Row],[discount amount]]</f>
        <v>840</v>
      </c>
      <c r="K996" s="6" t="str">
        <f>IF(northwind_order_details[[#This Row],[discount amount]]&gt;0,"Yes","No")</f>
        <v>No</v>
      </c>
      <c r="L996" s="1" t="str">
        <f>IF(northwind_order_details[[#This Row],[Revenue]]&gt;1000,"High",IF(northwind_order_details[[#This Row],[Revenue]]&gt;300,"Medium","Low"))</f>
        <v>Medium</v>
      </c>
      <c r="M9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97" spans="1:13" x14ac:dyDescent="0.25">
      <c r="A997">
        <v>10636</v>
      </c>
      <c r="B997">
        <v>4</v>
      </c>
      <c r="C997" s="6" t="s">
        <v>25</v>
      </c>
      <c r="D997">
        <v>25</v>
      </c>
      <c r="E997" s="6" t="s">
        <v>6</v>
      </c>
      <c r="F997" t="str">
        <f>_xlfn.XLOOKUP(northwind_order_details[[#This Row],[order_id]],northwind_orders[order_id],northwind_orders[ship_country])</f>
        <v>Finland</v>
      </c>
      <c r="G997">
        <f>INDEX(northwind_orders[],MATCH(northwind_order_details[[#This Row],[order_id]], northwind_orders[order_id], 0), MATCH("employee_id", northwind_orders[#Headers], 0))</f>
        <v>4</v>
      </c>
      <c r="H997">
        <f>northwind_order_details[[#This Row],[unit_price]]*northwind_order_details[[#This Row],[quantity]]</f>
        <v>550</v>
      </c>
      <c r="I997" s="1">
        <f>northwind_order_details[[#This Row],[purchase amount]]*northwind_order_details[[#This Row],[discount]]</f>
        <v>0</v>
      </c>
      <c r="J997" s="1">
        <f>northwind_order_details[[#This Row],[purchase amount]]-northwind_order_details[[#This Row],[discount amount]]</f>
        <v>550</v>
      </c>
      <c r="K997" s="6" t="str">
        <f>IF(northwind_order_details[[#This Row],[discount amount]]&gt;0,"Yes","No")</f>
        <v>No</v>
      </c>
      <c r="L997" s="1" t="str">
        <f>IF(northwind_order_details[[#This Row],[Revenue]]&gt;1000,"High",IF(northwind_order_details[[#This Row],[Revenue]]&gt;300,"Medium","Low"))</f>
        <v>Medium</v>
      </c>
      <c r="M9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998" spans="1:13" x14ac:dyDescent="0.25">
      <c r="A998">
        <v>10636</v>
      </c>
      <c r="B998">
        <v>58</v>
      </c>
      <c r="C998" s="6">
        <v>13.25</v>
      </c>
      <c r="D998">
        <v>6</v>
      </c>
      <c r="E998" s="6" t="s">
        <v>6</v>
      </c>
      <c r="F998" t="str">
        <f>_xlfn.XLOOKUP(northwind_order_details[[#This Row],[order_id]],northwind_orders[order_id],northwind_orders[ship_country])</f>
        <v>Finland</v>
      </c>
      <c r="G998">
        <f>INDEX(northwind_orders[],MATCH(northwind_order_details[[#This Row],[order_id]], northwind_orders[order_id], 0), MATCH("employee_id", northwind_orders[#Headers], 0))</f>
        <v>4</v>
      </c>
      <c r="H998">
        <f>northwind_order_details[[#This Row],[unit_price]]*northwind_order_details[[#This Row],[quantity]]</f>
        <v>79.5</v>
      </c>
      <c r="I998" s="1">
        <f>northwind_order_details[[#This Row],[purchase amount]]*northwind_order_details[[#This Row],[discount]]</f>
        <v>0</v>
      </c>
      <c r="J998" s="1">
        <f>northwind_order_details[[#This Row],[purchase amount]]-northwind_order_details[[#This Row],[discount amount]]</f>
        <v>79.5</v>
      </c>
      <c r="K998" s="6" t="str">
        <f>IF(northwind_order_details[[#This Row],[discount amount]]&gt;0,"Yes","No")</f>
        <v>No</v>
      </c>
      <c r="L998" s="1" t="str">
        <f>IF(northwind_order_details[[#This Row],[Revenue]]&gt;1000,"High",IF(northwind_order_details[[#This Row],[Revenue]]&gt;300,"Medium","Low"))</f>
        <v>Low</v>
      </c>
      <c r="M9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999" spans="1:13" x14ac:dyDescent="0.25">
      <c r="A999">
        <v>10637</v>
      </c>
      <c r="B999">
        <v>11</v>
      </c>
      <c r="C999" s="6" t="s">
        <v>37</v>
      </c>
      <c r="D999">
        <v>10</v>
      </c>
      <c r="E999" s="6" t="s">
        <v>6</v>
      </c>
      <c r="F999" t="str">
        <f>_xlfn.XLOOKUP(northwind_order_details[[#This Row],[order_id]],northwind_orders[order_id],northwind_orders[ship_country])</f>
        <v>Brazil</v>
      </c>
      <c r="G999">
        <f>INDEX(northwind_orders[],MATCH(northwind_order_details[[#This Row],[order_id]], northwind_orders[order_id], 0), MATCH("employee_id", northwind_orders[#Headers], 0))</f>
        <v>6</v>
      </c>
      <c r="H999">
        <f>northwind_order_details[[#This Row],[unit_price]]*northwind_order_details[[#This Row],[quantity]]</f>
        <v>210</v>
      </c>
      <c r="I999" s="1">
        <f>northwind_order_details[[#This Row],[purchase amount]]*northwind_order_details[[#This Row],[discount]]</f>
        <v>0</v>
      </c>
      <c r="J999" s="1">
        <f>northwind_order_details[[#This Row],[purchase amount]]-northwind_order_details[[#This Row],[discount amount]]</f>
        <v>210</v>
      </c>
      <c r="K999" s="6" t="str">
        <f>IF(northwind_order_details[[#This Row],[discount amount]]&gt;0,"Yes","No")</f>
        <v>No</v>
      </c>
      <c r="L999" s="1" t="str">
        <f>IF(northwind_order_details[[#This Row],[Revenue]]&gt;1000,"High",IF(northwind_order_details[[#This Row],[Revenue]]&gt;300,"Medium","Low"))</f>
        <v>Low</v>
      </c>
      <c r="M9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00" spans="1:13" x14ac:dyDescent="0.25">
      <c r="A1000">
        <v>10637</v>
      </c>
      <c r="B1000">
        <v>50</v>
      </c>
      <c r="C1000" s="6">
        <v>16.25</v>
      </c>
      <c r="D1000">
        <v>25</v>
      </c>
      <c r="E1000" s="6">
        <v>0.05</v>
      </c>
      <c r="F1000" t="str">
        <f>_xlfn.XLOOKUP(northwind_order_details[[#This Row],[order_id]],northwind_orders[order_id],northwind_orders[ship_country])</f>
        <v>Brazil</v>
      </c>
      <c r="G1000">
        <f>INDEX(northwind_orders[],MATCH(northwind_order_details[[#This Row],[order_id]], northwind_orders[order_id], 0), MATCH("employee_id", northwind_orders[#Headers], 0))</f>
        <v>6</v>
      </c>
      <c r="H1000">
        <f>northwind_order_details[[#This Row],[unit_price]]*northwind_order_details[[#This Row],[quantity]]</f>
        <v>406.25</v>
      </c>
      <c r="I1000" s="1">
        <f>northwind_order_details[[#This Row],[purchase amount]]*northwind_order_details[[#This Row],[discount]]</f>
        <v>20.3125</v>
      </c>
      <c r="J1000" s="1">
        <f>northwind_order_details[[#This Row],[purchase amount]]-northwind_order_details[[#This Row],[discount amount]]</f>
        <v>385.9375</v>
      </c>
      <c r="K1000" s="6" t="str">
        <f>IF(northwind_order_details[[#This Row],[discount amount]]&gt;0,"Yes","No")</f>
        <v>Yes</v>
      </c>
      <c r="L1000" s="1" t="str">
        <f>IF(northwind_order_details[[#This Row],[Revenue]]&gt;1000,"High",IF(northwind_order_details[[#This Row],[Revenue]]&gt;300,"Medium","Low"))</f>
        <v>Medium</v>
      </c>
      <c r="M100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01" spans="1:13" x14ac:dyDescent="0.25">
      <c r="A1001">
        <v>10637</v>
      </c>
      <c r="B1001">
        <v>56</v>
      </c>
      <c r="C1001" s="6" t="s">
        <v>30</v>
      </c>
      <c r="D1001">
        <v>60</v>
      </c>
      <c r="E1001" s="6">
        <v>0.05</v>
      </c>
      <c r="F1001" t="str">
        <f>_xlfn.XLOOKUP(northwind_order_details[[#This Row],[order_id]],northwind_orders[order_id],northwind_orders[ship_country])</f>
        <v>Brazil</v>
      </c>
      <c r="G1001">
        <f>INDEX(northwind_orders[],MATCH(northwind_order_details[[#This Row],[order_id]], northwind_orders[order_id], 0), MATCH("employee_id", northwind_orders[#Headers], 0))</f>
        <v>6</v>
      </c>
      <c r="H1001">
        <f>northwind_order_details[[#This Row],[unit_price]]*northwind_order_details[[#This Row],[quantity]]</f>
        <v>2280</v>
      </c>
      <c r="I1001" s="1">
        <f>northwind_order_details[[#This Row],[purchase amount]]*northwind_order_details[[#This Row],[discount]]</f>
        <v>114</v>
      </c>
      <c r="J1001" s="1">
        <f>northwind_order_details[[#This Row],[purchase amount]]-northwind_order_details[[#This Row],[discount amount]]</f>
        <v>2166</v>
      </c>
      <c r="K1001" s="6" t="str">
        <f>IF(northwind_order_details[[#This Row],[discount amount]]&gt;0,"Yes","No")</f>
        <v>Yes</v>
      </c>
      <c r="L1001" s="1" t="str">
        <f>IF(northwind_order_details[[#This Row],[Revenue]]&gt;1000,"High",IF(northwind_order_details[[#This Row],[Revenue]]&gt;300,"Medium","Low"))</f>
        <v>High</v>
      </c>
      <c r="M10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02" spans="1:13" x14ac:dyDescent="0.25">
      <c r="A1002">
        <v>10638</v>
      </c>
      <c r="B1002">
        <v>45</v>
      </c>
      <c r="C1002" s="6">
        <v>9.5</v>
      </c>
      <c r="D1002">
        <v>20</v>
      </c>
      <c r="E1002" s="6" t="s">
        <v>6</v>
      </c>
      <c r="F1002" t="str">
        <f>_xlfn.XLOOKUP(northwind_order_details[[#This Row],[order_id]],northwind_orders[order_id],northwind_orders[ship_country])</f>
        <v>Venezuela</v>
      </c>
      <c r="G1002">
        <f>INDEX(northwind_orders[],MATCH(northwind_order_details[[#This Row],[order_id]], northwind_orders[order_id], 0), MATCH("employee_id", northwind_orders[#Headers], 0))</f>
        <v>3</v>
      </c>
      <c r="H1002">
        <f>northwind_order_details[[#This Row],[unit_price]]*northwind_order_details[[#This Row],[quantity]]</f>
        <v>190</v>
      </c>
      <c r="I1002" s="1">
        <f>northwind_order_details[[#This Row],[purchase amount]]*northwind_order_details[[#This Row],[discount]]</f>
        <v>0</v>
      </c>
      <c r="J1002" s="1">
        <f>northwind_order_details[[#This Row],[purchase amount]]-northwind_order_details[[#This Row],[discount amount]]</f>
        <v>190</v>
      </c>
      <c r="K1002" s="6" t="str">
        <f>IF(northwind_order_details[[#This Row],[discount amount]]&gt;0,"Yes","No")</f>
        <v>No</v>
      </c>
      <c r="L1002" s="1" t="str">
        <f>IF(northwind_order_details[[#This Row],[Revenue]]&gt;1000,"High",IF(northwind_order_details[[#This Row],[Revenue]]&gt;300,"Medium","Low"))</f>
        <v>Low</v>
      </c>
      <c r="M10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03" spans="1:13" x14ac:dyDescent="0.25">
      <c r="A1003">
        <v>10638</v>
      </c>
      <c r="B1003">
        <v>65</v>
      </c>
      <c r="C1003" s="6">
        <v>21.05</v>
      </c>
      <c r="D1003">
        <v>21</v>
      </c>
      <c r="E1003" s="6" t="s">
        <v>6</v>
      </c>
      <c r="F1003" t="str">
        <f>_xlfn.XLOOKUP(northwind_order_details[[#This Row],[order_id]],northwind_orders[order_id],northwind_orders[ship_country])</f>
        <v>Venezuela</v>
      </c>
      <c r="G1003">
        <f>INDEX(northwind_orders[],MATCH(northwind_order_details[[#This Row],[order_id]], northwind_orders[order_id], 0), MATCH("employee_id", northwind_orders[#Headers], 0))</f>
        <v>3</v>
      </c>
      <c r="H1003">
        <f>northwind_order_details[[#This Row],[unit_price]]*northwind_order_details[[#This Row],[quantity]]</f>
        <v>442.05</v>
      </c>
      <c r="I1003" s="1">
        <f>northwind_order_details[[#This Row],[purchase amount]]*northwind_order_details[[#This Row],[discount]]</f>
        <v>0</v>
      </c>
      <c r="J1003" s="1">
        <f>northwind_order_details[[#This Row],[purchase amount]]-northwind_order_details[[#This Row],[discount amount]]</f>
        <v>442.05</v>
      </c>
      <c r="K1003" s="6" t="str">
        <f>IF(northwind_order_details[[#This Row],[discount amount]]&gt;0,"Yes","No")</f>
        <v>No</v>
      </c>
      <c r="L1003" s="1" t="str">
        <f>IF(northwind_order_details[[#This Row],[Revenue]]&gt;1000,"High",IF(northwind_order_details[[#This Row],[Revenue]]&gt;300,"Medium","Low"))</f>
        <v>Medium</v>
      </c>
      <c r="M100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04" spans="1:13" x14ac:dyDescent="0.25">
      <c r="A1004">
        <v>10638</v>
      </c>
      <c r="B1004">
        <v>72</v>
      </c>
      <c r="C1004" s="6">
        <v>34.799999999999997</v>
      </c>
      <c r="D1004">
        <v>60</v>
      </c>
      <c r="E1004" s="6" t="s">
        <v>6</v>
      </c>
      <c r="F1004" t="str">
        <f>_xlfn.XLOOKUP(northwind_order_details[[#This Row],[order_id]],northwind_orders[order_id],northwind_orders[ship_country])</f>
        <v>Venezuela</v>
      </c>
      <c r="G1004">
        <f>INDEX(northwind_orders[],MATCH(northwind_order_details[[#This Row],[order_id]], northwind_orders[order_id], 0), MATCH("employee_id", northwind_orders[#Headers], 0))</f>
        <v>3</v>
      </c>
      <c r="H1004">
        <f>northwind_order_details[[#This Row],[unit_price]]*northwind_order_details[[#This Row],[quantity]]</f>
        <v>2088</v>
      </c>
      <c r="I1004" s="1">
        <f>northwind_order_details[[#This Row],[purchase amount]]*northwind_order_details[[#This Row],[discount]]</f>
        <v>0</v>
      </c>
      <c r="J1004" s="1">
        <f>northwind_order_details[[#This Row],[purchase amount]]-northwind_order_details[[#This Row],[discount amount]]</f>
        <v>2088</v>
      </c>
      <c r="K1004" s="6" t="str">
        <f>IF(northwind_order_details[[#This Row],[discount amount]]&gt;0,"Yes","No")</f>
        <v>No</v>
      </c>
      <c r="L1004" s="1" t="str">
        <f>IF(northwind_order_details[[#This Row],[Revenue]]&gt;1000,"High",IF(northwind_order_details[[#This Row],[Revenue]]&gt;300,"Medium","Low"))</f>
        <v>High</v>
      </c>
      <c r="M10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05" spans="1:13" x14ac:dyDescent="0.25">
      <c r="A1005">
        <v>10639</v>
      </c>
      <c r="B1005">
        <v>18</v>
      </c>
      <c r="C1005" s="6">
        <v>62.5</v>
      </c>
      <c r="D1005">
        <v>8</v>
      </c>
      <c r="E1005" s="6" t="s">
        <v>6</v>
      </c>
      <c r="F1005" t="str">
        <f>_xlfn.XLOOKUP(northwind_order_details[[#This Row],[order_id]],northwind_orders[order_id],northwind_orders[ship_country])</f>
        <v>Norway</v>
      </c>
      <c r="G1005">
        <f>INDEX(northwind_orders[],MATCH(northwind_order_details[[#This Row],[order_id]], northwind_orders[order_id], 0), MATCH("employee_id", northwind_orders[#Headers], 0))</f>
        <v>7</v>
      </c>
      <c r="H1005">
        <f>northwind_order_details[[#This Row],[unit_price]]*northwind_order_details[[#This Row],[quantity]]</f>
        <v>500</v>
      </c>
      <c r="I1005" s="1">
        <f>northwind_order_details[[#This Row],[purchase amount]]*northwind_order_details[[#This Row],[discount]]</f>
        <v>0</v>
      </c>
      <c r="J1005" s="1">
        <f>northwind_order_details[[#This Row],[purchase amount]]-northwind_order_details[[#This Row],[discount amount]]</f>
        <v>500</v>
      </c>
      <c r="K1005" s="6" t="str">
        <f>IF(northwind_order_details[[#This Row],[discount amount]]&gt;0,"Yes","No")</f>
        <v>No</v>
      </c>
      <c r="L1005" s="1" t="str">
        <f>IF(northwind_order_details[[#This Row],[Revenue]]&gt;1000,"High",IF(northwind_order_details[[#This Row],[Revenue]]&gt;300,"Medium","Low"))</f>
        <v>Medium</v>
      </c>
      <c r="M100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06" spans="1:13" x14ac:dyDescent="0.25">
      <c r="A1006">
        <v>10640</v>
      </c>
      <c r="B1006">
        <v>69</v>
      </c>
      <c r="C1006" s="6" t="s">
        <v>38</v>
      </c>
      <c r="D1006">
        <v>20</v>
      </c>
      <c r="E1006" s="6">
        <v>0.25</v>
      </c>
      <c r="F1006" t="str">
        <f>_xlfn.XLOOKUP(northwind_order_details[[#This Row],[order_id]],northwind_orders[order_id],northwind_orders[ship_country])</f>
        <v>Germany</v>
      </c>
      <c r="G1006">
        <f>INDEX(northwind_orders[],MATCH(northwind_order_details[[#This Row],[order_id]], northwind_orders[order_id], 0), MATCH("employee_id", northwind_orders[#Headers], 0))</f>
        <v>4</v>
      </c>
      <c r="H1006">
        <f>northwind_order_details[[#This Row],[unit_price]]*northwind_order_details[[#This Row],[quantity]]</f>
        <v>720</v>
      </c>
      <c r="I1006" s="1">
        <f>northwind_order_details[[#This Row],[purchase amount]]*northwind_order_details[[#This Row],[discount]]</f>
        <v>180</v>
      </c>
      <c r="J1006" s="1">
        <f>northwind_order_details[[#This Row],[purchase amount]]-northwind_order_details[[#This Row],[discount amount]]</f>
        <v>540</v>
      </c>
      <c r="K1006" s="6" t="str">
        <f>IF(northwind_order_details[[#This Row],[discount amount]]&gt;0,"Yes","No")</f>
        <v>Yes</v>
      </c>
      <c r="L1006" s="1" t="str">
        <f>IF(northwind_order_details[[#This Row],[Revenue]]&gt;1000,"High",IF(northwind_order_details[[#This Row],[Revenue]]&gt;300,"Medium","Low"))</f>
        <v>Medium</v>
      </c>
      <c r="M10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07" spans="1:13" x14ac:dyDescent="0.25">
      <c r="A1007">
        <v>10640</v>
      </c>
      <c r="B1007">
        <v>70</v>
      </c>
      <c r="C1007" s="6" t="s">
        <v>21</v>
      </c>
      <c r="D1007">
        <v>15</v>
      </c>
      <c r="E1007" s="6">
        <v>0.25</v>
      </c>
      <c r="F1007" t="str">
        <f>_xlfn.XLOOKUP(northwind_order_details[[#This Row],[order_id]],northwind_orders[order_id],northwind_orders[ship_country])</f>
        <v>Germany</v>
      </c>
      <c r="G1007">
        <f>INDEX(northwind_orders[],MATCH(northwind_order_details[[#This Row],[order_id]], northwind_orders[order_id], 0), MATCH("employee_id", northwind_orders[#Headers], 0))</f>
        <v>4</v>
      </c>
      <c r="H1007">
        <f>northwind_order_details[[#This Row],[unit_price]]*northwind_order_details[[#This Row],[quantity]]</f>
        <v>225</v>
      </c>
      <c r="I1007" s="1">
        <f>northwind_order_details[[#This Row],[purchase amount]]*northwind_order_details[[#This Row],[discount]]</f>
        <v>56.25</v>
      </c>
      <c r="J1007" s="1">
        <f>northwind_order_details[[#This Row],[purchase amount]]-northwind_order_details[[#This Row],[discount amount]]</f>
        <v>168.75</v>
      </c>
      <c r="K1007" s="6" t="str">
        <f>IF(northwind_order_details[[#This Row],[discount amount]]&gt;0,"Yes","No")</f>
        <v>Yes</v>
      </c>
      <c r="L1007" s="1" t="str">
        <f>IF(northwind_order_details[[#This Row],[Revenue]]&gt;1000,"High",IF(northwind_order_details[[#This Row],[Revenue]]&gt;300,"Medium","Low"))</f>
        <v>Low</v>
      </c>
      <c r="M10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08" spans="1:13" x14ac:dyDescent="0.25">
      <c r="A1008">
        <v>10641</v>
      </c>
      <c r="B1008">
        <v>2</v>
      </c>
      <c r="C1008" s="6" t="s">
        <v>20</v>
      </c>
      <c r="D1008">
        <v>50</v>
      </c>
      <c r="E1008" s="6" t="s">
        <v>6</v>
      </c>
      <c r="F1008" t="str">
        <f>_xlfn.XLOOKUP(northwind_order_details[[#This Row],[order_id]],northwind_orders[order_id],northwind_orders[ship_country])</f>
        <v>Venezuela</v>
      </c>
      <c r="G1008">
        <f>INDEX(northwind_orders[],MATCH(northwind_order_details[[#This Row],[order_id]], northwind_orders[order_id], 0), MATCH("employee_id", northwind_orders[#Headers], 0))</f>
        <v>4</v>
      </c>
      <c r="H1008">
        <f>northwind_order_details[[#This Row],[unit_price]]*northwind_order_details[[#This Row],[quantity]]</f>
        <v>950</v>
      </c>
      <c r="I1008" s="1">
        <f>northwind_order_details[[#This Row],[purchase amount]]*northwind_order_details[[#This Row],[discount]]</f>
        <v>0</v>
      </c>
      <c r="J1008" s="1">
        <f>northwind_order_details[[#This Row],[purchase amount]]-northwind_order_details[[#This Row],[discount amount]]</f>
        <v>950</v>
      </c>
      <c r="K1008" s="6" t="str">
        <f>IF(northwind_order_details[[#This Row],[discount amount]]&gt;0,"Yes","No")</f>
        <v>No</v>
      </c>
      <c r="L1008" s="1" t="str">
        <f>IF(northwind_order_details[[#This Row],[Revenue]]&gt;1000,"High",IF(northwind_order_details[[#This Row],[Revenue]]&gt;300,"Medium","Low"))</f>
        <v>Medium</v>
      </c>
      <c r="M10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09" spans="1:13" x14ac:dyDescent="0.25">
      <c r="A1009">
        <v>10641</v>
      </c>
      <c r="B1009">
        <v>40</v>
      </c>
      <c r="C1009" s="6">
        <v>18.399999999999999</v>
      </c>
      <c r="D1009">
        <v>60</v>
      </c>
      <c r="E1009" s="6" t="s">
        <v>6</v>
      </c>
      <c r="F1009" t="str">
        <f>_xlfn.XLOOKUP(northwind_order_details[[#This Row],[order_id]],northwind_orders[order_id],northwind_orders[ship_country])</f>
        <v>Venezuela</v>
      </c>
      <c r="G1009">
        <f>INDEX(northwind_orders[],MATCH(northwind_order_details[[#This Row],[order_id]], northwind_orders[order_id], 0), MATCH("employee_id", northwind_orders[#Headers], 0))</f>
        <v>4</v>
      </c>
      <c r="H1009">
        <f>northwind_order_details[[#This Row],[unit_price]]*northwind_order_details[[#This Row],[quantity]]</f>
        <v>1104</v>
      </c>
      <c r="I1009" s="1">
        <f>northwind_order_details[[#This Row],[purchase amount]]*northwind_order_details[[#This Row],[discount]]</f>
        <v>0</v>
      </c>
      <c r="J1009" s="1">
        <f>northwind_order_details[[#This Row],[purchase amount]]-northwind_order_details[[#This Row],[discount amount]]</f>
        <v>1104</v>
      </c>
      <c r="K1009" s="6" t="str">
        <f>IF(northwind_order_details[[#This Row],[discount amount]]&gt;0,"Yes","No")</f>
        <v>No</v>
      </c>
      <c r="L1009" s="1" t="str">
        <f>IF(northwind_order_details[[#This Row],[Revenue]]&gt;1000,"High",IF(northwind_order_details[[#This Row],[Revenue]]&gt;300,"Medium","Low"))</f>
        <v>High</v>
      </c>
      <c r="M100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10" spans="1:13" x14ac:dyDescent="0.25">
      <c r="A1010">
        <v>10642</v>
      </c>
      <c r="B1010">
        <v>21</v>
      </c>
      <c r="C1010" s="6" t="s">
        <v>8</v>
      </c>
      <c r="D1010">
        <v>30</v>
      </c>
      <c r="E1010" s="6">
        <v>0.2</v>
      </c>
      <c r="F1010" t="str">
        <f>_xlfn.XLOOKUP(northwind_order_details[[#This Row],[order_id]],northwind_orders[order_id],northwind_orders[ship_country])</f>
        <v>Denmark</v>
      </c>
      <c r="G1010">
        <f>INDEX(northwind_orders[],MATCH(northwind_order_details[[#This Row],[order_id]], northwind_orders[order_id], 0), MATCH("employee_id", northwind_orders[#Headers], 0))</f>
        <v>7</v>
      </c>
      <c r="H1010">
        <f>northwind_order_details[[#This Row],[unit_price]]*northwind_order_details[[#This Row],[quantity]]</f>
        <v>300</v>
      </c>
      <c r="I1010" s="1">
        <f>northwind_order_details[[#This Row],[purchase amount]]*northwind_order_details[[#This Row],[discount]]</f>
        <v>60</v>
      </c>
      <c r="J1010" s="1">
        <f>northwind_order_details[[#This Row],[purchase amount]]-northwind_order_details[[#This Row],[discount amount]]</f>
        <v>240</v>
      </c>
      <c r="K1010" s="6" t="str">
        <f>IF(northwind_order_details[[#This Row],[discount amount]]&gt;0,"Yes","No")</f>
        <v>Yes</v>
      </c>
      <c r="L1010" s="1" t="str">
        <f>IF(northwind_order_details[[#This Row],[Revenue]]&gt;1000,"High",IF(northwind_order_details[[#This Row],[Revenue]]&gt;300,"Medium","Low"))</f>
        <v>Low</v>
      </c>
      <c r="M10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11" spans="1:13" x14ac:dyDescent="0.25">
      <c r="A1011">
        <v>10642</v>
      </c>
      <c r="B1011">
        <v>61</v>
      </c>
      <c r="C1011" s="6">
        <v>28.5</v>
      </c>
      <c r="D1011">
        <v>20</v>
      </c>
      <c r="E1011" s="6">
        <v>0.2</v>
      </c>
      <c r="F1011" t="str">
        <f>_xlfn.XLOOKUP(northwind_order_details[[#This Row],[order_id]],northwind_orders[order_id],northwind_orders[ship_country])</f>
        <v>Denmark</v>
      </c>
      <c r="G1011">
        <f>INDEX(northwind_orders[],MATCH(northwind_order_details[[#This Row],[order_id]], northwind_orders[order_id], 0), MATCH("employee_id", northwind_orders[#Headers], 0))</f>
        <v>7</v>
      </c>
      <c r="H1011">
        <f>northwind_order_details[[#This Row],[unit_price]]*northwind_order_details[[#This Row],[quantity]]</f>
        <v>570</v>
      </c>
      <c r="I1011" s="1">
        <f>northwind_order_details[[#This Row],[purchase amount]]*northwind_order_details[[#This Row],[discount]]</f>
        <v>114</v>
      </c>
      <c r="J1011" s="1">
        <f>northwind_order_details[[#This Row],[purchase amount]]-northwind_order_details[[#This Row],[discount amount]]</f>
        <v>456</v>
      </c>
      <c r="K1011" s="6" t="str">
        <f>IF(northwind_order_details[[#This Row],[discount amount]]&gt;0,"Yes","No")</f>
        <v>Yes</v>
      </c>
      <c r="L1011" s="1" t="str">
        <f>IF(northwind_order_details[[#This Row],[Revenue]]&gt;1000,"High",IF(northwind_order_details[[#This Row],[Revenue]]&gt;300,"Medium","Low"))</f>
        <v>Medium</v>
      </c>
      <c r="M10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12" spans="1:13" x14ac:dyDescent="0.25">
      <c r="A1012">
        <v>10643</v>
      </c>
      <c r="B1012">
        <v>28</v>
      </c>
      <c r="C1012" s="6">
        <v>45.6</v>
      </c>
      <c r="D1012">
        <v>15</v>
      </c>
      <c r="E1012" s="6">
        <v>0.25</v>
      </c>
      <c r="F1012" t="str">
        <f>_xlfn.XLOOKUP(northwind_order_details[[#This Row],[order_id]],northwind_orders[order_id],northwind_orders[ship_country])</f>
        <v>Germany</v>
      </c>
      <c r="G1012">
        <f>INDEX(northwind_orders[],MATCH(northwind_order_details[[#This Row],[order_id]], northwind_orders[order_id], 0), MATCH("employee_id", northwind_orders[#Headers], 0))</f>
        <v>6</v>
      </c>
      <c r="H1012">
        <f>northwind_order_details[[#This Row],[unit_price]]*northwind_order_details[[#This Row],[quantity]]</f>
        <v>684</v>
      </c>
      <c r="I1012" s="1">
        <f>northwind_order_details[[#This Row],[purchase amount]]*northwind_order_details[[#This Row],[discount]]</f>
        <v>171</v>
      </c>
      <c r="J1012" s="1">
        <f>northwind_order_details[[#This Row],[purchase amount]]-northwind_order_details[[#This Row],[discount amount]]</f>
        <v>513</v>
      </c>
      <c r="K1012" s="6" t="str">
        <f>IF(northwind_order_details[[#This Row],[discount amount]]&gt;0,"Yes","No")</f>
        <v>Yes</v>
      </c>
      <c r="L1012" s="1" t="str">
        <f>IF(northwind_order_details[[#This Row],[Revenue]]&gt;1000,"High",IF(northwind_order_details[[#This Row],[Revenue]]&gt;300,"Medium","Low"))</f>
        <v>Medium</v>
      </c>
      <c r="M101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13" spans="1:13" x14ac:dyDescent="0.25">
      <c r="A1013">
        <v>10643</v>
      </c>
      <c r="B1013">
        <v>39</v>
      </c>
      <c r="C1013" s="6" t="s">
        <v>24</v>
      </c>
      <c r="D1013">
        <v>21</v>
      </c>
      <c r="E1013" s="6">
        <v>0.25</v>
      </c>
      <c r="F1013" t="str">
        <f>_xlfn.XLOOKUP(northwind_order_details[[#This Row],[order_id]],northwind_orders[order_id],northwind_orders[ship_country])</f>
        <v>Germany</v>
      </c>
      <c r="G1013">
        <f>INDEX(northwind_orders[],MATCH(northwind_order_details[[#This Row],[order_id]], northwind_orders[order_id], 0), MATCH("employee_id", northwind_orders[#Headers], 0))</f>
        <v>6</v>
      </c>
      <c r="H1013">
        <f>northwind_order_details[[#This Row],[unit_price]]*northwind_order_details[[#This Row],[quantity]]</f>
        <v>378</v>
      </c>
      <c r="I1013" s="1">
        <f>northwind_order_details[[#This Row],[purchase amount]]*northwind_order_details[[#This Row],[discount]]</f>
        <v>94.5</v>
      </c>
      <c r="J1013" s="1">
        <f>northwind_order_details[[#This Row],[purchase amount]]-northwind_order_details[[#This Row],[discount amount]]</f>
        <v>283.5</v>
      </c>
      <c r="K1013" s="6" t="str">
        <f>IF(northwind_order_details[[#This Row],[discount amount]]&gt;0,"Yes","No")</f>
        <v>Yes</v>
      </c>
      <c r="L1013" s="1" t="str">
        <f>IF(northwind_order_details[[#This Row],[Revenue]]&gt;1000,"High",IF(northwind_order_details[[#This Row],[Revenue]]&gt;300,"Medium","Low"))</f>
        <v>Low</v>
      </c>
      <c r="M10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14" spans="1:13" x14ac:dyDescent="0.25">
      <c r="A1014">
        <v>10643</v>
      </c>
      <c r="B1014">
        <v>46</v>
      </c>
      <c r="C1014" s="6" t="s">
        <v>13</v>
      </c>
      <c r="D1014">
        <v>2</v>
      </c>
      <c r="E1014" s="6">
        <v>0.25</v>
      </c>
      <c r="F1014" t="str">
        <f>_xlfn.XLOOKUP(northwind_order_details[[#This Row],[order_id]],northwind_orders[order_id],northwind_orders[ship_country])</f>
        <v>Germany</v>
      </c>
      <c r="G1014">
        <f>INDEX(northwind_orders[],MATCH(northwind_order_details[[#This Row],[order_id]], northwind_orders[order_id], 0), MATCH("employee_id", northwind_orders[#Headers], 0))</f>
        <v>6</v>
      </c>
      <c r="H1014">
        <f>northwind_order_details[[#This Row],[unit_price]]*northwind_order_details[[#This Row],[quantity]]</f>
        <v>24</v>
      </c>
      <c r="I1014" s="1">
        <f>northwind_order_details[[#This Row],[purchase amount]]*northwind_order_details[[#This Row],[discount]]</f>
        <v>6</v>
      </c>
      <c r="J1014" s="1">
        <f>northwind_order_details[[#This Row],[purchase amount]]-northwind_order_details[[#This Row],[discount amount]]</f>
        <v>18</v>
      </c>
      <c r="K1014" s="6" t="str">
        <f>IF(northwind_order_details[[#This Row],[discount amount]]&gt;0,"Yes","No")</f>
        <v>Yes</v>
      </c>
      <c r="L1014" s="1" t="str">
        <f>IF(northwind_order_details[[#This Row],[Revenue]]&gt;1000,"High",IF(northwind_order_details[[#This Row],[Revenue]]&gt;300,"Medium","Low"))</f>
        <v>Low</v>
      </c>
      <c r="M10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15" spans="1:13" x14ac:dyDescent="0.25">
      <c r="A1015">
        <v>10644</v>
      </c>
      <c r="B1015">
        <v>18</v>
      </c>
      <c r="C1015" s="6">
        <v>62.5</v>
      </c>
      <c r="D1015">
        <v>4</v>
      </c>
      <c r="E1015" s="6">
        <v>0.1</v>
      </c>
      <c r="F1015" t="str">
        <f>_xlfn.XLOOKUP(northwind_order_details[[#This Row],[order_id]],northwind_orders[order_id],northwind_orders[ship_country])</f>
        <v>Brazil</v>
      </c>
      <c r="G1015">
        <f>INDEX(northwind_orders[],MATCH(northwind_order_details[[#This Row],[order_id]], northwind_orders[order_id], 0), MATCH("employee_id", northwind_orders[#Headers], 0))</f>
        <v>3</v>
      </c>
      <c r="H1015">
        <f>northwind_order_details[[#This Row],[unit_price]]*northwind_order_details[[#This Row],[quantity]]</f>
        <v>250</v>
      </c>
      <c r="I1015" s="1">
        <f>northwind_order_details[[#This Row],[purchase amount]]*northwind_order_details[[#This Row],[discount]]</f>
        <v>25</v>
      </c>
      <c r="J1015" s="1">
        <f>northwind_order_details[[#This Row],[purchase amount]]-northwind_order_details[[#This Row],[discount amount]]</f>
        <v>225</v>
      </c>
      <c r="K1015" s="6" t="str">
        <f>IF(northwind_order_details[[#This Row],[discount amount]]&gt;0,"Yes","No")</f>
        <v>Yes</v>
      </c>
      <c r="L1015" s="1" t="str">
        <f>IF(northwind_order_details[[#This Row],[Revenue]]&gt;1000,"High",IF(northwind_order_details[[#This Row],[Revenue]]&gt;300,"Medium","Low"))</f>
        <v>Low</v>
      </c>
      <c r="M101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16" spans="1:13" x14ac:dyDescent="0.25">
      <c r="A1016">
        <v>10644</v>
      </c>
      <c r="B1016">
        <v>43</v>
      </c>
      <c r="C1016" s="6" t="s">
        <v>22</v>
      </c>
      <c r="D1016">
        <v>20</v>
      </c>
      <c r="E1016" s="6" t="s">
        <v>6</v>
      </c>
      <c r="F1016" t="str">
        <f>_xlfn.XLOOKUP(northwind_order_details[[#This Row],[order_id]],northwind_orders[order_id],northwind_orders[ship_country])</f>
        <v>Brazil</v>
      </c>
      <c r="G1016">
        <f>INDEX(northwind_orders[],MATCH(northwind_order_details[[#This Row],[order_id]], northwind_orders[order_id], 0), MATCH("employee_id", northwind_orders[#Headers], 0))</f>
        <v>3</v>
      </c>
      <c r="H1016">
        <f>northwind_order_details[[#This Row],[unit_price]]*northwind_order_details[[#This Row],[quantity]]</f>
        <v>920</v>
      </c>
      <c r="I1016" s="1">
        <f>northwind_order_details[[#This Row],[purchase amount]]*northwind_order_details[[#This Row],[discount]]</f>
        <v>0</v>
      </c>
      <c r="J1016" s="1">
        <f>northwind_order_details[[#This Row],[purchase amount]]-northwind_order_details[[#This Row],[discount amount]]</f>
        <v>920</v>
      </c>
      <c r="K1016" s="6" t="str">
        <f>IF(northwind_order_details[[#This Row],[discount amount]]&gt;0,"Yes","No")</f>
        <v>No</v>
      </c>
      <c r="L1016" s="1" t="str">
        <f>IF(northwind_order_details[[#This Row],[Revenue]]&gt;1000,"High",IF(northwind_order_details[[#This Row],[Revenue]]&gt;300,"Medium","Low"))</f>
        <v>Medium</v>
      </c>
      <c r="M10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17" spans="1:13" x14ac:dyDescent="0.25">
      <c r="A1017">
        <v>10644</v>
      </c>
      <c r="B1017">
        <v>46</v>
      </c>
      <c r="C1017" s="6" t="s">
        <v>13</v>
      </c>
      <c r="D1017">
        <v>21</v>
      </c>
      <c r="E1017" s="6">
        <v>0.1</v>
      </c>
      <c r="F1017" t="str">
        <f>_xlfn.XLOOKUP(northwind_order_details[[#This Row],[order_id]],northwind_orders[order_id],northwind_orders[ship_country])</f>
        <v>Brazil</v>
      </c>
      <c r="G1017">
        <f>INDEX(northwind_orders[],MATCH(northwind_order_details[[#This Row],[order_id]], northwind_orders[order_id], 0), MATCH("employee_id", northwind_orders[#Headers], 0))</f>
        <v>3</v>
      </c>
      <c r="H1017">
        <f>northwind_order_details[[#This Row],[unit_price]]*northwind_order_details[[#This Row],[quantity]]</f>
        <v>252</v>
      </c>
      <c r="I1017" s="1">
        <f>northwind_order_details[[#This Row],[purchase amount]]*northwind_order_details[[#This Row],[discount]]</f>
        <v>25.200000000000003</v>
      </c>
      <c r="J1017" s="1">
        <f>northwind_order_details[[#This Row],[purchase amount]]-northwind_order_details[[#This Row],[discount amount]]</f>
        <v>226.8</v>
      </c>
      <c r="K1017" s="6" t="str">
        <f>IF(northwind_order_details[[#This Row],[discount amount]]&gt;0,"Yes","No")</f>
        <v>Yes</v>
      </c>
      <c r="L1017" s="1" t="str">
        <f>IF(northwind_order_details[[#This Row],[Revenue]]&gt;1000,"High",IF(northwind_order_details[[#This Row],[Revenue]]&gt;300,"Medium","Low"))</f>
        <v>Low</v>
      </c>
      <c r="M10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18" spans="1:13" x14ac:dyDescent="0.25">
      <c r="A1018">
        <v>10645</v>
      </c>
      <c r="B1018">
        <v>18</v>
      </c>
      <c r="C1018" s="6">
        <v>62.5</v>
      </c>
      <c r="D1018">
        <v>20</v>
      </c>
      <c r="E1018" s="6" t="s">
        <v>6</v>
      </c>
      <c r="F1018" t="str">
        <f>_xlfn.XLOOKUP(northwind_order_details[[#This Row],[order_id]],northwind_orders[order_id],northwind_orders[ship_country])</f>
        <v>Brazil</v>
      </c>
      <c r="G1018">
        <f>INDEX(northwind_orders[],MATCH(northwind_order_details[[#This Row],[order_id]], northwind_orders[order_id], 0), MATCH("employee_id", northwind_orders[#Headers], 0))</f>
        <v>4</v>
      </c>
      <c r="H1018">
        <f>northwind_order_details[[#This Row],[unit_price]]*northwind_order_details[[#This Row],[quantity]]</f>
        <v>1250</v>
      </c>
      <c r="I1018" s="1">
        <f>northwind_order_details[[#This Row],[purchase amount]]*northwind_order_details[[#This Row],[discount]]</f>
        <v>0</v>
      </c>
      <c r="J1018" s="1">
        <f>northwind_order_details[[#This Row],[purchase amount]]-northwind_order_details[[#This Row],[discount amount]]</f>
        <v>1250</v>
      </c>
      <c r="K1018" s="6" t="str">
        <f>IF(northwind_order_details[[#This Row],[discount amount]]&gt;0,"Yes","No")</f>
        <v>No</v>
      </c>
      <c r="L1018" s="1" t="str">
        <f>IF(northwind_order_details[[#This Row],[Revenue]]&gt;1000,"High",IF(northwind_order_details[[#This Row],[Revenue]]&gt;300,"Medium","Low"))</f>
        <v>High</v>
      </c>
      <c r="M10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19" spans="1:13" x14ac:dyDescent="0.25">
      <c r="A1019">
        <v>10645</v>
      </c>
      <c r="B1019">
        <v>36</v>
      </c>
      <c r="C1019" s="6" t="s">
        <v>20</v>
      </c>
      <c r="D1019">
        <v>15</v>
      </c>
      <c r="E1019" s="6" t="s">
        <v>6</v>
      </c>
      <c r="F1019" t="str">
        <f>_xlfn.XLOOKUP(northwind_order_details[[#This Row],[order_id]],northwind_orders[order_id],northwind_orders[ship_country])</f>
        <v>Brazil</v>
      </c>
      <c r="G1019">
        <f>INDEX(northwind_orders[],MATCH(northwind_order_details[[#This Row],[order_id]], northwind_orders[order_id], 0), MATCH("employee_id", northwind_orders[#Headers], 0))</f>
        <v>4</v>
      </c>
      <c r="H1019">
        <f>northwind_order_details[[#This Row],[unit_price]]*northwind_order_details[[#This Row],[quantity]]</f>
        <v>285</v>
      </c>
      <c r="I1019" s="1">
        <f>northwind_order_details[[#This Row],[purchase amount]]*northwind_order_details[[#This Row],[discount]]</f>
        <v>0</v>
      </c>
      <c r="J1019" s="1">
        <f>northwind_order_details[[#This Row],[purchase amount]]-northwind_order_details[[#This Row],[discount amount]]</f>
        <v>285</v>
      </c>
      <c r="K1019" s="6" t="str">
        <f>IF(northwind_order_details[[#This Row],[discount amount]]&gt;0,"Yes","No")</f>
        <v>No</v>
      </c>
      <c r="L1019" s="1" t="str">
        <f>IF(northwind_order_details[[#This Row],[Revenue]]&gt;1000,"High",IF(northwind_order_details[[#This Row],[Revenue]]&gt;300,"Medium","Low"))</f>
        <v>Low</v>
      </c>
      <c r="M10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20" spans="1:13" x14ac:dyDescent="0.25">
      <c r="A1020">
        <v>10647</v>
      </c>
      <c r="B1020">
        <v>19</v>
      </c>
      <c r="C1020" s="6">
        <v>9.1999999999999993</v>
      </c>
      <c r="D1020">
        <v>30</v>
      </c>
      <c r="E1020" s="6" t="s">
        <v>6</v>
      </c>
      <c r="F1020" t="str">
        <f>_xlfn.XLOOKUP(northwind_order_details[[#This Row],[order_id]],northwind_orders[order_id],northwind_orders[ship_country])</f>
        <v>Brazil</v>
      </c>
      <c r="G1020">
        <f>INDEX(northwind_orders[],MATCH(northwind_order_details[[#This Row],[order_id]], northwind_orders[order_id], 0), MATCH("employee_id", northwind_orders[#Headers], 0))</f>
        <v>4</v>
      </c>
      <c r="H1020">
        <f>northwind_order_details[[#This Row],[unit_price]]*northwind_order_details[[#This Row],[quantity]]</f>
        <v>276</v>
      </c>
      <c r="I1020" s="1">
        <f>northwind_order_details[[#This Row],[purchase amount]]*northwind_order_details[[#This Row],[discount]]</f>
        <v>0</v>
      </c>
      <c r="J1020" s="1">
        <f>northwind_order_details[[#This Row],[purchase amount]]-northwind_order_details[[#This Row],[discount amount]]</f>
        <v>276</v>
      </c>
      <c r="K1020" s="6" t="str">
        <f>IF(northwind_order_details[[#This Row],[discount amount]]&gt;0,"Yes","No")</f>
        <v>No</v>
      </c>
      <c r="L1020" s="1" t="str">
        <f>IF(northwind_order_details[[#This Row],[Revenue]]&gt;1000,"High",IF(northwind_order_details[[#This Row],[Revenue]]&gt;300,"Medium","Low"))</f>
        <v>Low</v>
      </c>
      <c r="M10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1" spans="1:13" x14ac:dyDescent="0.25">
      <c r="A1021">
        <v>10647</v>
      </c>
      <c r="B1021">
        <v>39</v>
      </c>
      <c r="C1021" s="6" t="s">
        <v>24</v>
      </c>
      <c r="D1021">
        <v>20</v>
      </c>
      <c r="E1021" s="6" t="s">
        <v>6</v>
      </c>
      <c r="F1021" t="str">
        <f>_xlfn.XLOOKUP(northwind_order_details[[#This Row],[order_id]],northwind_orders[order_id],northwind_orders[ship_country])</f>
        <v>Brazil</v>
      </c>
      <c r="G1021">
        <f>INDEX(northwind_orders[],MATCH(northwind_order_details[[#This Row],[order_id]], northwind_orders[order_id], 0), MATCH("employee_id", northwind_orders[#Headers], 0))</f>
        <v>4</v>
      </c>
      <c r="H1021">
        <f>northwind_order_details[[#This Row],[unit_price]]*northwind_order_details[[#This Row],[quantity]]</f>
        <v>360</v>
      </c>
      <c r="I1021" s="1">
        <f>northwind_order_details[[#This Row],[purchase amount]]*northwind_order_details[[#This Row],[discount]]</f>
        <v>0</v>
      </c>
      <c r="J1021" s="1">
        <f>northwind_order_details[[#This Row],[purchase amount]]-northwind_order_details[[#This Row],[discount amount]]</f>
        <v>360</v>
      </c>
      <c r="K1021" s="6" t="str">
        <f>IF(northwind_order_details[[#This Row],[discount amount]]&gt;0,"Yes","No")</f>
        <v>No</v>
      </c>
      <c r="L1021" s="1" t="str">
        <f>IF(northwind_order_details[[#This Row],[Revenue]]&gt;1000,"High",IF(northwind_order_details[[#This Row],[Revenue]]&gt;300,"Medium","Low"))</f>
        <v>Medium</v>
      </c>
      <c r="M10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22" spans="1:13" x14ac:dyDescent="0.25">
      <c r="A1022">
        <v>10648</v>
      </c>
      <c r="B1022">
        <v>22</v>
      </c>
      <c r="C1022" s="6" t="s">
        <v>37</v>
      </c>
      <c r="D1022">
        <v>15</v>
      </c>
      <c r="E1022" s="6" t="s">
        <v>6</v>
      </c>
      <c r="F1022" t="str">
        <f>_xlfn.XLOOKUP(northwind_order_details[[#This Row],[order_id]],northwind_orders[order_id],northwind_orders[ship_country])</f>
        <v>Brazil</v>
      </c>
      <c r="G1022">
        <f>INDEX(northwind_orders[],MATCH(northwind_order_details[[#This Row],[order_id]], northwind_orders[order_id], 0), MATCH("employee_id", northwind_orders[#Headers], 0))</f>
        <v>5</v>
      </c>
      <c r="H1022">
        <f>northwind_order_details[[#This Row],[unit_price]]*northwind_order_details[[#This Row],[quantity]]</f>
        <v>315</v>
      </c>
      <c r="I1022" s="1">
        <f>northwind_order_details[[#This Row],[purchase amount]]*northwind_order_details[[#This Row],[discount]]</f>
        <v>0</v>
      </c>
      <c r="J1022" s="1">
        <f>northwind_order_details[[#This Row],[purchase amount]]-northwind_order_details[[#This Row],[discount amount]]</f>
        <v>315</v>
      </c>
      <c r="K1022" s="6" t="str">
        <f>IF(northwind_order_details[[#This Row],[discount amount]]&gt;0,"Yes","No")</f>
        <v>No</v>
      </c>
      <c r="L1022" s="1" t="str">
        <f>IF(northwind_order_details[[#This Row],[Revenue]]&gt;1000,"High",IF(northwind_order_details[[#This Row],[Revenue]]&gt;300,"Medium","Low"))</f>
        <v>Medium</v>
      </c>
      <c r="M10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23" spans="1:13" x14ac:dyDescent="0.25">
      <c r="A1023">
        <v>10648</v>
      </c>
      <c r="B1023">
        <v>24</v>
      </c>
      <c r="C1023" s="6">
        <v>4.5</v>
      </c>
      <c r="D1023">
        <v>15</v>
      </c>
      <c r="E1023" s="6">
        <v>0.15</v>
      </c>
      <c r="F1023" t="str">
        <f>_xlfn.XLOOKUP(northwind_order_details[[#This Row],[order_id]],northwind_orders[order_id],northwind_orders[ship_country])</f>
        <v>Brazil</v>
      </c>
      <c r="G1023">
        <f>INDEX(northwind_orders[],MATCH(northwind_order_details[[#This Row],[order_id]], northwind_orders[order_id], 0), MATCH("employee_id", northwind_orders[#Headers], 0))</f>
        <v>5</v>
      </c>
      <c r="H1023">
        <f>northwind_order_details[[#This Row],[unit_price]]*northwind_order_details[[#This Row],[quantity]]</f>
        <v>67.5</v>
      </c>
      <c r="I1023" s="1">
        <f>northwind_order_details[[#This Row],[purchase amount]]*northwind_order_details[[#This Row],[discount]]</f>
        <v>10.125</v>
      </c>
      <c r="J1023" s="1">
        <f>northwind_order_details[[#This Row],[purchase amount]]-northwind_order_details[[#This Row],[discount amount]]</f>
        <v>57.375</v>
      </c>
      <c r="K1023" s="6" t="str">
        <f>IF(northwind_order_details[[#This Row],[discount amount]]&gt;0,"Yes","No")</f>
        <v>Yes</v>
      </c>
      <c r="L1023" s="1" t="str">
        <f>IF(northwind_order_details[[#This Row],[Revenue]]&gt;1000,"High",IF(northwind_order_details[[#This Row],[Revenue]]&gt;300,"Medium","Low"))</f>
        <v>Low</v>
      </c>
      <c r="M102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4" spans="1:13" x14ac:dyDescent="0.25">
      <c r="A1024">
        <v>10649</v>
      </c>
      <c r="B1024">
        <v>28</v>
      </c>
      <c r="C1024" s="6">
        <v>45.6</v>
      </c>
      <c r="D1024">
        <v>20</v>
      </c>
      <c r="E1024" s="6" t="s">
        <v>6</v>
      </c>
      <c r="F1024" t="str">
        <f>_xlfn.XLOOKUP(northwind_order_details[[#This Row],[order_id]],northwind_orders[order_id],northwind_orders[ship_country])</f>
        <v>Belgium</v>
      </c>
      <c r="G1024">
        <f>INDEX(northwind_orders[],MATCH(northwind_order_details[[#This Row],[order_id]], northwind_orders[order_id], 0), MATCH("employee_id", northwind_orders[#Headers], 0))</f>
        <v>5</v>
      </c>
      <c r="H1024">
        <f>northwind_order_details[[#This Row],[unit_price]]*northwind_order_details[[#This Row],[quantity]]</f>
        <v>912</v>
      </c>
      <c r="I1024" s="1">
        <f>northwind_order_details[[#This Row],[purchase amount]]*northwind_order_details[[#This Row],[discount]]</f>
        <v>0</v>
      </c>
      <c r="J1024" s="1">
        <f>northwind_order_details[[#This Row],[purchase amount]]-northwind_order_details[[#This Row],[discount amount]]</f>
        <v>912</v>
      </c>
      <c r="K1024" s="6" t="str">
        <f>IF(northwind_order_details[[#This Row],[discount amount]]&gt;0,"Yes","No")</f>
        <v>No</v>
      </c>
      <c r="L1024" s="1" t="str">
        <f>IF(northwind_order_details[[#This Row],[Revenue]]&gt;1000,"High",IF(northwind_order_details[[#This Row],[Revenue]]&gt;300,"Medium","Low"))</f>
        <v>Medium</v>
      </c>
      <c r="M102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5" spans="1:13" x14ac:dyDescent="0.25">
      <c r="A1025">
        <v>10649</v>
      </c>
      <c r="B1025">
        <v>72</v>
      </c>
      <c r="C1025" s="6">
        <v>34.799999999999997</v>
      </c>
      <c r="D1025">
        <v>15</v>
      </c>
      <c r="E1025" s="6" t="s">
        <v>6</v>
      </c>
      <c r="F1025" t="str">
        <f>_xlfn.XLOOKUP(northwind_order_details[[#This Row],[order_id]],northwind_orders[order_id],northwind_orders[ship_country])</f>
        <v>Belgium</v>
      </c>
      <c r="G1025">
        <f>INDEX(northwind_orders[],MATCH(northwind_order_details[[#This Row],[order_id]], northwind_orders[order_id], 0), MATCH("employee_id", northwind_orders[#Headers], 0))</f>
        <v>5</v>
      </c>
      <c r="H1025">
        <f>northwind_order_details[[#This Row],[unit_price]]*northwind_order_details[[#This Row],[quantity]]</f>
        <v>522</v>
      </c>
      <c r="I1025" s="1">
        <f>northwind_order_details[[#This Row],[purchase amount]]*northwind_order_details[[#This Row],[discount]]</f>
        <v>0</v>
      </c>
      <c r="J1025" s="1">
        <f>northwind_order_details[[#This Row],[purchase amount]]-northwind_order_details[[#This Row],[discount amount]]</f>
        <v>522</v>
      </c>
      <c r="K1025" s="6" t="str">
        <f>IF(northwind_order_details[[#This Row],[discount amount]]&gt;0,"Yes","No")</f>
        <v>No</v>
      </c>
      <c r="L1025" s="1" t="str">
        <f>IF(northwind_order_details[[#This Row],[Revenue]]&gt;1000,"High",IF(northwind_order_details[[#This Row],[Revenue]]&gt;300,"Medium","Low"))</f>
        <v>Medium</v>
      </c>
      <c r="M10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6" spans="1:13" x14ac:dyDescent="0.25">
      <c r="A1026">
        <v>10650</v>
      </c>
      <c r="B1026">
        <v>30</v>
      </c>
      <c r="C1026" s="6">
        <v>25.89</v>
      </c>
      <c r="D1026">
        <v>30</v>
      </c>
      <c r="E1026" s="6" t="s">
        <v>6</v>
      </c>
      <c r="F1026" t="str">
        <f>_xlfn.XLOOKUP(northwind_order_details[[#This Row],[order_id]],northwind_orders[order_id],northwind_orders[ship_country])</f>
        <v>Brazil</v>
      </c>
      <c r="G1026">
        <f>INDEX(northwind_orders[],MATCH(northwind_order_details[[#This Row],[order_id]], northwind_orders[order_id], 0), MATCH("employee_id", northwind_orders[#Headers], 0))</f>
        <v>5</v>
      </c>
      <c r="H1026">
        <f>northwind_order_details[[#This Row],[unit_price]]*northwind_order_details[[#This Row],[quantity]]</f>
        <v>776.7</v>
      </c>
      <c r="I1026" s="1">
        <f>northwind_order_details[[#This Row],[purchase amount]]*northwind_order_details[[#This Row],[discount]]</f>
        <v>0</v>
      </c>
      <c r="J1026" s="1">
        <f>northwind_order_details[[#This Row],[purchase amount]]-northwind_order_details[[#This Row],[discount amount]]</f>
        <v>776.7</v>
      </c>
      <c r="K1026" s="6" t="str">
        <f>IF(northwind_order_details[[#This Row],[discount amount]]&gt;0,"Yes","No")</f>
        <v>No</v>
      </c>
      <c r="L1026" s="1" t="str">
        <f>IF(northwind_order_details[[#This Row],[Revenue]]&gt;1000,"High",IF(northwind_order_details[[#This Row],[Revenue]]&gt;300,"Medium","Low"))</f>
        <v>Medium</v>
      </c>
      <c r="M10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7" spans="1:13" x14ac:dyDescent="0.25">
      <c r="A1027">
        <v>10650</v>
      </c>
      <c r="B1027">
        <v>53</v>
      </c>
      <c r="C1027" s="6">
        <v>32.799999999999997</v>
      </c>
      <c r="D1027">
        <v>25</v>
      </c>
      <c r="E1027" s="6">
        <v>0.05</v>
      </c>
      <c r="F1027" t="str">
        <f>_xlfn.XLOOKUP(northwind_order_details[[#This Row],[order_id]],northwind_orders[order_id],northwind_orders[ship_country])</f>
        <v>Brazil</v>
      </c>
      <c r="G1027">
        <f>INDEX(northwind_orders[],MATCH(northwind_order_details[[#This Row],[order_id]], northwind_orders[order_id], 0), MATCH("employee_id", northwind_orders[#Headers], 0))</f>
        <v>5</v>
      </c>
      <c r="H1027">
        <f>northwind_order_details[[#This Row],[unit_price]]*northwind_order_details[[#This Row],[quantity]]</f>
        <v>819.99999999999989</v>
      </c>
      <c r="I1027" s="1">
        <f>northwind_order_details[[#This Row],[purchase amount]]*northwind_order_details[[#This Row],[discount]]</f>
        <v>41</v>
      </c>
      <c r="J1027" s="1">
        <f>northwind_order_details[[#This Row],[purchase amount]]-northwind_order_details[[#This Row],[discount amount]]</f>
        <v>778.99999999999989</v>
      </c>
      <c r="K1027" s="6" t="str">
        <f>IF(northwind_order_details[[#This Row],[discount amount]]&gt;0,"Yes","No")</f>
        <v>Yes</v>
      </c>
      <c r="L1027" s="1" t="str">
        <f>IF(northwind_order_details[[#This Row],[Revenue]]&gt;1000,"High",IF(northwind_order_details[[#This Row],[Revenue]]&gt;300,"Medium","Low"))</f>
        <v>Medium</v>
      </c>
      <c r="M10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8" spans="1:13" x14ac:dyDescent="0.25">
      <c r="A1028">
        <v>10650</v>
      </c>
      <c r="B1028">
        <v>54</v>
      </c>
      <c r="C1028" s="6">
        <v>7.45</v>
      </c>
      <c r="D1028">
        <v>30</v>
      </c>
      <c r="E1028" s="6" t="s">
        <v>6</v>
      </c>
      <c r="F1028" t="str">
        <f>_xlfn.XLOOKUP(northwind_order_details[[#This Row],[order_id]],northwind_orders[order_id],northwind_orders[ship_country])</f>
        <v>Brazil</v>
      </c>
      <c r="G1028">
        <f>INDEX(northwind_orders[],MATCH(northwind_order_details[[#This Row],[order_id]], northwind_orders[order_id], 0), MATCH("employee_id", northwind_orders[#Headers], 0))</f>
        <v>5</v>
      </c>
      <c r="H1028">
        <f>northwind_order_details[[#This Row],[unit_price]]*northwind_order_details[[#This Row],[quantity]]</f>
        <v>223.5</v>
      </c>
      <c r="I1028" s="1">
        <f>northwind_order_details[[#This Row],[purchase amount]]*northwind_order_details[[#This Row],[discount]]</f>
        <v>0</v>
      </c>
      <c r="J1028" s="1">
        <f>northwind_order_details[[#This Row],[purchase amount]]-northwind_order_details[[#This Row],[discount amount]]</f>
        <v>223.5</v>
      </c>
      <c r="K1028" s="6" t="str">
        <f>IF(northwind_order_details[[#This Row],[discount amount]]&gt;0,"Yes","No")</f>
        <v>No</v>
      </c>
      <c r="L1028" s="1" t="str">
        <f>IF(northwind_order_details[[#This Row],[Revenue]]&gt;1000,"High",IF(northwind_order_details[[#This Row],[Revenue]]&gt;300,"Medium","Low"))</f>
        <v>Low</v>
      </c>
      <c r="M102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29" spans="1:13" x14ac:dyDescent="0.25">
      <c r="A1029">
        <v>10651</v>
      </c>
      <c r="B1029">
        <v>19</v>
      </c>
      <c r="C1029" s="6">
        <v>9.1999999999999993</v>
      </c>
      <c r="D1029">
        <v>12</v>
      </c>
      <c r="E1029" s="6">
        <v>0.25</v>
      </c>
      <c r="F1029" t="str">
        <f>_xlfn.XLOOKUP(northwind_order_details[[#This Row],[order_id]],northwind_orders[order_id],northwind_orders[ship_country])</f>
        <v>Germany</v>
      </c>
      <c r="G1029">
        <f>INDEX(northwind_orders[],MATCH(northwind_order_details[[#This Row],[order_id]], northwind_orders[order_id], 0), MATCH("employee_id", northwind_orders[#Headers], 0))</f>
        <v>8</v>
      </c>
      <c r="H1029">
        <f>northwind_order_details[[#This Row],[unit_price]]*northwind_order_details[[#This Row],[quantity]]</f>
        <v>110.39999999999999</v>
      </c>
      <c r="I1029" s="1">
        <f>northwind_order_details[[#This Row],[purchase amount]]*northwind_order_details[[#This Row],[discount]]</f>
        <v>27.599999999999998</v>
      </c>
      <c r="J1029" s="1">
        <f>northwind_order_details[[#This Row],[purchase amount]]-northwind_order_details[[#This Row],[discount amount]]</f>
        <v>82.8</v>
      </c>
      <c r="K1029" s="6" t="str">
        <f>IF(northwind_order_details[[#This Row],[discount amount]]&gt;0,"Yes","No")</f>
        <v>Yes</v>
      </c>
      <c r="L1029" s="1" t="str">
        <f>IF(northwind_order_details[[#This Row],[Revenue]]&gt;1000,"High",IF(northwind_order_details[[#This Row],[Revenue]]&gt;300,"Medium","Low"))</f>
        <v>Low</v>
      </c>
      <c r="M10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30" spans="1:13" x14ac:dyDescent="0.25">
      <c r="A1030">
        <v>10651</v>
      </c>
      <c r="B1030">
        <v>22</v>
      </c>
      <c r="C1030" s="6" t="s">
        <v>37</v>
      </c>
      <c r="D1030">
        <v>20</v>
      </c>
      <c r="E1030" s="6">
        <v>0.25</v>
      </c>
      <c r="F1030" t="str">
        <f>_xlfn.XLOOKUP(northwind_order_details[[#This Row],[order_id]],northwind_orders[order_id],northwind_orders[ship_country])</f>
        <v>Germany</v>
      </c>
      <c r="G1030">
        <f>INDEX(northwind_orders[],MATCH(northwind_order_details[[#This Row],[order_id]], northwind_orders[order_id], 0), MATCH("employee_id", northwind_orders[#Headers], 0))</f>
        <v>8</v>
      </c>
      <c r="H1030">
        <f>northwind_order_details[[#This Row],[unit_price]]*northwind_order_details[[#This Row],[quantity]]</f>
        <v>420</v>
      </c>
      <c r="I1030" s="1">
        <f>northwind_order_details[[#This Row],[purchase amount]]*northwind_order_details[[#This Row],[discount]]</f>
        <v>105</v>
      </c>
      <c r="J1030" s="1">
        <f>northwind_order_details[[#This Row],[purchase amount]]-northwind_order_details[[#This Row],[discount amount]]</f>
        <v>315</v>
      </c>
      <c r="K1030" s="6" t="str">
        <f>IF(northwind_order_details[[#This Row],[discount amount]]&gt;0,"Yes","No")</f>
        <v>Yes</v>
      </c>
      <c r="L1030" s="1" t="str">
        <f>IF(northwind_order_details[[#This Row],[Revenue]]&gt;1000,"High",IF(northwind_order_details[[#This Row],[Revenue]]&gt;300,"Medium","Low"))</f>
        <v>Medium</v>
      </c>
      <c r="M10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31" spans="1:13" x14ac:dyDescent="0.25">
      <c r="A1031">
        <v>10652</v>
      </c>
      <c r="B1031">
        <v>30</v>
      </c>
      <c r="C1031" s="6">
        <v>25.89</v>
      </c>
      <c r="D1031">
        <v>2</v>
      </c>
      <c r="E1031" s="6">
        <v>0.25</v>
      </c>
      <c r="F1031" t="str">
        <f>_xlfn.XLOOKUP(northwind_order_details[[#This Row],[order_id]],northwind_orders[order_id],northwind_orders[ship_country])</f>
        <v>Brazil</v>
      </c>
      <c r="G1031">
        <f>INDEX(northwind_orders[],MATCH(northwind_order_details[[#This Row],[order_id]], northwind_orders[order_id], 0), MATCH("employee_id", northwind_orders[#Headers], 0))</f>
        <v>4</v>
      </c>
      <c r="H1031">
        <f>northwind_order_details[[#This Row],[unit_price]]*northwind_order_details[[#This Row],[quantity]]</f>
        <v>51.78</v>
      </c>
      <c r="I1031" s="1">
        <f>northwind_order_details[[#This Row],[purchase amount]]*northwind_order_details[[#This Row],[discount]]</f>
        <v>12.945</v>
      </c>
      <c r="J1031" s="1">
        <f>northwind_order_details[[#This Row],[purchase amount]]-northwind_order_details[[#This Row],[discount amount]]</f>
        <v>38.835000000000001</v>
      </c>
      <c r="K1031" s="6" t="str">
        <f>IF(northwind_order_details[[#This Row],[discount amount]]&gt;0,"Yes","No")</f>
        <v>Yes</v>
      </c>
      <c r="L1031" s="1" t="str">
        <f>IF(northwind_order_details[[#This Row],[Revenue]]&gt;1000,"High",IF(northwind_order_details[[#This Row],[Revenue]]&gt;300,"Medium","Low"))</f>
        <v>Low</v>
      </c>
      <c r="M103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32" spans="1:13" x14ac:dyDescent="0.25">
      <c r="A1032">
        <v>10652</v>
      </c>
      <c r="B1032">
        <v>42</v>
      </c>
      <c r="C1032" s="6" t="s">
        <v>5</v>
      </c>
      <c r="D1032">
        <v>20</v>
      </c>
      <c r="E1032" s="6" t="s">
        <v>6</v>
      </c>
      <c r="F1032" t="str">
        <f>_xlfn.XLOOKUP(northwind_order_details[[#This Row],[order_id]],northwind_orders[order_id],northwind_orders[ship_country])</f>
        <v>Brazil</v>
      </c>
      <c r="G1032">
        <f>INDEX(northwind_orders[],MATCH(northwind_order_details[[#This Row],[order_id]], northwind_orders[order_id], 0), MATCH("employee_id", northwind_orders[#Headers], 0))</f>
        <v>4</v>
      </c>
      <c r="H1032">
        <f>northwind_order_details[[#This Row],[unit_price]]*northwind_order_details[[#This Row],[quantity]]</f>
        <v>280</v>
      </c>
      <c r="I1032" s="1">
        <f>northwind_order_details[[#This Row],[purchase amount]]*northwind_order_details[[#This Row],[discount]]</f>
        <v>0</v>
      </c>
      <c r="J1032" s="1">
        <f>northwind_order_details[[#This Row],[purchase amount]]-northwind_order_details[[#This Row],[discount amount]]</f>
        <v>280</v>
      </c>
      <c r="K1032" s="6" t="str">
        <f>IF(northwind_order_details[[#This Row],[discount amount]]&gt;0,"Yes","No")</f>
        <v>No</v>
      </c>
      <c r="L1032" s="1" t="str">
        <f>IF(northwind_order_details[[#This Row],[Revenue]]&gt;1000,"High",IF(northwind_order_details[[#This Row],[Revenue]]&gt;300,"Medium","Low"))</f>
        <v>Low</v>
      </c>
      <c r="M10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33" spans="1:13" x14ac:dyDescent="0.25">
      <c r="A1033">
        <v>10653</v>
      </c>
      <c r="B1033">
        <v>16</v>
      </c>
      <c r="C1033" s="6">
        <v>17.45</v>
      </c>
      <c r="D1033">
        <v>30</v>
      </c>
      <c r="E1033" s="6">
        <v>0.1</v>
      </c>
      <c r="F1033" t="str">
        <f>_xlfn.XLOOKUP(northwind_order_details[[#This Row],[order_id]],northwind_orders[order_id],northwind_orders[ship_country])</f>
        <v>Germany</v>
      </c>
      <c r="G1033">
        <f>INDEX(northwind_orders[],MATCH(northwind_order_details[[#This Row],[order_id]], northwind_orders[order_id], 0), MATCH("employee_id", northwind_orders[#Headers], 0))</f>
        <v>1</v>
      </c>
      <c r="H1033">
        <f>northwind_order_details[[#This Row],[unit_price]]*northwind_order_details[[#This Row],[quantity]]</f>
        <v>523.5</v>
      </c>
      <c r="I1033" s="1">
        <f>northwind_order_details[[#This Row],[purchase amount]]*northwind_order_details[[#This Row],[discount]]</f>
        <v>52.35</v>
      </c>
      <c r="J1033" s="1">
        <f>northwind_order_details[[#This Row],[purchase amount]]-northwind_order_details[[#This Row],[discount amount]]</f>
        <v>471.15</v>
      </c>
      <c r="K1033" s="6" t="str">
        <f>IF(northwind_order_details[[#This Row],[discount amount]]&gt;0,"Yes","No")</f>
        <v>Yes</v>
      </c>
      <c r="L1033" s="1" t="str">
        <f>IF(northwind_order_details[[#This Row],[Revenue]]&gt;1000,"High",IF(northwind_order_details[[#This Row],[Revenue]]&gt;300,"Medium","Low"))</f>
        <v>Medium</v>
      </c>
      <c r="M103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34" spans="1:13" x14ac:dyDescent="0.25">
      <c r="A1034">
        <v>10653</v>
      </c>
      <c r="B1034">
        <v>60</v>
      </c>
      <c r="C1034" s="6" t="s">
        <v>28</v>
      </c>
      <c r="D1034">
        <v>20</v>
      </c>
      <c r="E1034" s="6">
        <v>0.1</v>
      </c>
      <c r="F1034" t="str">
        <f>_xlfn.XLOOKUP(northwind_order_details[[#This Row],[order_id]],northwind_orders[order_id],northwind_orders[ship_country])</f>
        <v>Germany</v>
      </c>
      <c r="G1034">
        <f>INDEX(northwind_orders[],MATCH(northwind_order_details[[#This Row],[order_id]], northwind_orders[order_id], 0), MATCH("employee_id", northwind_orders[#Headers], 0))</f>
        <v>1</v>
      </c>
      <c r="H1034">
        <f>northwind_order_details[[#This Row],[unit_price]]*northwind_order_details[[#This Row],[quantity]]</f>
        <v>680</v>
      </c>
      <c r="I1034" s="1">
        <f>northwind_order_details[[#This Row],[purchase amount]]*northwind_order_details[[#This Row],[discount]]</f>
        <v>68</v>
      </c>
      <c r="J1034" s="1">
        <f>northwind_order_details[[#This Row],[purchase amount]]-northwind_order_details[[#This Row],[discount amount]]</f>
        <v>612</v>
      </c>
      <c r="K1034" s="6" t="str">
        <f>IF(northwind_order_details[[#This Row],[discount amount]]&gt;0,"Yes","No")</f>
        <v>Yes</v>
      </c>
      <c r="L1034" s="1" t="str">
        <f>IF(northwind_order_details[[#This Row],[Revenue]]&gt;1000,"High",IF(northwind_order_details[[#This Row],[Revenue]]&gt;300,"Medium","Low"))</f>
        <v>Medium</v>
      </c>
      <c r="M10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35" spans="1:13" x14ac:dyDescent="0.25">
      <c r="A1035">
        <v>10654</v>
      </c>
      <c r="B1035">
        <v>4</v>
      </c>
      <c r="C1035" s="6" t="s">
        <v>25</v>
      </c>
      <c r="D1035">
        <v>12</v>
      </c>
      <c r="E1035" s="6">
        <v>0.1</v>
      </c>
      <c r="F1035" t="str">
        <f>_xlfn.XLOOKUP(northwind_order_details[[#This Row],[order_id]],northwind_orders[order_id],northwind_orders[ship_country])</f>
        <v>Sweden</v>
      </c>
      <c r="G1035">
        <f>INDEX(northwind_orders[],MATCH(northwind_order_details[[#This Row],[order_id]], northwind_orders[order_id], 0), MATCH("employee_id", northwind_orders[#Headers], 0))</f>
        <v>5</v>
      </c>
      <c r="H1035">
        <f>northwind_order_details[[#This Row],[unit_price]]*northwind_order_details[[#This Row],[quantity]]</f>
        <v>264</v>
      </c>
      <c r="I1035" s="1">
        <f>northwind_order_details[[#This Row],[purchase amount]]*northwind_order_details[[#This Row],[discount]]</f>
        <v>26.400000000000002</v>
      </c>
      <c r="J1035" s="1">
        <f>northwind_order_details[[#This Row],[purchase amount]]-northwind_order_details[[#This Row],[discount amount]]</f>
        <v>237.6</v>
      </c>
      <c r="K1035" s="6" t="str">
        <f>IF(northwind_order_details[[#This Row],[discount amount]]&gt;0,"Yes","No")</f>
        <v>Yes</v>
      </c>
      <c r="L1035" s="1" t="str">
        <f>IF(northwind_order_details[[#This Row],[Revenue]]&gt;1000,"High",IF(northwind_order_details[[#This Row],[Revenue]]&gt;300,"Medium","Low"))</f>
        <v>Low</v>
      </c>
      <c r="M10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36" spans="1:13" x14ac:dyDescent="0.25">
      <c r="A1036">
        <v>10654</v>
      </c>
      <c r="B1036">
        <v>39</v>
      </c>
      <c r="C1036" s="6" t="s">
        <v>24</v>
      </c>
      <c r="D1036">
        <v>20</v>
      </c>
      <c r="E1036" s="6">
        <v>0.1</v>
      </c>
      <c r="F1036" t="str">
        <f>_xlfn.XLOOKUP(northwind_order_details[[#This Row],[order_id]],northwind_orders[order_id],northwind_orders[ship_country])</f>
        <v>Sweden</v>
      </c>
      <c r="G1036">
        <f>INDEX(northwind_orders[],MATCH(northwind_order_details[[#This Row],[order_id]], northwind_orders[order_id], 0), MATCH("employee_id", northwind_orders[#Headers], 0))</f>
        <v>5</v>
      </c>
      <c r="H1036">
        <f>northwind_order_details[[#This Row],[unit_price]]*northwind_order_details[[#This Row],[quantity]]</f>
        <v>360</v>
      </c>
      <c r="I1036" s="1">
        <f>northwind_order_details[[#This Row],[purchase amount]]*northwind_order_details[[#This Row],[discount]]</f>
        <v>36</v>
      </c>
      <c r="J1036" s="1">
        <f>northwind_order_details[[#This Row],[purchase amount]]-northwind_order_details[[#This Row],[discount amount]]</f>
        <v>324</v>
      </c>
      <c r="K1036" s="6" t="str">
        <f>IF(northwind_order_details[[#This Row],[discount amount]]&gt;0,"Yes","No")</f>
        <v>Yes</v>
      </c>
      <c r="L1036" s="1" t="str">
        <f>IF(northwind_order_details[[#This Row],[Revenue]]&gt;1000,"High",IF(northwind_order_details[[#This Row],[Revenue]]&gt;300,"Medium","Low"))</f>
        <v>Medium</v>
      </c>
      <c r="M10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37" spans="1:13" x14ac:dyDescent="0.25">
      <c r="A1037">
        <v>10654</v>
      </c>
      <c r="B1037">
        <v>54</v>
      </c>
      <c r="C1037" s="6">
        <v>7.45</v>
      </c>
      <c r="D1037">
        <v>6</v>
      </c>
      <c r="E1037" s="6">
        <v>0.1</v>
      </c>
      <c r="F1037" t="str">
        <f>_xlfn.XLOOKUP(northwind_order_details[[#This Row],[order_id]],northwind_orders[order_id],northwind_orders[ship_country])</f>
        <v>Sweden</v>
      </c>
      <c r="G1037">
        <f>INDEX(northwind_orders[],MATCH(northwind_order_details[[#This Row],[order_id]], northwind_orders[order_id], 0), MATCH("employee_id", northwind_orders[#Headers], 0))</f>
        <v>5</v>
      </c>
      <c r="H1037">
        <f>northwind_order_details[[#This Row],[unit_price]]*northwind_order_details[[#This Row],[quantity]]</f>
        <v>44.7</v>
      </c>
      <c r="I1037" s="1">
        <f>northwind_order_details[[#This Row],[purchase amount]]*northwind_order_details[[#This Row],[discount]]</f>
        <v>4.4700000000000006</v>
      </c>
      <c r="J1037" s="1">
        <f>northwind_order_details[[#This Row],[purchase amount]]-northwind_order_details[[#This Row],[discount amount]]</f>
        <v>40.230000000000004</v>
      </c>
      <c r="K1037" s="6" t="str">
        <f>IF(northwind_order_details[[#This Row],[discount amount]]&gt;0,"Yes","No")</f>
        <v>Yes</v>
      </c>
      <c r="L1037" s="1" t="str">
        <f>IF(northwind_order_details[[#This Row],[Revenue]]&gt;1000,"High",IF(northwind_order_details[[#This Row],[Revenue]]&gt;300,"Medium","Low"))</f>
        <v>Low</v>
      </c>
      <c r="M103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38" spans="1:13" x14ac:dyDescent="0.25">
      <c r="A1038">
        <v>10655</v>
      </c>
      <c r="B1038">
        <v>41</v>
      </c>
      <c r="C1038" s="6">
        <v>9.65</v>
      </c>
      <c r="D1038">
        <v>20</v>
      </c>
      <c r="E1038" s="6">
        <v>0.2</v>
      </c>
      <c r="F1038" t="str">
        <f>_xlfn.XLOOKUP(northwind_order_details[[#This Row],[order_id]],northwind_orders[order_id],northwind_orders[ship_country])</f>
        <v>Italy</v>
      </c>
      <c r="G1038">
        <f>INDEX(northwind_orders[],MATCH(northwind_order_details[[#This Row],[order_id]], northwind_orders[order_id], 0), MATCH("employee_id", northwind_orders[#Headers], 0))</f>
        <v>1</v>
      </c>
      <c r="H1038">
        <f>northwind_order_details[[#This Row],[unit_price]]*northwind_order_details[[#This Row],[quantity]]</f>
        <v>193</v>
      </c>
      <c r="I1038" s="1">
        <f>northwind_order_details[[#This Row],[purchase amount]]*northwind_order_details[[#This Row],[discount]]</f>
        <v>38.6</v>
      </c>
      <c r="J1038" s="1">
        <f>northwind_order_details[[#This Row],[purchase amount]]-northwind_order_details[[#This Row],[discount amount]]</f>
        <v>154.4</v>
      </c>
      <c r="K1038" s="6" t="str">
        <f>IF(northwind_order_details[[#This Row],[discount amount]]&gt;0,"Yes","No")</f>
        <v>Yes</v>
      </c>
      <c r="L1038" s="1" t="str">
        <f>IF(northwind_order_details[[#This Row],[Revenue]]&gt;1000,"High",IF(northwind_order_details[[#This Row],[Revenue]]&gt;300,"Medium","Low"))</f>
        <v>Low</v>
      </c>
      <c r="M103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39" spans="1:13" x14ac:dyDescent="0.25">
      <c r="A1039">
        <v>10656</v>
      </c>
      <c r="B1039">
        <v>14</v>
      </c>
      <c r="C1039" s="6">
        <v>23.25</v>
      </c>
      <c r="D1039">
        <v>3</v>
      </c>
      <c r="E1039" s="6">
        <v>0.1</v>
      </c>
      <c r="F1039" t="str">
        <f>_xlfn.XLOOKUP(northwind_order_details[[#This Row],[order_id]],northwind_orders[order_id],northwind_orders[ship_country])</f>
        <v>USA</v>
      </c>
      <c r="G1039">
        <f>INDEX(northwind_orders[],MATCH(northwind_order_details[[#This Row],[order_id]], northwind_orders[order_id], 0), MATCH("employee_id", northwind_orders[#Headers], 0))</f>
        <v>6</v>
      </c>
      <c r="H1039">
        <f>northwind_order_details[[#This Row],[unit_price]]*northwind_order_details[[#This Row],[quantity]]</f>
        <v>69.75</v>
      </c>
      <c r="I1039" s="1">
        <f>northwind_order_details[[#This Row],[purchase amount]]*northwind_order_details[[#This Row],[discount]]</f>
        <v>6.9750000000000005</v>
      </c>
      <c r="J1039" s="1">
        <f>northwind_order_details[[#This Row],[purchase amount]]-northwind_order_details[[#This Row],[discount amount]]</f>
        <v>62.774999999999999</v>
      </c>
      <c r="K1039" s="6" t="str">
        <f>IF(northwind_order_details[[#This Row],[discount amount]]&gt;0,"Yes","No")</f>
        <v>Yes</v>
      </c>
      <c r="L1039" s="1" t="str">
        <f>IF(northwind_order_details[[#This Row],[Revenue]]&gt;1000,"High",IF(northwind_order_details[[#This Row],[Revenue]]&gt;300,"Medium","Low"))</f>
        <v>Low</v>
      </c>
      <c r="M10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40" spans="1:13" x14ac:dyDescent="0.25">
      <c r="A1040">
        <v>10656</v>
      </c>
      <c r="B1040">
        <v>44</v>
      </c>
      <c r="C1040" s="6">
        <v>19.45</v>
      </c>
      <c r="D1040">
        <v>28</v>
      </c>
      <c r="E1040" s="6">
        <v>0.1</v>
      </c>
      <c r="F1040" t="str">
        <f>_xlfn.XLOOKUP(northwind_order_details[[#This Row],[order_id]],northwind_orders[order_id],northwind_orders[ship_country])</f>
        <v>USA</v>
      </c>
      <c r="G1040">
        <f>INDEX(northwind_orders[],MATCH(northwind_order_details[[#This Row],[order_id]], northwind_orders[order_id], 0), MATCH("employee_id", northwind_orders[#Headers], 0))</f>
        <v>6</v>
      </c>
      <c r="H1040">
        <f>northwind_order_details[[#This Row],[unit_price]]*northwind_order_details[[#This Row],[quantity]]</f>
        <v>544.6</v>
      </c>
      <c r="I1040" s="1">
        <f>northwind_order_details[[#This Row],[purchase amount]]*northwind_order_details[[#This Row],[discount]]</f>
        <v>54.460000000000008</v>
      </c>
      <c r="J1040" s="1">
        <f>northwind_order_details[[#This Row],[purchase amount]]-northwind_order_details[[#This Row],[discount amount]]</f>
        <v>490.14</v>
      </c>
      <c r="K1040" s="6" t="str">
        <f>IF(northwind_order_details[[#This Row],[discount amount]]&gt;0,"Yes","No")</f>
        <v>Yes</v>
      </c>
      <c r="L1040" s="1" t="str">
        <f>IF(northwind_order_details[[#This Row],[Revenue]]&gt;1000,"High",IF(northwind_order_details[[#This Row],[Revenue]]&gt;300,"Medium","Low"))</f>
        <v>Medium</v>
      </c>
      <c r="M10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41" spans="1:13" x14ac:dyDescent="0.25">
      <c r="A1041">
        <v>10656</v>
      </c>
      <c r="B1041">
        <v>47</v>
      </c>
      <c r="C1041" s="6">
        <v>9.5</v>
      </c>
      <c r="D1041">
        <v>6</v>
      </c>
      <c r="E1041" s="6">
        <v>0.1</v>
      </c>
      <c r="F1041" t="str">
        <f>_xlfn.XLOOKUP(northwind_order_details[[#This Row],[order_id]],northwind_orders[order_id],northwind_orders[ship_country])</f>
        <v>USA</v>
      </c>
      <c r="G1041">
        <f>INDEX(northwind_orders[],MATCH(northwind_order_details[[#This Row],[order_id]], northwind_orders[order_id], 0), MATCH("employee_id", northwind_orders[#Headers], 0))</f>
        <v>6</v>
      </c>
      <c r="H1041">
        <f>northwind_order_details[[#This Row],[unit_price]]*northwind_order_details[[#This Row],[quantity]]</f>
        <v>57</v>
      </c>
      <c r="I1041" s="1">
        <f>northwind_order_details[[#This Row],[purchase amount]]*northwind_order_details[[#This Row],[discount]]</f>
        <v>5.7</v>
      </c>
      <c r="J1041" s="1">
        <f>northwind_order_details[[#This Row],[purchase amount]]-northwind_order_details[[#This Row],[discount amount]]</f>
        <v>51.3</v>
      </c>
      <c r="K1041" s="6" t="str">
        <f>IF(northwind_order_details[[#This Row],[discount amount]]&gt;0,"Yes","No")</f>
        <v>Yes</v>
      </c>
      <c r="L1041" s="1" t="str">
        <f>IF(northwind_order_details[[#This Row],[Revenue]]&gt;1000,"High",IF(northwind_order_details[[#This Row],[Revenue]]&gt;300,"Medium","Low"))</f>
        <v>Low</v>
      </c>
      <c r="M10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42" spans="1:13" x14ac:dyDescent="0.25">
      <c r="A1042">
        <v>10657</v>
      </c>
      <c r="B1042">
        <v>15</v>
      </c>
      <c r="C1042" s="6">
        <v>15.5</v>
      </c>
      <c r="D1042">
        <v>50</v>
      </c>
      <c r="E1042" s="6" t="s">
        <v>6</v>
      </c>
      <c r="F1042" t="str">
        <f>_xlfn.XLOOKUP(northwind_order_details[[#This Row],[order_id]],northwind_orders[order_id],northwind_orders[ship_country])</f>
        <v>USA</v>
      </c>
      <c r="G1042">
        <f>INDEX(northwind_orders[],MATCH(northwind_order_details[[#This Row],[order_id]], northwind_orders[order_id], 0), MATCH("employee_id", northwind_orders[#Headers], 0))</f>
        <v>2</v>
      </c>
      <c r="H1042">
        <f>northwind_order_details[[#This Row],[unit_price]]*northwind_order_details[[#This Row],[quantity]]</f>
        <v>775</v>
      </c>
      <c r="I1042" s="1">
        <f>northwind_order_details[[#This Row],[purchase amount]]*northwind_order_details[[#This Row],[discount]]</f>
        <v>0</v>
      </c>
      <c r="J1042" s="1">
        <f>northwind_order_details[[#This Row],[purchase amount]]-northwind_order_details[[#This Row],[discount amount]]</f>
        <v>775</v>
      </c>
      <c r="K1042" s="6" t="str">
        <f>IF(northwind_order_details[[#This Row],[discount amount]]&gt;0,"Yes","No")</f>
        <v>No</v>
      </c>
      <c r="L1042" s="1" t="str">
        <f>IF(northwind_order_details[[#This Row],[Revenue]]&gt;1000,"High",IF(northwind_order_details[[#This Row],[Revenue]]&gt;300,"Medium","Low"))</f>
        <v>Medium</v>
      </c>
      <c r="M104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43" spans="1:13" x14ac:dyDescent="0.25">
      <c r="A1043">
        <v>10657</v>
      </c>
      <c r="B1043">
        <v>41</v>
      </c>
      <c r="C1043" s="6">
        <v>9.65</v>
      </c>
      <c r="D1043">
        <v>24</v>
      </c>
      <c r="E1043" s="6" t="s">
        <v>6</v>
      </c>
      <c r="F1043" t="str">
        <f>_xlfn.XLOOKUP(northwind_order_details[[#This Row],[order_id]],northwind_orders[order_id],northwind_orders[ship_country])</f>
        <v>USA</v>
      </c>
      <c r="G1043">
        <f>INDEX(northwind_orders[],MATCH(northwind_order_details[[#This Row],[order_id]], northwind_orders[order_id], 0), MATCH("employee_id", northwind_orders[#Headers], 0))</f>
        <v>2</v>
      </c>
      <c r="H1043">
        <f>northwind_order_details[[#This Row],[unit_price]]*northwind_order_details[[#This Row],[quantity]]</f>
        <v>231.60000000000002</v>
      </c>
      <c r="I1043" s="1">
        <f>northwind_order_details[[#This Row],[purchase amount]]*northwind_order_details[[#This Row],[discount]]</f>
        <v>0</v>
      </c>
      <c r="J1043" s="1">
        <f>northwind_order_details[[#This Row],[purchase amount]]-northwind_order_details[[#This Row],[discount amount]]</f>
        <v>231.60000000000002</v>
      </c>
      <c r="K1043" s="6" t="str">
        <f>IF(northwind_order_details[[#This Row],[discount amount]]&gt;0,"Yes","No")</f>
        <v>No</v>
      </c>
      <c r="L1043" s="1" t="str">
        <f>IF(northwind_order_details[[#This Row],[Revenue]]&gt;1000,"High",IF(northwind_order_details[[#This Row],[Revenue]]&gt;300,"Medium","Low"))</f>
        <v>Low</v>
      </c>
      <c r="M10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44" spans="1:13" x14ac:dyDescent="0.25">
      <c r="A1044">
        <v>10657</v>
      </c>
      <c r="B1044">
        <v>46</v>
      </c>
      <c r="C1044" s="6" t="s">
        <v>13</v>
      </c>
      <c r="D1044">
        <v>45</v>
      </c>
      <c r="E1044" s="6" t="s">
        <v>6</v>
      </c>
      <c r="F1044" t="str">
        <f>_xlfn.XLOOKUP(northwind_order_details[[#This Row],[order_id]],northwind_orders[order_id],northwind_orders[ship_country])</f>
        <v>USA</v>
      </c>
      <c r="G1044">
        <f>INDEX(northwind_orders[],MATCH(northwind_order_details[[#This Row],[order_id]], northwind_orders[order_id], 0), MATCH("employee_id", northwind_orders[#Headers], 0))</f>
        <v>2</v>
      </c>
      <c r="H1044">
        <f>northwind_order_details[[#This Row],[unit_price]]*northwind_order_details[[#This Row],[quantity]]</f>
        <v>540</v>
      </c>
      <c r="I1044" s="1">
        <f>northwind_order_details[[#This Row],[purchase amount]]*northwind_order_details[[#This Row],[discount]]</f>
        <v>0</v>
      </c>
      <c r="J1044" s="1">
        <f>northwind_order_details[[#This Row],[purchase amount]]-northwind_order_details[[#This Row],[discount amount]]</f>
        <v>540</v>
      </c>
      <c r="K1044" s="6" t="str">
        <f>IF(northwind_order_details[[#This Row],[discount amount]]&gt;0,"Yes","No")</f>
        <v>No</v>
      </c>
      <c r="L1044" s="1" t="str">
        <f>IF(northwind_order_details[[#This Row],[Revenue]]&gt;1000,"High",IF(northwind_order_details[[#This Row],[Revenue]]&gt;300,"Medium","Low"))</f>
        <v>Medium</v>
      </c>
      <c r="M10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45" spans="1:13" x14ac:dyDescent="0.25">
      <c r="A1045">
        <v>10657</v>
      </c>
      <c r="B1045">
        <v>47</v>
      </c>
      <c r="C1045" s="6">
        <v>9.5</v>
      </c>
      <c r="D1045">
        <v>10</v>
      </c>
      <c r="E1045" s="6" t="s">
        <v>6</v>
      </c>
      <c r="F1045" t="str">
        <f>_xlfn.XLOOKUP(northwind_order_details[[#This Row],[order_id]],northwind_orders[order_id],northwind_orders[ship_country])</f>
        <v>USA</v>
      </c>
      <c r="G1045">
        <f>INDEX(northwind_orders[],MATCH(northwind_order_details[[#This Row],[order_id]], northwind_orders[order_id], 0), MATCH("employee_id", northwind_orders[#Headers], 0))</f>
        <v>2</v>
      </c>
      <c r="H1045">
        <f>northwind_order_details[[#This Row],[unit_price]]*northwind_order_details[[#This Row],[quantity]]</f>
        <v>95</v>
      </c>
      <c r="I1045" s="1">
        <f>northwind_order_details[[#This Row],[purchase amount]]*northwind_order_details[[#This Row],[discount]]</f>
        <v>0</v>
      </c>
      <c r="J1045" s="1">
        <f>northwind_order_details[[#This Row],[purchase amount]]-northwind_order_details[[#This Row],[discount amount]]</f>
        <v>95</v>
      </c>
      <c r="K1045" s="6" t="str">
        <f>IF(northwind_order_details[[#This Row],[discount amount]]&gt;0,"Yes","No")</f>
        <v>No</v>
      </c>
      <c r="L1045" s="1" t="str">
        <f>IF(northwind_order_details[[#This Row],[Revenue]]&gt;1000,"High",IF(northwind_order_details[[#This Row],[Revenue]]&gt;300,"Medium","Low"))</f>
        <v>Low</v>
      </c>
      <c r="M10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46" spans="1:13" x14ac:dyDescent="0.25">
      <c r="A1046">
        <v>10657</v>
      </c>
      <c r="B1046">
        <v>56</v>
      </c>
      <c r="C1046" s="6" t="s">
        <v>30</v>
      </c>
      <c r="D1046">
        <v>45</v>
      </c>
      <c r="E1046" s="6" t="s">
        <v>6</v>
      </c>
      <c r="F1046" t="str">
        <f>_xlfn.XLOOKUP(northwind_order_details[[#This Row],[order_id]],northwind_orders[order_id],northwind_orders[ship_country])</f>
        <v>USA</v>
      </c>
      <c r="G1046">
        <f>INDEX(northwind_orders[],MATCH(northwind_order_details[[#This Row],[order_id]], northwind_orders[order_id], 0), MATCH("employee_id", northwind_orders[#Headers], 0))</f>
        <v>2</v>
      </c>
      <c r="H1046">
        <f>northwind_order_details[[#This Row],[unit_price]]*northwind_order_details[[#This Row],[quantity]]</f>
        <v>1710</v>
      </c>
      <c r="I1046" s="1">
        <f>northwind_order_details[[#This Row],[purchase amount]]*northwind_order_details[[#This Row],[discount]]</f>
        <v>0</v>
      </c>
      <c r="J1046" s="1">
        <f>northwind_order_details[[#This Row],[purchase amount]]-northwind_order_details[[#This Row],[discount amount]]</f>
        <v>1710</v>
      </c>
      <c r="K1046" s="6" t="str">
        <f>IF(northwind_order_details[[#This Row],[discount amount]]&gt;0,"Yes","No")</f>
        <v>No</v>
      </c>
      <c r="L1046" s="1" t="str">
        <f>IF(northwind_order_details[[#This Row],[Revenue]]&gt;1000,"High",IF(northwind_order_details[[#This Row],[Revenue]]&gt;300,"Medium","Low"))</f>
        <v>High</v>
      </c>
      <c r="M10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47" spans="1:13" x14ac:dyDescent="0.25">
      <c r="A1047">
        <v>10657</v>
      </c>
      <c r="B1047">
        <v>60</v>
      </c>
      <c r="C1047" s="6" t="s">
        <v>28</v>
      </c>
      <c r="D1047">
        <v>30</v>
      </c>
      <c r="E1047" s="6" t="s">
        <v>6</v>
      </c>
      <c r="F1047" t="str">
        <f>_xlfn.XLOOKUP(northwind_order_details[[#This Row],[order_id]],northwind_orders[order_id],northwind_orders[ship_country])</f>
        <v>USA</v>
      </c>
      <c r="G1047">
        <f>INDEX(northwind_orders[],MATCH(northwind_order_details[[#This Row],[order_id]], northwind_orders[order_id], 0), MATCH("employee_id", northwind_orders[#Headers], 0))</f>
        <v>2</v>
      </c>
      <c r="H1047">
        <f>northwind_order_details[[#This Row],[unit_price]]*northwind_order_details[[#This Row],[quantity]]</f>
        <v>1020</v>
      </c>
      <c r="I1047" s="1">
        <f>northwind_order_details[[#This Row],[purchase amount]]*northwind_order_details[[#This Row],[discount]]</f>
        <v>0</v>
      </c>
      <c r="J1047" s="1">
        <f>northwind_order_details[[#This Row],[purchase amount]]-northwind_order_details[[#This Row],[discount amount]]</f>
        <v>1020</v>
      </c>
      <c r="K1047" s="6" t="str">
        <f>IF(northwind_order_details[[#This Row],[discount amount]]&gt;0,"Yes","No")</f>
        <v>No</v>
      </c>
      <c r="L1047" s="1" t="str">
        <f>IF(northwind_order_details[[#This Row],[Revenue]]&gt;1000,"High",IF(northwind_order_details[[#This Row],[Revenue]]&gt;300,"Medium","Low"))</f>
        <v>High</v>
      </c>
      <c r="M10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48" spans="1:13" x14ac:dyDescent="0.25">
      <c r="A1048">
        <v>10658</v>
      </c>
      <c r="B1048">
        <v>21</v>
      </c>
      <c r="C1048" s="6" t="s">
        <v>8</v>
      </c>
      <c r="D1048">
        <v>60</v>
      </c>
      <c r="E1048" s="6" t="s">
        <v>6</v>
      </c>
      <c r="F1048" t="str">
        <f>_xlfn.XLOOKUP(northwind_order_details[[#This Row],[order_id]],northwind_orders[order_id],northwind_orders[ship_country])</f>
        <v>Germany</v>
      </c>
      <c r="G1048">
        <f>INDEX(northwind_orders[],MATCH(northwind_order_details[[#This Row],[order_id]], northwind_orders[order_id], 0), MATCH("employee_id", northwind_orders[#Headers], 0))</f>
        <v>4</v>
      </c>
      <c r="H1048">
        <f>northwind_order_details[[#This Row],[unit_price]]*northwind_order_details[[#This Row],[quantity]]</f>
        <v>600</v>
      </c>
      <c r="I1048" s="1">
        <f>northwind_order_details[[#This Row],[purchase amount]]*northwind_order_details[[#This Row],[discount]]</f>
        <v>0</v>
      </c>
      <c r="J1048" s="1">
        <f>northwind_order_details[[#This Row],[purchase amount]]-northwind_order_details[[#This Row],[discount amount]]</f>
        <v>600</v>
      </c>
      <c r="K1048" s="6" t="str">
        <f>IF(northwind_order_details[[#This Row],[discount amount]]&gt;0,"Yes","No")</f>
        <v>No</v>
      </c>
      <c r="L1048" s="1" t="str">
        <f>IF(northwind_order_details[[#This Row],[Revenue]]&gt;1000,"High",IF(northwind_order_details[[#This Row],[Revenue]]&gt;300,"Medium","Low"))</f>
        <v>Medium</v>
      </c>
      <c r="M10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49" spans="1:13" x14ac:dyDescent="0.25">
      <c r="A1049">
        <v>10658</v>
      </c>
      <c r="B1049">
        <v>40</v>
      </c>
      <c r="C1049" s="6">
        <v>18.399999999999999</v>
      </c>
      <c r="D1049">
        <v>70</v>
      </c>
      <c r="E1049" s="6">
        <v>0.05</v>
      </c>
      <c r="F1049" t="str">
        <f>_xlfn.XLOOKUP(northwind_order_details[[#This Row],[order_id]],northwind_orders[order_id],northwind_orders[ship_country])</f>
        <v>Germany</v>
      </c>
      <c r="G1049">
        <f>INDEX(northwind_orders[],MATCH(northwind_order_details[[#This Row],[order_id]], northwind_orders[order_id], 0), MATCH("employee_id", northwind_orders[#Headers], 0))</f>
        <v>4</v>
      </c>
      <c r="H1049">
        <f>northwind_order_details[[#This Row],[unit_price]]*northwind_order_details[[#This Row],[quantity]]</f>
        <v>1288</v>
      </c>
      <c r="I1049" s="1">
        <f>northwind_order_details[[#This Row],[purchase amount]]*northwind_order_details[[#This Row],[discount]]</f>
        <v>64.400000000000006</v>
      </c>
      <c r="J1049" s="1">
        <f>northwind_order_details[[#This Row],[purchase amount]]-northwind_order_details[[#This Row],[discount amount]]</f>
        <v>1223.5999999999999</v>
      </c>
      <c r="K1049" s="6" t="str">
        <f>IF(northwind_order_details[[#This Row],[discount amount]]&gt;0,"Yes","No")</f>
        <v>Yes</v>
      </c>
      <c r="L1049" s="1" t="str">
        <f>IF(northwind_order_details[[#This Row],[Revenue]]&gt;1000,"High",IF(northwind_order_details[[#This Row],[Revenue]]&gt;300,"Medium","Low"))</f>
        <v>High</v>
      </c>
      <c r="M10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50" spans="1:13" x14ac:dyDescent="0.25">
      <c r="A1050">
        <v>10658</v>
      </c>
      <c r="B1050">
        <v>60</v>
      </c>
      <c r="C1050" s="6" t="s">
        <v>28</v>
      </c>
      <c r="D1050">
        <v>55</v>
      </c>
      <c r="E1050" s="6">
        <v>0.05</v>
      </c>
      <c r="F1050" t="str">
        <f>_xlfn.XLOOKUP(northwind_order_details[[#This Row],[order_id]],northwind_orders[order_id],northwind_orders[ship_country])</f>
        <v>Germany</v>
      </c>
      <c r="G1050">
        <f>INDEX(northwind_orders[],MATCH(northwind_order_details[[#This Row],[order_id]], northwind_orders[order_id], 0), MATCH("employee_id", northwind_orders[#Headers], 0))</f>
        <v>4</v>
      </c>
      <c r="H1050">
        <f>northwind_order_details[[#This Row],[unit_price]]*northwind_order_details[[#This Row],[quantity]]</f>
        <v>1870</v>
      </c>
      <c r="I1050" s="1">
        <f>northwind_order_details[[#This Row],[purchase amount]]*northwind_order_details[[#This Row],[discount]]</f>
        <v>93.5</v>
      </c>
      <c r="J1050" s="1">
        <f>northwind_order_details[[#This Row],[purchase amount]]-northwind_order_details[[#This Row],[discount amount]]</f>
        <v>1776.5</v>
      </c>
      <c r="K1050" s="6" t="str">
        <f>IF(northwind_order_details[[#This Row],[discount amount]]&gt;0,"Yes","No")</f>
        <v>Yes</v>
      </c>
      <c r="L1050" s="1" t="str">
        <f>IF(northwind_order_details[[#This Row],[Revenue]]&gt;1000,"High",IF(northwind_order_details[[#This Row],[Revenue]]&gt;300,"Medium","Low"))</f>
        <v>High</v>
      </c>
      <c r="M10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51" spans="1:13" x14ac:dyDescent="0.25">
      <c r="A1051">
        <v>10658</v>
      </c>
      <c r="B1051">
        <v>77</v>
      </c>
      <c r="C1051" s="6" t="s">
        <v>19</v>
      </c>
      <c r="D1051">
        <v>70</v>
      </c>
      <c r="E1051" s="6">
        <v>0.05</v>
      </c>
      <c r="F1051" t="str">
        <f>_xlfn.XLOOKUP(northwind_order_details[[#This Row],[order_id]],northwind_orders[order_id],northwind_orders[ship_country])</f>
        <v>Germany</v>
      </c>
      <c r="G1051">
        <f>INDEX(northwind_orders[],MATCH(northwind_order_details[[#This Row],[order_id]], northwind_orders[order_id], 0), MATCH("employee_id", northwind_orders[#Headers], 0))</f>
        <v>4</v>
      </c>
      <c r="H1051">
        <f>northwind_order_details[[#This Row],[unit_price]]*northwind_order_details[[#This Row],[quantity]]</f>
        <v>910</v>
      </c>
      <c r="I1051" s="1">
        <f>northwind_order_details[[#This Row],[purchase amount]]*northwind_order_details[[#This Row],[discount]]</f>
        <v>45.5</v>
      </c>
      <c r="J1051" s="1">
        <f>northwind_order_details[[#This Row],[purchase amount]]-northwind_order_details[[#This Row],[discount amount]]</f>
        <v>864.5</v>
      </c>
      <c r="K1051" s="6" t="str">
        <f>IF(northwind_order_details[[#This Row],[discount amount]]&gt;0,"Yes","No")</f>
        <v>Yes</v>
      </c>
      <c r="L1051" s="1" t="str">
        <f>IF(northwind_order_details[[#This Row],[Revenue]]&gt;1000,"High",IF(northwind_order_details[[#This Row],[Revenue]]&gt;300,"Medium","Low"))</f>
        <v>Medium</v>
      </c>
      <c r="M10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52" spans="1:13" x14ac:dyDescent="0.25">
      <c r="A1052">
        <v>10659</v>
      </c>
      <c r="B1052">
        <v>31</v>
      </c>
      <c r="C1052" s="6">
        <v>12.5</v>
      </c>
      <c r="D1052">
        <v>20</v>
      </c>
      <c r="E1052" s="6">
        <v>0.05</v>
      </c>
      <c r="F1052" t="str">
        <f>_xlfn.XLOOKUP(northwind_order_details[[#This Row],[order_id]],northwind_orders[order_id],northwind_orders[ship_country])</f>
        <v>Brazil</v>
      </c>
      <c r="G1052">
        <f>INDEX(northwind_orders[],MATCH(northwind_order_details[[#This Row],[order_id]], northwind_orders[order_id], 0), MATCH("employee_id", northwind_orders[#Headers], 0))</f>
        <v>7</v>
      </c>
      <c r="H1052">
        <f>northwind_order_details[[#This Row],[unit_price]]*northwind_order_details[[#This Row],[quantity]]</f>
        <v>250</v>
      </c>
      <c r="I1052" s="1">
        <f>northwind_order_details[[#This Row],[purchase amount]]*northwind_order_details[[#This Row],[discount]]</f>
        <v>12.5</v>
      </c>
      <c r="J1052" s="1">
        <f>northwind_order_details[[#This Row],[purchase amount]]-northwind_order_details[[#This Row],[discount amount]]</f>
        <v>237.5</v>
      </c>
      <c r="K1052" s="6" t="str">
        <f>IF(northwind_order_details[[#This Row],[discount amount]]&gt;0,"Yes","No")</f>
        <v>Yes</v>
      </c>
      <c r="L1052" s="1" t="str">
        <f>IF(northwind_order_details[[#This Row],[Revenue]]&gt;1000,"High",IF(northwind_order_details[[#This Row],[Revenue]]&gt;300,"Medium","Low"))</f>
        <v>Low</v>
      </c>
      <c r="M105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53" spans="1:13" x14ac:dyDescent="0.25">
      <c r="A1053">
        <v>10659</v>
      </c>
      <c r="B1053">
        <v>40</v>
      </c>
      <c r="C1053" s="6">
        <v>18.399999999999999</v>
      </c>
      <c r="D1053">
        <v>24</v>
      </c>
      <c r="E1053" s="6">
        <v>0.05</v>
      </c>
      <c r="F1053" t="str">
        <f>_xlfn.XLOOKUP(northwind_order_details[[#This Row],[order_id]],northwind_orders[order_id],northwind_orders[ship_country])</f>
        <v>Brazil</v>
      </c>
      <c r="G1053">
        <f>INDEX(northwind_orders[],MATCH(northwind_order_details[[#This Row],[order_id]], northwind_orders[order_id], 0), MATCH("employee_id", northwind_orders[#Headers], 0))</f>
        <v>7</v>
      </c>
      <c r="H1053">
        <f>northwind_order_details[[#This Row],[unit_price]]*northwind_order_details[[#This Row],[quantity]]</f>
        <v>441.59999999999997</v>
      </c>
      <c r="I1053" s="1">
        <f>northwind_order_details[[#This Row],[purchase amount]]*northwind_order_details[[#This Row],[discount]]</f>
        <v>22.08</v>
      </c>
      <c r="J1053" s="1">
        <f>northwind_order_details[[#This Row],[purchase amount]]-northwind_order_details[[#This Row],[discount amount]]</f>
        <v>419.52</v>
      </c>
      <c r="K1053" s="6" t="str">
        <f>IF(northwind_order_details[[#This Row],[discount amount]]&gt;0,"Yes","No")</f>
        <v>Yes</v>
      </c>
      <c r="L1053" s="1" t="str">
        <f>IF(northwind_order_details[[#This Row],[Revenue]]&gt;1000,"High",IF(northwind_order_details[[#This Row],[Revenue]]&gt;300,"Medium","Low"))</f>
        <v>Medium</v>
      </c>
      <c r="M10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54" spans="1:13" x14ac:dyDescent="0.25">
      <c r="A1054">
        <v>10659</v>
      </c>
      <c r="B1054">
        <v>70</v>
      </c>
      <c r="C1054" s="6" t="s">
        <v>21</v>
      </c>
      <c r="D1054">
        <v>40</v>
      </c>
      <c r="E1054" s="6">
        <v>0.05</v>
      </c>
      <c r="F1054" t="str">
        <f>_xlfn.XLOOKUP(northwind_order_details[[#This Row],[order_id]],northwind_orders[order_id],northwind_orders[ship_country])</f>
        <v>Brazil</v>
      </c>
      <c r="G1054">
        <f>INDEX(northwind_orders[],MATCH(northwind_order_details[[#This Row],[order_id]], northwind_orders[order_id], 0), MATCH("employee_id", northwind_orders[#Headers], 0))</f>
        <v>7</v>
      </c>
      <c r="H1054">
        <f>northwind_order_details[[#This Row],[unit_price]]*northwind_order_details[[#This Row],[quantity]]</f>
        <v>600</v>
      </c>
      <c r="I1054" s="1">
        <f>northwind_order_details[[#This Row],[purchase amount]]*northwind_order_details[[#This Row],[discount]]</f>
        <v>30</v>
      </c>
      <c r="J1054" s="1">
        <f>northwind_order_details[[#This Row],[purchase amount]]-northwind_order_details[[#This Row],[discount amount]]</f>
        <v>570</v>
      </c>
      <c r="K1054" s="6" t="str">
        <f>IF(northwind_order_details[[#This Row],[discount amount]]&gt;0,"Yes","No")</f>
        <v>Yes</v>
      </c>
      <c r="L1054" s="1" t="str">
        <f>IF(northwind_order_details[[#This Row],[Revenue]]&gt;1000,"High",IF(northwind_order_details[[#This Row],[Revenue]]&gt;300,"Medium","Low"))</f>
        <v>Medium</v>
      </c>
      <c r="M10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55" spans="1:13" x14ac:dyDescent="0.25">
      <c r="A1055">
        <v>10660</v>
      </c>
      <c r="B1055">
        <v>20</v>
      </c>
      <c r="C1055" s="6" t="s">
        <v>29</v>
      </c>
      <c r="D1055">
        <v>21</v>
      </c>
      <c r="E1055" s="6" t="s">
        <v>6</v>
      </c>
      <c r="F1055" t="str">
        <f>_xlfn.XLOOKUP(northwind_order_details[[#This Row],[order_id]],northwind_orders[order_id],northwind_orders[ship_country])</f>
        <v>USA</v>
      </c>
      <c r="G1055">
        <f>INDEX(northwind_orders[],MATCH(northwind_order_details[[#This Row],[order_id]], northwind_orders[order_id], 0), MATCH("employee_id", northwind_orders[#Headers], 0))</f>
        <v>8</v>
      </c>
      <c r="H1055">
        <f>northwind_order_details[[#This Row],[unit_price]]*northwind_order_details[[#This Row],[quantity]]</f>
        <v>1701</v>
      </c>
      <c r="I1055" s="1">
        <f>northwind_order_details[[#This Row],[purchase amount]]*northwind_order_details[[#This Row],[discount]]</f>
        <v>0</v>
      </c>
      <c r="J1055" s="1">
        <f>northwind_order_details[[#This Row],[purchase amount]]-northwind_order_details[[#This Row],[discount amount]]</f>
        <v>1701</v>
      </c>
      <c r="K1055" s="6" t="str">
        <f>IF(northwind_order_details[[#This Row],[discount amount]]&gt;0,"Yes","No")</f>
        <v>No</v>
      </c>
      <c r="L1055" s="1" t="str">
        <f>IF(northwind_order_details[[#This Row],[Revenue]]&gt;1000,"High",IF(northwind_order_details[[#This Row],[Revenue]]&gt;300,"Medium","Low"))</f>
        <v>High</v>
      </c>
      <c r="M10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56" spans="1:13" x14ac:dyDescent="0.25">
      <c r="A1056">
        <v>10662</v>
      </c>
      <c r="B1056">
        <v>68</v>
      </c>
      <c r="C1056" s="6">
        <v>12.5</v>
      </c>
      <c r="D1056">
        <v>10</v>
      </c>
      <c r="E1056" s="6" t="s">
        <v>6</v>
      </c>
      <c r="F1056" t="str">
        <f>_xlfn.XLOOKUP(northwind_order_details[[#This Row],[order_id]],northwind_orders[order_id],northwind_orders[ship_country])</f>
        <v>USA</v>
      </c>
      <c r="G1056">
        <f>INDEX(northwind_orders[],MATCH(northwind_order_details[[#This Row],[order_id]], northwind_orders[order_id], 0), MATCH("employee_id", northwind_orders[#Headers], 0))</f>
        <v>3</v>
      </c>
      <c r="H1056">
        <f>northwind_order_details[[#This Row],[unit_price]]*northwind_order_details[[#This Row],[quantity]]</f>
        <v>125</v>
      </c>
      <c r="I1056" s="1">
        <f>northwind_order_details[[#This Row],[purchase amount]]*northwind_order_details[[#This Row],[discount]]</f>
        <v>0</v>
      </c>
      <c r="J1056" s="1">
        <f>northwind_order_details[[#This Row],[purchase amount]]-northwind_order_details[[#This Row],[discount amount]]</f>
        <v>125</v>
      </c>
      <c r="K1056" s="6" t="str">
        <f>IF(northwind_order_details[[#This Row],[discount amount]]&gt;0,"Yes","No")</f>
        <v>No</v>
      </c>
      <c r="L1056" s="1" t="str">
        <f>IF(northwind_order_details[[#This Row],[Revenue]]&gt;1000,"High",IF(northwind_order_details[[#This Row],[Revenue]]&gt;300,"Medium","Low"))</f>
        <v>Low</v>
      </c>
      <c r="M10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57" spans="1:13" x14ac:dyDescent="0.25">
      <c r="A1057">
        <v>10663</v>
      </c>
      <c r="B1057">
        <v>40</v>
      </c>
      <c r="C1057" s="6">
        <v>18.399999999999999</v>
      </c>
      <c r="D1057">
        <v>30</v>
      </c>
      <c r="E1057" s="6">
        <v>0.05</v>
      </c>
      <c r="F1057" t="str">
        <f>_xlfn.XLOOKUP(northwind_order_details[[#This Row],[order_id]],northwind_orders[order_id],northwind_orders[ship_country])</f>
        <v>France</v>
      </c>
      <c r="G1057">
        <f>INDEX(northwind_orders[],MATCH(northwind_order_details[[#This Row],[order_id]], northwind_orders[order_id], 0), MATCH("employee_id", northwind_orders[#Headers], 0))</f>
        <v>2</v>
      </c>
      <c r="H1057">
        <f>northwind_order_details[[#This Row],[unit_price]]*northwind_order_details[[#This Row],[quantity]]</f>
        <v>552</v>
      </c>
      <c r="I1057" s="1">
        <f>northwind_order_details[[#This Row],[purchase amount]]*northwind_order_details[[#This Row],[discount]]</f>
        <v>27.6</v>
      </c>
      <c r="J1057" s="1">
        <f>northwind_order_details[[#This Row],[purchase amount]]-northwind_order_details[[#This Row],[discount amount]]</f>
        <v>524.4</v>
      </c>
      <c r="K1057" s="6" t="str">
        <f>IF(northwind_order_details[[#This Row],[discount amount]]&gt;0,"Yes","No")</f>
        <v>Yes</v>
      </c>
      <c r="L1057" s="1" t="str">
        <f>IF(northwind_order_details[[#This Row],[Revenue]]&gt;1000,"High",IF(northwind_order_details[[#This Row],[Revenue]]&gt;300,"Medium","Low"))</f>
        <v>Medium</v>
      </c>
      <c r="M105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58" spans="1:13" x14ac:dyDescent="0.25">
      <c r="A1058">
        <v>10663</v>
      </c>
      <c r="B1058">
        <v>42</v>
      </c>
      <c r="C1058" s="6" t="s">
        <v>5</v>
      </c>
      <c r="D1058">
        <v>30</v>
      </c>
      <c r="E1058" s="6">
        <v>0.05</v>
      </c>
      <c r="F1058" t="str">
        <f>_xlfn.XLOOKUP(northwind_order_details[[#This Row],[order_id]],northwind_orders[order_id],northwind_orders[ship_country])</f>
        <v>France</v>
      </c>
      <c r="G1058">
        <f>INDEX(northwind_orders[],MATCH(northwind_order_details[[#This Row],[order_id]], northwind_orders[order_id], 0), MATCH("employee_id", northwind_orders[#Headers], 0))</f>
        <v>2</v>
      </c>
      <c r="H1058">
        <f>northwind_order_details[[#This Row],[unit_price]]*northwind_order_details[[#This Row],[quantity]]</f>
        <v>420</v>
      </c>
      <c r="I1058" s="1">
        <f>northwind_order_details[[#This Row],[purchase amount]]*northwind_order_details[[#This Row],[discount]]</f>
        <v>21</v>
      </c>
      <c r="J1058" s="1">
        <f>northwind_order_details[[#This Row],[purchase amount]]-northwind_order_details[[#This Row],[discount amount]]</f>
        <v>399</v>
      </c>
      <c r="K1058" s="6" t="str">
        <f>IF(northwind_order_details[[#This Row],[discount amount]]&gt;0,"Yes","No")</f>
        <v>Yes</v>
      </c>
      <c r="L1058" s="1" t="str">
        <f>IF(northwind_order_details[[#This Row],[Revenue]]&gt;1000,"High",IF(northwind_order_details[[#This Row],[Revenue]]&gt;300,"Medium","Low"))</f>
        <v>Medium</v>
      </c>
      <c r="M10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59" spans="1:13" x14ac:dyDescent="0.25">
      <c r="A1059">
        <v>10663</v>
      </c>
      <c r="B1059">
        <v>51</v>
      </c>
      <c r="C1059" s="6" t="s">
        <v>39</v>
      </c>
      <c r="D1059">
        <v>20</v>
      </c>
      <c r="E1059" s="6">
        <v>0.05</v>
      </c>
      <c r="F1059" t="str">
        <f>_xlfn.XLOOKUP(northwind_order_details[[#This Row],[order_id]],northwind_orders[order_id],northwind_orders[ship_country])</f>
        <v>France</v>
      </c>
      <c r="G1059">
        <f>INDEX(northwind_orders[],MATCH(northwind_order_details[[#This Row],[order_id]], northwind_orders[order_id], 0), MATCH("employee_id", northwind_orders[#Headers], 0))</f>
        <v>2</v>
      </c>
      <c r="H1059">
        <f>northwind_order_details[[#This Row],[unit_price]]*northwind_order_details[[#This Row],[quantity]]</f>
        <v>1060</v>
      </c>
      <c r="I1059" s="1">
        <f>northwind_order_details[[#This Row],[purchase amount]]*northwind_order_details[[#This Row],[discount]]</f>
        <v>53</v>
      </c>
      <c r="J1059" s="1">
        <f>northwind_order_details[[#This Row],[purchase amount]]-northwind_order_details[[#This Row],[discount amount]]</f>
        <v>1007</v>
      </c>
      <c r="K1059" s="6" t="str">
        <f>IF(northwind_order_details[[#This Row],[discount amount]]&gt;0,"Yes","No")</f>
        <v>Yes</v>
      </c>
      <c r="L1059" s="1" t="str">
        <f>IF(northwind_order_details[[#This Row],[Revenue]]&gt;1000,"High",IF(northwind_order_details[[#This Row],[Revenue]]&gt;300,"Medium","Low"))</f>
        <v>High</v>
      </c>
      <c r="M10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0" spans="1:13" x14ac:dyDescent="0.25">
      <c r="A1060">
        <v>10664</v>
      </c>
      <c r="B1060">
        <v>10</v>
      </c>
      <c r="C1060" s="6" t="s">
        <v>34</v>
      </c>
      <c r="D1060">
        <v>24</v>
      </c>
      <c r="E1060" s="6">
        <v>0.15</v>
      </c>
      <c r="F1060" t="str">
        <f>_xlfn.XLOOKUP(northwind_order_details[[#This Row],[order_id]],northwind_orders[order_id],northwind_orders[ship_country])</f>
        <v>Portugal</v>
      </c>
      <c r="G1060">
        <f>INDEX(northwind_orders[],MATCH(northwind_order_details[[#This Row],[order_id]], northwind_orders[order_id], 0), MATCH("employee_id", northwind_orders[#Headers], 0))</f>
        <v>1</v>
      </c>
      <c r="H1060">
        <f>northwind_order_details[[#This Row],[unit_price]]*northwind_order_details[[#This Row],[quantity]]</f>
        <v>744</v>
      </c>
      <c r="I1060" s="1">
        <f>northwind_order_details[[#This Row],[purchase amount]]*northwind_order_details[[#This Row],[discount]]</f>
        <v>111.6</v>
      </c>
      <c r="J1060" s="1">
        <f>northwind_order_details[[#This Row],[purchase amount]]-northwind_order_details[[#This Row],[discount amount]]</f>
        <v>632.4</v>
      </c>
      <c r="K1060" s="6" t="str">
        <f>IF(northwind_order_details[[#This Row],[discount amount]]&gt;0,"Yes","No")</f>
        <v>Yes</v>
      </c>
      <c r="L1060" s="1" t="str">
        <f>IF(northwind_order_details[[#This Row],[Revenue]]&gt;1000,"High",IF(northwind_order_details[[#This Row],[Revenue]]&gt;300,"Medium","Low"))</f>
        <v>Medium</v>
      </c>
      <c r="M10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1" spans="1:13" x14ac:dyDescent="0.25">
      <c r="A1061">
        <v>10664</v>
      </c>
      <c r="B1061">
        <v>56</v>
      </c>
      <c r="C1061" s="6" t="s">
        <v>30</v>
      </c>
      <c r="D1061">
        <v>12</v>
      </c>
      <c r="E1061" s="6">
        <v>0.15</v>
      </c>
      <c r="F1061" t="str">
        <f>_xlfn.XLOOKUP(northwind_order_details[[#This Row],[order_id]],northwind_orders[order_id],northwind_orders[ship_country])</f>
        <v>Portugal</v>
      </c>
      <c r="G1061">
        <f>INDEX(northwind_orders[],MATCH(northwind_order_details[[#This Row],[order_id]], northwind_orders[order_id], 0), MATCH("employee_id", northwind_orders[#Headers], 0))</f>
        <v>1</v>
      </c>
      <c r="H1061">
        <f>northwind_order_details[[#This Row],[unit_price]]*northwind_order_details[[#This Row],[quantity]]</f>
        <v>456</v>
      </c>
      <c r="I1061" s="1">
        <f>northwind_order_details[[#This Row],[purchase amount]]*northwind_order_details[[#This Row],[discount]]</f>
        <v>68.399999999999991</v>
      </c>
      <c r="J1061" s="1">
        <f>northwind_order_details[[#This Row],[purchase amount]]-northwind_order_details[[#This Row],[discount amount]]</f>
        <v>387.6</v>
      </c>
      <c r="K1061" s="6" t="str">
        <f>IF(northwind_order_details[[#This Row],[discount amount]]&gt;0,"Yes","No")</f>
        <v>Yes</v>
      </c>
      <c r="L1061" s="1" t="str">
        <f>IF(northwind_order_details[[#This Row],[Revenue]]&gt;1000,"High",IF(northwind_order_details[[#This Row],[Revenue]]&gt;300,"Medium","Low"))</f>
        <v>Medium</v>
      </c>
      <c r="M10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2" spans="1:13" x14ac:dyDescent="0.25">
      <c r="A1062">
        <v>10664</v>
      </c>
      <c r="B1062">
        <v>65</v>
      </c>
      <c r="C1062" s="6">
        <v>21.05</v>
      </c>
      <c r="D1062">
        <v>15</v>
      </c>
      <c r="E1062" s="6">
        <v>0.15</v>
      </c>
      <c r="F1062" t="str">
        <f>_xlfn.XLOOKUP(northwind_order_details[[#This Row],[order_id]],northwind_orders[order_id],northwind_orders[ship_country])</f>
        <v>Portugal</v>
      </c>
      <c r="G1062">
        <f>INDEX(northwind_orders[],MATCH(northwind_order_details[[#This Row],[order_id]], northwind_orders[order_id], 0), MATCH("employee_id", northwind_orders[#Headers], 0))</f>
        <v>1</v>
      </c>
      <c r="H1062">
        <f>northwind_order_details[[#This Row],[unit_price]]*northwind_order_details[[#This Row],[quantity]]</f>
        <v>315.75</v>
      </c>
      <c r="I1062" s="1">
        <f>northwind_order_details[[#This Row],[purchase amount]]*northwind_order_details[[#This Row],[discount]]</f>
        <v>47.362499999999997</v>
      </c>
      <c r="J1062" s="1">
        <f>northwind_order_details[[#This Row],[purchase amount]]-northwind_order_details[[#This Row],[discount amount]]</f>
        <v>268.38749999999999</v>
      </c>
      <c r="K1062" s="6" t="str">
        <f>IF(northwind_order_details[[#This Row],[discount amount]]&gt;0,"Yes","No")</f>
        <v>Yes</v>
      </c>
      <c r="L1062" s="1" t="str">
        <f>IF(northwind_order_details[[#This Row],[Revenue]]&gt;1000,"High",IF(northwind_order_details[[#This Row],[Revenue]]&gt;300,"Medium","Low"))</f>
        <v>Low</v>
      </c>
      <c r="M10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63" spans="1:13" x14ac:dyDescent="0.25">
      <c r="A1063">
        <v>10665</v>
      </c>
      <c r="B1063">
        <v>51</v>
      </c>
      <c r="C1063" s="6" t="s">
        <v>39</v>
      </c>
      <c r="D1063">
        <v>20</v>
      </c>
      <c r="E1063" s="6" t="s">
        <v>6</v>
      </c>
      <c r="F1063" t="str">
        <f>_xlfn.XLOOKUP(northwind_order_details[[#This Row],[order_id]],northwind_orders[order_id],northwind_orders[ship_country])</f>
        <v>USA</v>
      </c>
      <c r="G1063">
        <f>INDEX(northwind_orders[],MATCH(northwind_order_details[[#This Row],[order_id]], northwind_orders[order_id], 0), MATCH("employee_id", northwind_orders[#Headers], 0))</f>
        <v>1</v>
      </c>
      <c r="H1063">
        <f>northwind_order_details[[#This Row],[unit_price]]*northwind_order_details[[#This Row],[quantity]]</f>
        <v>1060</v>
      </c>
      <c r="I1063" s="1">
        <f>northwind_order_details[[#This Row],[purchase amount]]*northwind_order_details[[#This Row],[discount]]</f>
        <v>0</v>
      </c>
      <c r="J1063" s="1">
        <f>northwind_order_details[[#This Row],[purchase amount]]-northwind_order_details[[#This Row],[discount amount]]</f>
        <v>1060</v>
      </c>
      <c r="K1063" s="6" t="str">
        <f>IF(northwind_order_details[[#This Row],[discount amount]]&gt;0,"Yes","No")</f>
        <v>No</v>
      </c>
      <c r="L1063" s="1" t="str">
        <f>IF(northwind_order_details[[#This Row],[Revenue]]&gt;1000,"High",IF(northwind_order_details[[#This Row],[Revenue]]&gt;300,"Medium","Low"))</f>
        <v>High</v>
      </c>
      <c r="M10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4" spans="1:13" x14ac:dyDescent="0.25">
      <c r="A1064">
        <v>10665</v>
      </c>
      <c r="B1064">
        <v>59</v>
      </c>
      <c r="C1064" s="6" t="s">
        <v>33</v>
      </c>
      <c r="D1064">
        <v>1</v>
      </c>
      <c r="E1064" s="6" t="s">
        <v>6</v>
      </c>
      <c r="F1064" t="str">
        <f>_xlfn.XLOOKUP(northwind_order_details[[#This Row],[order_id]],northwind_orders[order_id],northwind_orders[ship_country])</f>
        <v>USA</v>
      </c>
      <c r="G1064">
        <f>INDEX(northwind_orders[],MATCH(northwind_order_details[[#This Row],[order_id]], northwind_orders[order_id], 0), MATCH("employee_id", northwind_orders[#Headers], 0))</f>
        <v>1</v>
      </c>
      <c r="H1064">
        <f>northwind_order_details[[#This Row],[unit_price]]*northwind_order_details[[#This Row],[quantity]]</f>
        <v>55</v>
      </c>
      <c r="I1064" s="1">
        <f>northwind_order_details[[#This Row],[purchase amount]]*northwind_order_details[[#This Row],[discount]]</f>
        <v>0</v>
      </c>
      <c r="J1064" s="1">
        <f>northwind_order_details[[#This Row],[purchase amount]]-northwind_order_details[[#This Row],[discount amount]]</f>
        <v>55</v>
      </c>
      <c r="K1064" s="6" t="str">
        <f>IF(northwind_order_details[[#This Row],[discount amount]]&gt;0,"Yes","No")</f>
        <v>No</v>
      </c>
      <c r="L1064" s="1" t="str">
        <f>IF(northwind_order_details[[#This Row],[Revenue]]&gt;1000,"High",IF(northwind_order_details[[#This Row],[Revenue]]&gt;300,"Medium","Low"))</f>
        <v>Low</v>
      </c>
      <c r="M10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5" spans="1:13" x14ac:dyDescent="0.25">
      <c r="A1065">
        <v>10665</v>
      </c>
      <c r="B1065">
        <v>76</v>
      </c>
      <c r="C1065" s="6" t="s">
        <v>24</v>
      </c>
      <c r="D1065">
        <v>10</v>
      </c>
      <c r="E1065" s="6" t="s">
        <v>6</v>
      </c>
      <c r="F1065" t="str">
        <f>_xlfn.XLOOKUP(northwind_order_details[[#This Row],[order_id]],northwind_orders[order_id],northwind_orders[ship_country])</f>
        <v>USA</v>
      </c>
      <c r="G1065">
        <f>INDEX(northwind_orders[],MATCH(northwind_order_details[[#This Row],[order_id]], northwind_orders[order_id], 0), MATCH("employee_id", northwind_orders[#Headers], 0))</f>
        <v>1</v>
      </c>
      <c r="H1065">
        <f>northwind_order_details[[#This Row],[unit_price]]*northwind_order_details[[#This Row],[quantity]]</f>
        <v>180</v>
      </c>
      <c r="I1065" s="1">
        <f>northwind_order_details[[#This Row],[purchase amount]]*northwind_order_details[[#This Row],[discount]]</f>
        <v>0</v>
      </c>
      <c r="J1065" s="1">
        <f>northwind_order_details[[#This Row],[purchase amount]]-northwind_order_details[[#This Row],[discount amount]]</f>
        <v>180</v>
      </c>
      <c r="K1065" s="6" t="str">
        <f>IF(northwind_order_details[[#This Row],[discount amount]]&gt;0,"Yes","No")</f>
        <v>No</v>
      </c>
      <c r="L1065" s="1" t="str">
        <f>IF(northwind_order_details[[#This Row],[Revenue]]&gt;1000,"High",IF(northwind_order_details[[#This Row],[Revenue]]&gt;300,"Medium","Low"))</f>
        <v>Low</v>
      </c>
      <c r="M10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6" spans="1:13" x14ac:dyDescent="0.25">
      <c r="A1066">
        <v>10666</v>
      </c>
      <c r="B1066">
        <v>29</v>
      </c>
      <c r="C1066" s="6">
        <v>123.79</v>
      </c>
      <c r="D1066">
        <v>36</v>
      </c>
      <c r="E1066" s="6" t="s">
        <v>6</v>
      </c>
      <c r="F1066" t="str">
        <f>_xlfn.XLOOKUP(northwind_order_details[[#This Row],[order_id]],northwind_orders[order_id],northwind_orders[ship_country])</f>
        <v>Switzerland</v>
      </c>
      <c r="G1066">
        <f>INDEX(northwind_orders[],MATCH(northwind_order_details[[#This Row],[order_id]], northwind_orders[order_id], 0), MATCH("employee_id", northwind_orders[#Headers], 0))</f>
        <v>7</v>
      </c>
      <c r="H1066">
        <f>northwind_order_details[[#This Row],[unit_price]]*northwind_order_details[[#This Row],[quantity]]</f>
        <v>4456.4400000000005</v>
      </c>
      <c r="I1066" s="1">
        <f>northwind_order_details[[#This Row],[purchase amount]]*northwind_order_details[[#This Row],[discount]]</f>
        <v>0</v>
      </c>
      <c r="J1066" s="1">
        <f>northwind_order_details[[#This Row],[purchase amount]]-northwind_order_details[[#This Row],[discount amount]]</f>
        <v>4456.4400000000005</v>
      </c>
      <c r="K1066" s="6" t="str">
        <f>IF(northwind_order_details[[#This Row],[discount amount]]&gt;0,"Yes","No")</f>
        <v>No</v>
      </c>
      <c r="L1066" s="1" t="str">
        <f>IF(northwind_order_details[[#This Row],[Revenue]]&gt;1000,"High",IF(northwind_order_details[[#This Row],[Revenue]]&gt;300,"Medium","Low"))</f>
        <v>High</v>
      </c>
      <c r="M106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67" spans="1:13" x14ac:dyDescent="0.25">
      <c r="A1067">
        <v>10666</v>
      </c>
      <c r="B1067">
        <v>65</v>
      </c>
      <c r="C1067" s="6">
        <v>21.05</v>
      </c>
      <c r="D1067">
        <v>10</v>
      </c>
      <c r="E1067" s="6" t="s">
        <v>6</v>
      </c>
      <c r="F1067" t="str">
        <f>_xlfn.XLOOKUP(northwind_order_details[[#This Row],[order_id]],northwind_orders[order_id],northwind_orders[ship_country])</f>
        <v>Switzerland</v>
      </c>
      <c r="G1067">
        <f>INDEX(northwind_orders[],MATCH(northwind_order_details[[#This Row],[order_id]], northwind_orders[order_id], 0), MATCH("employee_id", northwind_orders[#Headers], 0))</f>
        <v>7</v>
      </c>
      <c r="H1067">
        <f>northwind_order_details[[#This Row],[unit_price]]*northwind_order_details[[#This Row],[quantity]]</f>
        <v>210.5</v>
      </c>
      <c r="I1067" s="1">
        <f>northwind_order_details[[#This Row],[purchase amount]]*northwind_order_details[[#This Row],[discount]]</f>
        <v>0</v>
      </c>
      <c r="J1067" s="1">
        <f>northwind_order_details[[#This Row],[purchase amount]]-northwind_order_details[[#This Row],[discount amount]]</f>
        <v>210.5</v>
      </c>
      <c r="K1067" s="6" t="str">
        <f>IF(northwind_order_details[[#This Row],[discount amount]]&gt;0,"Yes","No")</f>
        <v>No</v>
      </c>
      <c r="L1067" s="1" t="str">
        <f>IF(northwind_order_details[[#This Row],[Revenue]]&gt;1000,"High",IF(northwind_order_details[[#This Row],[Revenue]]&gt;300,"Medium","Low"))</f>
        <v>Low</v>
      </c>
      <c r="M10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68" spans="1:13" x14ac:dyDescent="0.25">
      <c r="A1068">
        <v>10667</v>
      </c>
      <c r="B1068">
        <v>69</v>
      </c>
      <c r="C1068" s="6" t="s">
        <v>38</v>
      </c>
      <c r="D1068">
        <v>45</v>
      </c>
      <c r="E1068" s="6">
        <v>0.2</v>
      </c>
      <c r="F1068" t="str">
        <f>_xlfn.XLOOKUP(northwind_order_details[[#This Row],[order_id]],northwind_orders[order_id],northwind_orders[ship_country])</f>
        <v>Austria</v>
      </c>
      <c r="G1068">
        <f>INDEX(northwind_orders[],MATCH(northwind_order_details[[#This Row],[order_id]], northwind_orders[order_id], 0), MATCH("employee_id", northwind_orders[#Headers], 0))</f>
        <v>7</v>
      </c>
      <c r="H1068">
        <f>northwind_order_details[[#This Row],[unit_price]]*northwind_order_details[[#This Row],[quantity]]</f>
        <v>1620</v>
      </c>
      <c r="I1068" s="1">
        <f>northwind_order_details[[#This Row],[purchase amount]]*northwind_order_details[[#This Row],[discount]]</f>
        <v>324</v>
      </c>
      <c r="J1068" s="1">
        <f>northwind_order_details[[#This Row],[purchase amount]]-northwind_order_details[[#This Row],[discount amount]]</f>
        <v>1296</v>
      </c>
      <c r="K1068" s="6" t="str">
        <f>IF(northwind_order_details[[#This Row],[discount amount]]&gt;0,"Yes","No")</f>
        <v>Yes</v>
      </c>
      <c r="L1068" s="1" t="str">
        <f>IF(northwind_order_details[[#This Row],[Revenue]]&gt;1000,"High",IF(northwind_order_details[[#This Row],[Revenue]]&gt;300,"Medium","Low"))</f>
        <v>High</v>
      </c>
      <c r="M10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69" spans="1:13" x14ac:dyDescent="0.25">
      <c r="A1069">
        <v>10667</v>
      </c>
      <c r="B1069">
        <v>71</v>
      </c>
      <c r="C1069" s="6">
        <v>21.5</v>
      </c>
      <c r="D1069">
        <v>14</v>
      </c>
      <c r="E1069" s="6">
        <v>0.2</v>
      </c>
      <c r="F1069" t="str">
        <f>_xlfn.XLOOKUP(northwind_order_details[[#This Row],[order_id]],northwind_orders[order_id],northwind_orders[ship_country])</f>
        <v>Austria</v>
      </c>
      <c r="G1069">
        <f>INDEX(northwind_orders[],MATCH(northwind_order_details[[#This Row],[order_id]], northwind_orders[order_id], 0), MATCH("employee_id", northwind_orders[#Headers], 0))</f>
        <v>7</v>
      </c>
      <c r="H1069">
        <f>northwind_order_details[[#This Row],[unit_price]]*northwind_order_details[[#This Row],[quantity]]</f>
        <v>301</v>
      </c>
      <c r="I1069" s="1">
        <f>northwind_order_details[[#This Row],[purchase amount]]*northwind_order_details[[#This Row],[discount]]</f>
        <v>60.2</v>
      </c>
      <c r="J1069" s="1">
        <f>northwind_order_details[[#This Row],[purchase amount]]-northwind_order_details[[#This Row],[discount amount]]</f>
        <v>240.8</v>
      </c>
      <c r="K1069" s="6" t="str">
        <f>IF(northwind_order_details[[#This Row],[discount amount]]&gt;0,"Yes","No")</f>
        <v>Yes</v>
      </c>
      <c r="L1069" s="1" t="str">
        <f>IF(northwind_order_details[[#This Row],[Revenue]]&gt;1000,"High",IF(northwind_order_details[[#This Row],[Revenue]]&gt;300,"Medium","Low"))</f>
        <v>Low</v>
      </c>
      <c r="M10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70" spans="1:13" x14ac:dyDescent="0.25">
      <c r="A1070">
        <v>10668</v>
      </c>
      <c r="B1070">
        <v>31</v>
      </c>
      <c r="C1070" s="6">
        <v>12.5</v>
      </c>
      <c r="D1070">
        <v>8</v>
      </c>
      <c r="E1070" s="6">
        <v>0.1</v>
      </c>
      <c r="F1070" t="str">
        <f>_xlfn.XLOOKUP(northwind_order_details[[#This Row],[order_id]],northwind_orders[order_id],northwind_orders[ship_country])</f>
        <v>Germany</v>
      </c>
      <c r="G1070">
        <f>INDEX(northwind_orders[],MATCH(northwind_order_details[[#This Row],[order_id]], northwind_orders[order_id], 0), MATCH("employee_id", northwind_orders[#Headers], 0))</f>
        <v>1</v>
      </c>
      <c r="H1070">
        <f>northwind_order_details[[#This Row],[unit_price]]*northwind_order_details[[#This Row],[quantity]]</f>
        <v>100</v>
      </c>
      <c r="I1070" s="1">
        <f>northwind_order_details[[#This Row],[purchase amount]]*northwind_order_details[[#This Row],[discount]]</f>
        <v>10</v>
      </c>
      <c r="J1070" s="1">
        <f>northwind_order_details[[#This Row],[purchase amount]]-northwind_order_details[[#This Row],[discount amount]]</f>
        <v>90</v>
      </c>
      <c r="K1070" s="6" t="str">
        <f>IF(northwind_order_details[[#This Row],[discount amount]]&gt;0,"Yes","No")</f>
        <v>Yes</v>
      </c>
      <c r="L1070" s="1" t="str">
        <f>IF(northwind_order_details[[#This Row],[Revenue]]&gt;1000,"High",IF(northwind_order_details[[#This Row],[Revenue]]&gt;300,"Medium","Low"))</f>
        <v>Low</v>
      </c>
      <c r="M10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71" spans="1:13" x14ac:dyDescent="0.25">
      <c r="A1071">
        <v>10668</v>
      </c>
      <c r="B1071">
        <v>55</v>
      </c>
      <c r="C1071" s="6" t="s">
        <v>14</v>
      </c>
      <c r="D1071">
        <v>4</v>
      </c>
      <c r="E1071" s="6">
        <v>0.1</v>
      </c>
      <c r="F1071" t="str">
        <f>_xlfn.XLOOKUP(northwind_order_details[[#This Row],[order_id]],northwind_orders[order_id],northwind_orders[ship_country])</f>
        <v>Germany</v>
      </c>
      <c r="G1071">
        <f>INDEX(northwind_orders[],MATCH(northwind_order_details[[#This Row],[order_id]], northwind_orders[order_id], 0), MATCH("employee_id", northwind_orders[#Headers], 0))</f>
        <v>1</v>
      </c>
      <c r="H1071">
        <f>northwind_order_details[[#This Row],[unit_price]]*northwind_order_details[[#This Row],[quantity]]</f>
        <v>96</v>
      </c>
      <c r="I1071" s="1">
        <f>northwind_order_details[[#This Row],[purchase amount]]*northwind_order_details[[#This Row],[discount]]</f>
        <v>9.6000000000000014</v>
      </c>
      <c r="J1071" s="1">
        <f>northwind_order_details[[#This Row],[purchase amount]]-northwind_order_details[[#This Row],[discount amount]]</f>
        <v>86.4</v>
      </c>
      <c r="K1071" s="6" t="str">
        <f>IF(northwind_order_details[[#This Row],[discount amount]]&gt;0,"Yes","No")</f>
        <v>Yes</v>
      </c>
      <c r="L1071" s="1" t="str">
        <f>IF(northwind_order_details[[#This Row],[Revenue]]&gt;1000,"High",IF(northwind_order_details[[#This Row],[Revenue]]&gt;300,"Medium","Low"))</f>
        <v>Low</v>
      </c>
      <c r="M10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2" spans="1:13" x14ac:dyDescent="0.25">
      <c r="A1072">
        <v>10668</v>
      </c>
      <c r="B1072">
        <v>64</v>
      </c>
      <c r="C1072" s="6">
        <v>33.25</v>
      </c>
      <c r="D1072">
        <v>15</v>
      </c>
      <c r="E1072" s="6">
        <v>0.1</v>
      </c>
      <c r="F1072" t="str">
        <f>_xlfn.XLOOKUP(northwind_order_details[[#This Row],[order_id]],northwind_orders[order_id],northwind_orders[ship_country])</f>
        <v>Germany</v>
      </c>
      <c r="G1072">
        <f>INDEX(northwind_orders[],MATCH(northwind_order_details[[#This Row],[order_id]], northwind_orders[order_id], 0), MATCH("employee_id", northwind_orders[#Headers], 0))</f>
        <v>1</v>
      </c>
      <c r="H1072">
        <f>northwind_order_details[[#This Row],[unit_price]]*northwind_order_details[[#This Row],[quantity]]</f>
        <v>498.75</v>
      </c>
      <c r="I1072" s="1">
        <f>northwind_order_details[[#This Row],[purchase amount]]*northwind_order_details[[#This Row],[discount]]</f>
        <v>49.875</v>
      </c>
      <c r="J1072" s="1">
        <f>northwind_order_details[[#This Row],[purchase amount]]-northwind_order_details[[#This Row],[discount amount]]</f>
        <v>448.875</v>
      </c>
      <c r="K1072" s="6" t="str">
        <f>IF(northwind_order_details[[#This Row],[discount amount]]&gt;0,"Yes","No")</f>
        <v>Yes</v>
      </c>
      <c r="L1072" s="1" t="str">
        <f>IF(northwind_order_details[[#This Row],[Revenue]]&gt;1000,"High",IF(northwind_order_details[[#This Row],[Revenue]]&gt;300,"Medium","Low"))</f>
        <v>Medium</v>
      </c>
      <c r="M107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73" spans="1:13" x14ac:dyDescent="0.25">
      <c r="A1073">
        <v>10669</v>
      </c>
      <c r="B1073">
        <v>36</v>
      </c>
      <c r="C1073" s="6" t="s">
        <v>20</v>
      </c>
      <c r="D1073">
        <v>30</v>
      </c>
      <c r="E1073" s="6" t="s">
        <v>6</v>
      </c>
      <c r="F1073" t="str">
        <f>_xlfn.XLOOKUP(northwind_order_details[[#This Row],[order_id]],northwind_orders[order_id],northwind_orders[ship_country])</f>
        <v>Denmark</v>
      </c>
      <c r="G1073">
        <f>INDEX(northwind_orders[],MATCH(northwind_order_details[[#This Row],[order_id]], northwind_orders[order_id], 0), MATCH("employee_id", northwind_orders[#Headers], 0))</f>
        <v>2</v>
      </c>
      <c r="H1073">
        <f>northwind_order_details[[#This Row],[unit_price]]*northwind_order_details[[#This Row],[quantity]]</f>
        <v>570</v>
      </c>
      <c r="I1073" s="1">
        <f>northwind_order_details[[#This Row],[purchase amount]]*northwind_order_details[[#This Row],[discount]]</f>
        <v>0</v>
      </c>
      <c r="J1073" s="1">
        <f>northwind_order_details[[#This Row],[purchase amount]]-northwind_order_details[[#This Row],[discount amount]]</f>
        <v>570</v>
      </c>
      <c r="K1073" s="6" t="str">
        <f>IF(northwind_order_details[[#This Row],[discount amount]]&gt;0,"Yes","No")</f>
        <v>No</v>
      </c>
      <c r="L1073" s="1" t="str">
        <f>IF(northwind_order_details[[#This Row],[Revenue]]&gt;1000,"High",IF(northwind_order_details[[#This Row],[Revenue]]&gt;300,"Medium","Low"))</f>
        <v>Medium</v>
      </c>
      <c r="M10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4" spans="1:13" x14ac:dyDescent="0.25">
      <c r="A1074">
        <v>10670</v>
      </c>
      <c r="B1074">
        <v>23</v>
      </c>
      <c r="C1074" s="6" t="s">
        <v>40</v>
      </c>
      <c r="D1074">
        <v>32</v>
      </c>
      <c r="E1074" s="6" t="s">
        <v>6</v>
      </c>
      <c r="F1074" t="str">
        <f>_xlfn.XLOOKUP(northwind_order_details[[#This Row],[order_id]],northwind_orders[order_id],northwind_orders[ship_country])</f>
        <v>Germany</v>
      </c>
      <c r="G1074">
        <f>INDEX(northwind_orders[],MATCH(northwind_order_details[[#This Row],[order_id]], northwind_orders[order_id], 0), MATCH("employee_id", northwind_orders[#Headers], 0))</f>
        <v>4</v>
      </c>
      <c r="H1074">
        <f>northwind_order_details[[#This Row],[unit_price]]*northwind_order_details[[#This Row],[quantity]]</f>
        <v>288</v>
      </c>
      <c r="I1074" s="1">
        <f>northwind_order_details[[#This Row],[purchase amount]]*northwind_order_details[[#This Row],[discount]]</f>
        <v>0</v>
      </c>
      <c r="J1074" s="1">
        <f>northwind_order_details[[#This Row],[purchase amount]]-northwind_order_details[[#This Row],[discount amount]]</f>
        <v>288</v>
      </c>
      <c r="K1074" s="6" t="str">
        <f>IF(northwind_order_details[[#This Row],[discount amount]]&gt;0,"Yes","No")</f>
        <v>No</v>
      </c>
      <c r="L1074" s="1" t="str">
        <f>IF(northwind_order_details[[#This Row],[Revenue]]&gt;1000,"High",IF(northwind_order_details[[#This Row],[Revenue]]&gt;300,"Medium","Low"))</f>
        <v>Low</v>
      </c>
      <c r="M10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5" spans="1:13" x14ac:dyDescent="0.25">
      <c r="A1075">
        <v>10670</v>
      </c>
      <c r="B1075">
        <v>46</v>
      </c>
      <c r="C1075" s="6" t="s">
        <v>13</v>
      </c>
      <c r="D1075">
        <v>60</v>
      </c>
      <c r="E1075" s="6" t="s">
        <v>6</v>
      </c>
      <c r="F1075" t="str">
        <f>_xlfn.XLOOKUP(northwind_order_details[[#This Row],[order_id]],northwind_orders[order_id],northwind_orders[ship_country])</f>
        <v>Germany</v>
      </c>
      <c r="G1075">
        <f>INDEX(northwind_orders[],MATCH(northwind_order_details[[#This Row],[order_id]], northwind_orders[order_id], 0), MATCH("employee_id", northwind_orders[#Headers], 0))</f>
        <v>4</v>
      </c>
      <c r="H1075">
        <f>northwind_order_details[[#This Row],[unit_price]]*northwind_order_details[[#This Row],[quantity]]</f>
        <v>720</v>
      </c>
      <c r="I1075" s="1">
        <f>northwind_order_details[[#This Row],[purchase amount]]*northwind_order_details[[#This Row],[discount]]</f>
        <v>0</v>
      </c>
      <c r="J1075" s="1">
        <f>northwind_order_details[[#This Row],[purchase amount]]-northwind_order_details[[#This Row],[discount amount]]</f>
        <v>720</v>
      </c>
      <c r="K1075" s="6" t="str">
        <f>IF(northwind_order_details[[#This Row],[discount amount]]&gt;0,"Yes","No")</f>
        <v>No</v>
      </c>
      <c r="L1075" s="1" t="str">
        <f>IF(northwind_order_details[[#This Row],[Revenue]]&gt;1000,"High",IF(northwind_order_details[[#This Row],[Revenue]]&gt;300,"Medium","Low"))</f>
        <v>Medium</v>
      </c>
      <c r="M10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6" spans="1:13" x14ac:dyDescent="0.25">
      <c r="A1076">
        <v>10670</v>
      </c>
      <c r="B1076">
        <v>67</v>
      </c>
      <c r="C1076" s="6" t="s">
        <v>5</v>
      </c>
      <c r="D1076">
        <v>25</v>
      </c>
      <c r="E1076" s="6" t="s">
        <v>6</v>
      </c>
      <c r="F1076" t="str">
        <f>_xlfn.XLOOKUP(northwind_order_details[[#This Row],[order_id]],northwind_orders[order_id],northwind_orders[ship_country])</f>
        <v>Germany</v>
      </c>
      <c r="G1076">
        <f>INDEX(northwind_orders[],MATCH(northwind_order_details[[#This Row],[order_id]], northwind_orders[order_id], 0), MATCH("employee_id", northwind_orders[#Headers], 0))</f>
        <v>4</v>
      </c>
      <c r="H1076">
        <f>northwind_order_details[[#This Row],[unit_price]]*northwind_order_details[[#This Row],[quantity]]</f>
        <v>350</v>
      </c>
      <c r="I1076" s="1">
        <f>northwind_order_details[[#This Row],[purchase amount]]*northwind_order_details[[#This Row],[discount]]</f>
        <v>0</v>
      </c>
      <c r="J1076" s="1">
        <f>northwind_order_details[[#This Row],[purchase amount]]-northwind_order_details[[#This Row],[discount amount]]</f>
        <v>350</v>
      </c>
      <c r="K1076" s="6" t="str">
        <f>IF(northwind_order_details[[#This Row],[discount amount]]&gt;0,"Yes","No")</f>
        <v>No</v>
      </c>
      <c r="L1076" s="1" t="str">
        <f>IF(northwind_order_details[[#This Row],[Revenue]]&gt;1000,"High",IF(northwind_order_details[[#This Row],[Revenue]]&gt;300,"Medium","Low"))</f>
        <v>Medium</v>
      </c>
      <c r="M10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7" spans="1:13" x14ac:dyDescent="0.25">
      <c r="A1077">
        <v>10670</v>
      </c>
      <c r="B1077">
        <v>73</v>
      </c>
      <c r="C1077" s="6" t="s">
        <v>21</v>
      </c>
      <c r="D1077">
        <v>50</v>
      </c>
      <c r="E1077" s="6" t="s">
        <v>6</v>
      </c>
      <c r="F1077" t="str">
        <f>_xlfn.XLOOKUP(northwind_order_details[[#This Row],[order_id]],northwind_orders[order_id],northwind_orders[ship_country])</f>
        <v>Germany</v>
      </c>
      <c r="G1077">
        <f>INDEX(northwind_orders[],MATCH(northwind_order_details[[#This Row],[order_id]], northwind_orders[order_id], 0), MATCH("employee_id", northwind_orders[#Headers], 0))</f>
        <v>4</v>
      </c>
      <c r="H1077">
        <f>northwind_order_details[[#This Row],[unit_price]]*northwind_order_details[[#This Row],[quantity]]</f>
        <v>750</v>
      </c>
      <c r="I1077" s="1">
        <f>northwind_order_details[[#This Row],[purchase amount]]*northwind_order_details[[#This Row],[discount]]</f>
        <v>0</v>
      </c>
      <c r="J1077" s="1">
        <f>northwind_order_details[[#This Row],[purchase amount]]-northwind_order_details[[#This Row],[discount amount]]</f>
        <v>750</v>
      </c>
      <c r="K1077" s="6" t="str">
        <f>IF(northwind_order_details[[#This Row],[discount amount]]&gt;0,"Yes","No")</f>
        <v>No</v>
      </c>
      <c r="L1077" s="1" t="str">
        <f>IF(northwind_order_details[[#This Row],[Revenue]]&gt;1000,"High",IF(northwind_order_details[[#This Row],[Revenue]]&gt;300,"Medium","Low"))</f>
        <v>Medium</v>
      </c>
      <c r="M10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78" spans="1:13" x14ac:dyDescent="0.25">
      <c r="A1078">
        <v>10670</v>
      </c>
      <c r="B1078">
        <v>75</v>
      </c>
      <c r="C1078" s="6">
        <v>7.75</v>
      </c>
      <c r="D1078">
        <v>25</v>
      </c>
      <c r="E1078" s="6" t="s">
        <v>6</v>
      </c>
      <c r="F1078" t="str">
        <f>_xlfn.XLOOKUP(northwind_order_details[[#This Row],[order_id]],northwind_orders[order_id],northwind_orders[ship_country])</f>
        <v>Germany</v>
      </c>
      <c r="G1078">
        <f>INDEX(northwind_orders[],MATCH(northwind_order_details[[#This Row],[order_id]], northwind_orders[order_id], 0), MATCH("employee_id", northwind_orders[#Headers], 0))</f>
        <v>4</v>
      </c>
      <c r="H1078">
        <f>northwind_order_details[[#This Row],[unit_price]]*northwind_order_details[[#This Row],[quantity]]</f>
        <v>193.75</v>
      </c>
      <c r="I1078" s="1">
        <f>northwind_order_details[[#This Row],[purchase amount]]*northwind_order_details[[#This Row],[discount]]</f>
        <v>0</v>
      </c>
      <c r="J1078" s="1">
        <f>northwind_order_details[[#This Row],[purchase amount]]-northwind_order_details[[#This Row],[discount amount]]</f>
        <v>193.75</v>
      </c>
      <c r="K1078" s="6" t="str">
        <f>IF(northwind_order_details[[#This Row],[discount amount]]&gt;0,"Yes","No")</f>
        <v>No</v>
      </c>
      <c r="L1078" s="1" t="str">
        <f>IF(northwind_order_details[[#This Row],[Revenue]]&gt;1000,"High",IF(northwind_order_details[[#This Row],[Revenue]]&gt;300,"Medium","Low"))</f>
        <v>Low</v>
      </c>
      <c r="M107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79" spans="1:13" x14ac:dyDescent="0.25">
      <c r="A1079">
        <v>10671</v>
      </c>
      <c r="B1079">
        <v>16</v>
      </c>
      <c r="C1079" s="6">
        <v>17.45</v>
      </c>
      <c r="D1079">
        <v>10</v>
      </c>
      <c r="E1079" s="6" t="s">
        <v>6</v>
      </c>
      <c r="F1079" t="str">
        <f>_xlfn.XLOOKUP(northwind_order_details[[#This Row],[order_id]],northwind_orders[order_id],northwind_orders[ship_country])</f>
        <v>France</v>
      </c>
      <c r="G1079">
        <f>INDEX(northwind_orders[],MATCH(northwind_order_details[[#This Row],[order_id]], northwind_orders[order_id], 0), MATCH("employee_id", northwind_orders[#Headers], 0))</f>
        <v>1</v>
      </c>
      <c r="H1079">
        <f>northwind_order_details[[#This Row],[unit_price]]*northwind_order_details[[#This Row],[quantity]]</f>
        <v>174.5</v>
      </c>
      <c r="I1079" s="1">
        <f>northwind_order_details[[#This Row],[purchase amount]]*northwind_order_details[[#This Row],[discount]]</f>
        <v>0</v>
      </c>
      <c r="J1079" s="1">
        <f>northwind_order_details[[#This Row],[purchase amount]]-northwind_order_details[[#This Row],[discount amount]]</f>
        <v>174.5</v>
      </c>
      <c r="K1079" s="6" t="str">
        <f>IF(northwind_order_details[[#This Row],[discount amount]]&gt;0,"Yes","No")</f>
        <v>No</v>
      </c>
      <c r="L1079" s="1" t="str">
        <f>IF(northwind_order_details[[#This Row],[Revenue]]&gt;1000,"High",IF(northwind_order_details[[#This Row],[Revenue]]&gt;300,"Medium","Low"))</f>
        <v>Low</v>
      </c>
      <c r="M10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0" spans="1:13" x14ac:dyDescent="0.25">
      <c r="A1080">
        <v>10671</v>
      </c>
      <c r="B1080">
        <v>62</v>
      </c>
      <c r="C1080" s="6">
        <v>49.3</v>
      </c>
      <c r="D1080">
        <v>10</v>
      </c>
      <c r="E1080" s="6" t="s">
        <v>6</v>
      </c>
      <c r="F1080" t="str">
        <f>_xlfn.XLOOKUP(northwind_order_details[[#This Row],[order_id]],northwind_orders[order_id],northwind_orders[ship_country])</f>
        <v>France</v>
      </c>
      <c r="G1080">
        <f>INDEX(northwind_orders[],MATCH(northwind_order_details[[#This Row],[order_id]], northwind_orders[order_id], 0), MATCH("employee_id", northwind_orders[#Headers], 0))</f>
        <v>1</v>
      </c>
      <c r="H1080">
        <f>northwind_order_details[[#This Row],[unit_price]]*northwind_order_details[[#This Row],[quantity]]</f>
        <v>493</v>
      </c>
      <c r="I1080" s="1">
        <f>northwind_order_details[[#This Row],[purchase amount]]*northwind_order_details[[#This Row],[discount]]</f>
        <v>0</v>
      </c>
      <c r="J1080" s="1">
        <f>northwind_order_details[[#This Row],[purchase amount]]-northwind_order_details[[#This Row],[discount amount]]</f>
        <v>493</v>
      </c>
      <c r="K1080" s="6" t="str">
        <f>IF(northwind_order_details[[#This Row],[discount amount]]&gt;0,"Yes","No")</f>
        <v>No</v>
      </c>
      <c r="L1080" s="1" t="str">
        <f>IF(northwind_order_details[[#This Row],[Revenue]]&gt;1000,"High",IF(northwind_order_details[[#This Row],[Revenue]]&gt;300,"Medium","Low"))</f>
        <v>Medium</v>
      </c>
      <c r="M108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1" spans="1:13" x14ac:dyDescent="0.25">
      <c r="A1081">
        <v>10671</v>
      </c>
      <c r="B1081">
        <v>65</v>
      </c>
      <c r="C1081" s="6">
        <v>21.05</v>
      </c>
      <c r="D1081">
        <v>12</v>
      </c>
      <c r="E1081" s="6" t="s">
        <v>6</v>
      </c>
      <c r="F1081" t="str">
        <f>_xlfn.XLOOKUP(northwind_order_details[[#This Row],[order_id]],northwind_orders[order_id],northwind_orders[ship_country])</f>
        <v>France</v>
      </c>
      <c r="G1081">
        <f>INDEX(northwind_orders[],MATCH(northwind_order_details[[#This Row],[order_id]], northwind_orders[order_id], 0), MATCH("employee_id", northwind_orders[#Headers], 0))</f>
        <v>1</v>
      </c>
      <c r="H1081">
        <f>northwind_order_details[[#This Row],[unit_price]]*northwind_order_details[[#This Row],[quantity]]</f>
        <v>252.60000000000002</v>
      </c>
      <c r="I1081" s="1">
        <f>northwind_order_details[[#This Row],[purchase amount]]*northwind_order_details[[#This Row],[discount]]</f>
        <v>0</v>
      </c>
      <c r="J1081" s="1">
        <f>northwind_order_details[[#This Row],[purchase amount]]-northwind_order_details[[#This Row],[discount amount]]</f>
        <v>252.60000000000002</v>
      </c>
      <c r="K1081" s="6" t="str">
        <f>IF(northwind_order_details[[#This Row],[discount amount]]&gt;0,"Yes","No")</f>
        <v>No</v>
      </c>
      <c r="L1081" s="1" t="str">
        <f>IF(northwind_order_details[[#This Row],[Revenue]]&gt;1000,"High",IF(northwind_order_details[[#This Row],[Revenue]]&gt;300,"Medium","Low"))</f>
        <v>Low</v>
      </c>
      <c r="M108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2" spans="1:13" x14ac:dyDescent="0.25">
      <c r="A1082">
        <v>10672</v>
      </c>
      <c r="B1082">
        <v>38</v>
      </c>
      <c r="C1082" s="6">
        <v>263.5</v>
      </c>
      <c r="D1082">
        <v>15</v>
      </c>
      <c r="E1082" s="6">
        <v>0.1</v>
      </c>
      <c r="F1082" t="str">
        <f>_xlfn.XLOOKUP(northwind_order_details[[#This Row],[order_id]],northwind_orders[order_id],northwind_orders[ship_country])</f>
        <v>Sweden</v>
      </c>
      <c r="G1082">
        <f>INDEX(northwind_orders[],MATCH(northwind_order_details[[#This Row],[order_id]], northwind_orders[order_id], 0), MATCH("employee_id", northwind_orders[#Headers], 0))</f>
        <v>9</v>
      </c>
      <c r="H1082">
        <f>northwind_order_details[[#This Row],[unit_price]]*northwind_order_details[[#This Row],[quantity]]</f>
        <v>3952.5</v>
      </c>
      <c r="I1082" s="1">
        <f>northwind_order_details[[#This Row],[purchase amount]]*northwind_order_details[[#This Row],[discount]]</f>
        <v>395.25</v>
      </c>
      <c r="J1082" s="1">
        <f>northwind_order_details[[#This Row],[purchase amount]]-northwind_order_details[[#This Row],[discount amount]]</f>
        <v>3557.25</v>
      </c>
      <c r="K1082" s="6" t="str">
        <f>IF(northwind_order_details[[#This Row],[discount amount]]&gt;0,"Yes","No")</f>
        <v>Yes</v>
      </c>
      <c r="L1082" s="1" t="str">
        <f>IF(northwind_order_details[[#This Row],[Revenue]]&gt;1000,"High",IF(northwind_order_details[[#This Row],[Revenue]]&gt;300,"Medium","Low"))</f>
        <v>High</v>
      </c>
      <c r="M10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3" spans="1:13" x14ac:dyDescent="0.25">
      <c r="A1083">
        <v>10672</v>
      </c>
      <c r="B1083">
        <v>71</v>
      </c>
      <c r="C1083" s="6">
        <v>21.5</v>
      </c>
      <c r="D1083">
        <v>12</v>
      </c>
      <c r="E1083" s="6" t="s">
        <v>6</v>
      </c>
      <c r="F1083" t="str">
        <f>_xlfn.XLOOKUP(northwind_order_details[[#This Row],[order_id]],northwind_orders[order_id],northwind_orders[ship_country])</f>
        <v>Sweden</v>
      </c>
      <c r="G1083">
        <f>INDEX(northwind_orders[],MATCH(northwind_order_details[[#This Row],[order_id]], northwind_orders[order_id], 0), MATCH("employee_id", northwind_orders[#Headers], 0))</f>
        <v>9</v>
      </c>
      <c r="H1083">
        <f>northwind_order_details[[#This Row],[unit_price]]*northwind_order_details[[#This Row],[quantity]]</f>
        <v>258</v>
      </c>
      <c r="I1083" s="1">
        <f>northwind_order_details[[#This Row],[purchase amount]]*northwind_order_details[[#This Row],[discount]]</f>
        <v>0</v>
      </c>
      <c r="J1083" s="1">
        <f>northwind_order_details[[#This Row],[purchase amount]]-northwind_order_details[[#This Row],[discount amount]]</f>
        <v>258</v>
      </c>
      <c r="K1083" s="6" t="str">
        <f>IF(northwind_order_details[[#This Row],[discount amount]]&gt;0,"Yes","No")</f>
        <v>No</v>
      </c>
      <c r="L1083" s="1" t="str">
        <f>IF(northwind_order_details[[#This Row],[Revenue]]&gt;1000,"High",IF(northwind_order_details[[#This Row],[Revenue]]&gt;300,"Medium","Low"))</f>
        <v>Low</v>
      </c>
      <c r="M10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4" spans="1:13" x14ac:dyDescent="0.25">
      <c r="A1084">
        <v>10673</v>
      </c>
      <c r="B1084">
        <v>16</v>
      </c>
      <c r="C1084" s="6">
        <v>17.45</v>
      </c>
      <c r="D1084">
        <v>3</v>
      </c>
      <c r="E1084" s="6" t="s">
        <v>6</v>
      </c>
      <c r="F1084" t="str">
        <f>_xlfn.XLOOKUP(northwind_order_details[[#This Row],[order_id]],northwind_orders[order_id],northwind_orders[ship_country])</f>
        <v>Finland</v>
      </c>
      <c r="G1084">
        <f>INDEX(northwind_orders[],MATCH(northwind_order_details[[#This Row],[order_id]], northwind_orders[order_id], 0), MATCH("employee_id", northwind_orders[#Headers], 0))</f>
        <v>2</v>
      </c>
      <c r="H1084">
        <f>northwind_order_details[[#This Row],[unit_price]]*northwind_order_details[[#This Row],[quantity]]</f>
        <v>52.349999999999994</v>
      </c>
      <c r="I1084" s="1">
        <f>northwind_order_details[[#This Row],[purchase amount]]*northwind_order_details[[#This Row],[discount]]</f>
        <v>0</v>
      </c>
      <c r="J1084" s="1">
        <f>northwind_order_details[[#This Row],[purchase amount]]-northwind_order_details[[#This Row],[discount amount]]</f>
        <v>52.349999999999994</v>
      </c>
      <c r="K1084" s="6" t="str">
        <f>IF(northwind_order_details[[#This Row],[discount amount]]&gt;0,"Yes","No")</f>
        <v>No</v>
      </c>
      <c r="L1084" s="1" t="str">
        <f>IF(northwind_order_details[[#This Row],[Revenue]]&gt;1000,"High",IF(northwind_order_details[[#This Row],[Revenue]]&gt;300,"Medium","Low"))</f>
        <v>Low</v>
      </c>
      <c r="M10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5" spans="1:13" x14ac:dyDescent="0.25">
      <c r="A1085">
        <v>10673</v>
      </c>
      <c r="B1085">
        <v>42</v>
      </c>
      <c r="C1085" s="6" t="s">
        <v>5</v>
      </c>
      <c r="D1085">
        <v>6</v>
      </c>
      <c r="E1085" s="6" t="s">
        <v>6</v>
      </c>
      <c r="F1085" t="str">
        <f>_xlfn.XLOOKUP(northwind_order_details[[#This Row],[order_id]],northwind_orders[order_id],northwind_orders[ship_country])</f>
        <v>Finland</v>
      </c>
      <c r="G1085">
        <f>INDEX(northwind_orders[],MATCH(northwind_order_details[[#This Row],[order_id]], northwind_orders[order_id], 0), MATCH("employee_id", northwind_orders[#Headers], 0))</f>
        <v>2</v>
      </c>
      <c r="H1085">
        <f>northwind_order_details[[#This Row],[unit_price]]*northwind_order_details[[#This Row],[quantity]]</f>
        <v>84</v>
      </c>
      <c r="I1085" s="1">
        <f>northwind_order_details[[#This Row],[purchase amount]]*northwind_order_details[[#This Row],[discount]]</f>
        <v>0</v>
      </c>
      <c r="J1085" s="1">
        <f>northwind_order_details[[#This Row],[purchase amount]]-northwind_order_details[[#This Row],[discount amount]]</f>
        <v>84</v>
      </c>
      <c r="K1085" s="6" t="str">
        <f>IF(northwind_order_details[[#This Row],[discount amount]]&gt;0,"Yes","No")</f>
        <v>No</v>
      </c>
      <c r="L1085" s="1" t="str">
        <f>IF(northwind_order_details[[#This Row],[Revenue]]&gt;1000,"High",IF(northwind_order_details[[#This Row],[Revenue]]&gt;300,"Medium","Low"))</f>
        <v>Low</v>
      </c>
      <c r="M10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86" spans="1:13" x14ac:dyDescent="0.25">
      <c r="A1086">
        <v>10673</v>
      </c>
      <c r="B1086">
        <v>43</v>
      </c>
      <c r="C1086" s="6" t="s">
        <v>22</v>
      </c>
      <c r="D1086">
        <v>6</v>
      </c>
      <c r="E1086" s="6" t="s">
        <v>6</v>
      </c>
      <c r="F1086" t="str">
        <f>_xlfn.XLOOKUP(northwind_order_details[[#This Row],[order_id]],northwind_orders[order_id],northwind_orders[ship_country])</f>
        <v>Finland</v>
      </c>
      <c r="G1086">
        <f>INDEX(northwind_orders[],MATCH(northwind_order_details[[#This Row],[order_id]], northwind_orders[order_id], 0), MATCH("employee_id", northwind_orders[#Headers], 0))</f>
        <v>2</v>
      </c>
      <c r="H1086">
        <f>northwind_order_details[[#This Row],[unit_price]]*northwind_order_details[[#This Row],[quantity]]</f>
        <v>276</v>
      </c>
      <c r="I1086" s="1">
        <f>northwind_order_details[[#This Row],[purchase amount]]*northwind_order_details[[#This Row],[discount]]</f>
        <v>0</v>
      </c>
      <c r="J1086" s="1">
        <f>northwind_order_details[[#This Row],[purchase amount]]-northwind_order_details[[#This Row],[discount amount]]</f>
        <v>276</v>
      </c>
      <c r="K1086" s="6" t="str">
        <f>IF(northwind_order_details[[#This Row],[discount amount]]&gt;0,"Yes","No")</f>
        <v>No</v>
      </c>
      <c r="L1086" s="1" t="str">
        <f>IF(northwind_order_details[[#This Row],[Revenue]]&gt;1000,"High",IF(northwind_order_details[[#This Row],[Revenue]]&gt;300,"Medium","Low"))</f>
        <v>Low</v>
      </c>
      <c r="M10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87" spans="1:13" x14ac:dyDescent="0.25">
      <c r="A1087">
        <v>10674</v>
      </c>
      <c r="B1087">
        <v>23</v>
      </c>
      <c r="C1087" s="6" t="s">
        <v>40</v>
      </c>
      <c r="D1087">
        <v>5</v>
      </c>
      <c r="E1087" s="6" t="s">
        <v>6</v>
      </c>
      <c r="F1087" t="str">
        <f>_xlfn.XLOOKUP(northwind_order_details[[#This Row],[order_id]],northwind_orders[order_id],northwind_orders[ship_country])</f>
        <v>UK</v>
      </c>
      <c r="G1087">
        <f>INDEX(northwind_orders[],MATCH(northwind_order_details[[#This Row],[order_id]], northwind_orders[order_id], 0), MATCH("employee_id", northwind_orders[#Headers], 0))</f>
        <v>4</v>
      </c>
      <c r="H1087">
        <f>northwind_order_details[[#This Row],[unit_price]]*northwind_order_details[[#This Row],[quantity]]</f>
        <v>45</v>
      </c>
      <c r="I1087" s="1">
        <f>northwind_order_details[[#This Row],[purchase amount]]*northwind_order_details[[#This Row],[discount]]</f>
        <v>0</v>
      </c>
      <c r="J1087" s="1">
        <f>northwind_order_details[[#This Row],[purchase amount]]-northwind_order_details[[#This Row],[discount amount]]</f>
        <v>45</v>
      </c>
      <c r="K1087" s="6" t="str">
        <f>IF(northwind_order_details[[#This Row],[discount amount]]&gt;0,"Yes","No")</f>
        <v>No</v>
      </c>
      <c r="L1087" s="1" t="str">
        <f>IF(northwind_order_details[[#This Row],[Revenue]]&gt;1000,"High",IF(northwind_order_details[[#This Row],[Revenue]]&gt;300,"Medium","Low"))</f>
        <v>Low</v>
      </c>
      <c r="M10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88" spans="1:13" x14ac:dyDescent="0.25">
      <c r="A1088">
        <v>10675</v>
      </c>
      <c r="B1088">
        <v>14</v>
      </c>
      <c r="C1088" s="6">
        <v>23.25</v>
      </c>
      <c r="D1088">
        <v>30</v>
      </c>
      <c r="E1088" s="6" t="s">
        <v>6</v>
      </c>
      <c r="F1088" t="str">
        <f>_xlfn.XLOOKUP(northwind_order_details[[#This Row],[order_id]],northwind_orders[order_id],northwind_orders[ship_country])</f>
        <v>Germany</v>
      </c>
      <c r="G1088">
        <f>INDEX(northwind_orders[],MATCH(northwind_order_details[[#This Row],[order_id]], northwind_orders[order_id], 0), MATCH("employee_id", northwind_orders[#Headers], 0))</f>
        <v>5</v>
      </c>
      <c r="H1088">
        <f>northwind_order_details[[#This Row],[unit_price]]*northwind_order_details[[#This Row],[quantity]]</f>
        <v>697.5</v>
      </c>
      <c r="I1088" s="1">
        <f>northwind_order_details[[#This Row],[purchase amount]]*northwind_order_details[[#This Row],[discount]]</f>
        <v>0</v>
      </c>
      <c r="J1088" s="1">
        <f>northwind_order_details[[#This Row],[purchase amount]]-northwind_order_details[[#This Row],[discount amount]]</f>
        <v>697.5</v>
      </c>
      <c r="K1088" s="6" t="str">
        <f>IF(northwind_order_details[[#This Row],[discount amount]]&gt;0,"Yes","No")</f>
        <v>No</v>
      </c>
      <c r="L1088" s="1" t="str">
        <f>IF(northwind_order_details[[#This Row],[Revenue]]&gt;1000,"High",IF(northwind_order_details[[#This Row],[Revenue]]&gt;300,"Medium","Low"))</f>
        <v>Medium</v>
      </c>
      <c r="M10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89" spans="1:13" x14ac:dyDescent="0.25">
      <c r="A1089">
        <v>10675</v>
      </c>
      <c r="B1089">
        <v>53</v>
      </c>
      <c r="C1089" s="6">
        <v>32.799999999999997</v>
      </c>
      <c r="D1089">
        <v>10</v>
      </c>
      <c r="E1089" s="6" t="s">
        <v>6</v>
      </c>
      <c r="F1089" t="str">
        <f>_xlfn.XLOOKUP(northwind_order_details[[#This Row],[order_id]],northwind_orders[order_id],northwind_orders[ship_country])</f>
        <v>Germany</v>
      </c>
      <c r="G1089">
        <f>INDEX(northwind_orders[],MATCH(northwind_order_details[[#This Row],[order_id]], northwind_orders[order_id], 0), MATCH("employee_id", northwind_orders[#Headers], 0))</f>
        <v>5</v>
      </c>
      <c r="H1089">
        <f>northwind_order_details[[#This Row],[unit_price]]*northwind_order_details[[#This Row],[quantity]]</f>
        <v>328</v>
      </c>
      <c r="I1089" s="1">
        <f>northwind_order_details[[#This Row],[purchase amount]]*northwind_order_details[[#This Row],[discount]]</f>
        <v>0</v>
      </c>
      <c r="J1089" s="1">
        <f>northwind_order_details[[#This Row],[purchase amount]]-northwind_order_details[[#This Row],[discount amount]]</f>
        <v>328</v>
      </c>
      <c r="K1089" s="6" t="str">
        <f>IF(northwind_order_details[[#This Row],[discount amount]]&gt;0,"Yes","No")</f>
        <v>No</v>
      </c>
      <c r="L1089" s="1" t="str">
        <f>IF(northwind_order_details[[#This Row],[Revenue]]&gt;1000,"High",IF(northwind_order_details[[#This Row],[Revenue]]&gt;300,"Medium","Low"))</f>
        <v>Medium</v>
      </c>
      <c r="M10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0" spans="1:13" x14ac:dyDescent="0.25">
      <c r="A1090">
        <v>10675</v>
      </c>
      <c r="B1090">
        <v>58</v>
      </c>
      <c r="C1090" s="6">
        <v>13.25</v>
      </c>
      <c r="D1090">
        <v>30</v>
      </c>
      <c r="E1090" s="6" t="s">
        <v>6</v>
      </c>
      <c r="F1090" t="str">
        <f>_xlfn.XLOOKUP(northwind_order_details[[#This Row],[order_id]],northwind_orders[order_id],northwind_orders[ship_country])</f>
        <v>Germany</v>
      </c>
      <c r="G1090">
        <f>INDEX(northwind_orders[],MATCH(northwind_order_details[[#This Row],[order_id]], northwind_orders[order_id], 0), MATCH("employee_id", northwind_orders[#Headers], 0))</f>
        <v>5</v>
      </c>
      <c r="H1090">
        <f>northwind_order_details[[#This Row],[unit_price]]*northwind_order_details[[#This Row],[quantity]]</f>
        <v>397.5</v>
      </c>
      <c r="I1090" s="1">
        <f>northwind_order_details[[#This Row],[purchase amount]]*northwind_order_details[[#This Row],[discount]]</f>
        <v>0</v>
      </c>
      <c r="J1090" s="1">
        <f>northwind_order_details[[#This Row],[purchase amount]]-northwind_order_details[[#This Row],[discount amount]]</f>
        <v>397.5</v>
      </c>
      <c r="K1090" s="6" t="str">
        <f>IF(northwind_order_details[[#This Row],[discount amount]]&gt;0,"Yes","No")</f>
        <v>No</v>
      </c>
      <c r="L1090" s="1" t="str">
        <f>IF(northwind_order_details[[#This Row],[Revenue]]&gt;1000,"High",IF(northwind_order_details[[#This Row],[Revenue]]&gt;300,"Medium","Low"))</f>
        <v>Medium</v>
      </c>
      <c r="M10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1" spans="1:13" x14ac:dyDescent="0.25">
      <c r="A1091">
        <v>10676</v>
      </c>
      <c r="B1091">
        <v>10</v>
      </c>
      <c r="C1091" s="6" t="s">
        <v>34</v>
      </c>
      <c r="D1091">
        <v>2</v>
      </c>
      <c r="E1091" s="6" t="s">
        <v>6</v>
      </c>
      <c r="F1091" t="str">
        <f>_xlfn.XLOOKUP(northwind_order_details[[#This Row],[order_id]],northwind_orders[order_id],northwind_orders[ship_country])</f>
        <v>Mexico</v>
      </c>
      <c r="G1091">
        <f>INDEX(northwind_orders[],MATCH(northwind_order_details[[#This Row],[order_id]], northwind_orders[order_id], 0), MATCH("employee_id", northwind_orders[#Headers], 0))</f>
        <v>2</v>
      </c>
      <c r="H1091">
        <f>northwind_order_details[[#This Row],[unit_price]]*northwind_order_details[[#This Row],[quantity]]</f>
        <v>62</v>
      </c>
      <c r="I1091" s="1">
        <f>northwind_order_details[[#This Row],[purchase amount]]*northwind_order_details[[#This Row],[discount]]</f>
        <v>0</v>
      </c>
      <c r="J1091" s="1">
        <f>northwind_order_details[[#This Row],[purchase amount]]-northwind_order_details[[#This Row],[discount amount]]</f>
        <v>62</v>
      </c>
      <c r="K1091" s="6" t="str">
        <f>IF(northwind_order_details[[#This Row],[discount amount]]&gt;0,"Yes","No")</f>
        <v>No</v>
      </c>
      <c r="L1091" s="1" t="str">
        <f>IF(northwind_order_details[[#This Row],[Revenue]]&gt;1000,"High",IF(northwind_order_details[[#This Row],[Revenue]]&gt;300,"Medium","Low"))</f>
        <v>Low</v>
      </c>
      <c r="M10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92" spans="1:13" x14ac:dyDescent="0.25">
      <c r="A1092">
        <v>10676</v>
      </c>
      <c r="B1092">
        <v>19</v>
      </c>
      <c r="C1092" s="6">
        <v>9.1999999999999993</v>
      </c>
      <c r="D1092">
        <v>7</v>
      </c>
      <c r="E1092" s="6" t="s">
        <v>6</v>
      </c>
      <c r="F1092" t="str">
        <f>_xlfn.XLOOKUP(northwind_order_details[[#This Row],[order_id]],northwind_orders[order_id],northwind_orders[ship_country])</f>
        <v>Mexico</v>
      </c>
      <c r="G1092">
        <f>INDEX(northwind_orders[],MATCH(northwind_order_details[[#This Row],[order_id]], northwind_orders[order_id], 0), MATCH("employee_id", northwind_orders[#Headers], 0))</f>
        <v>2</v>
      </c>
      <c r="H1092">
        <f>northwind_order_details[[#This Row],[unit_price]]*northwind_order_details[[#This Row],[quantity]]</f>
        <v>64.399999999999991</v>
      </c>
      <c r="I1092" s="1">
        <f>northwind_order_details[[#This Row],[purchase amount]]*northwind_order_details[[#This Row],[discount]]</f>
        <v>0</v>
      </c>
      <c r="J1092" s="1">
        <f>northwind_order_details[[#This Row],[purchase amount]]-northwind_order_details[[#This Row],[discount amount]]</f>
        <v>64.399999999999991</v>
      </c>
      <c r="K1092" s="6" t="str">
        <f>IF(northwind_order_details[[#This Row],[discount amount]]&gt;0,"Yes","No")</f>
        <v>No</v>
      </c>
      <c r="L1092" s="1" t="str">
        <f>IF(northwind_order_details[[#This Row],[Revenue]]&gt;1000,"High",IF(northwind_order_details[[#This Row],[Revenue]]&gt;300,"Medium","Low"))</f>
        <v>Low</v>
      </c>
      <c r="M109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3" spans="1:13" x14ac:dyDescent="0.25">
      <c r="A1093">
        <v>10676</v>
      </c>
      <c r="B1093">
        <v>44</v>
      </c>
      <c r="C1093" s="6">
        <v>19.45</v>
      </c>
      <c r="D1093">
        <v>21</v>
      </c>
      <c r="E1093" s="6" t="s">
        <v>6</v>
      </c>
      <c r="F1093" t="str">
        <f>_xlfn.XLOOKUP(northwind_order_details[[#This Row],[order_id]],northwind_orders[order_id],northwind_orders[ship_country])</f>
        <v>Mexico</v>
      </c>
      <c r="G1093">
        <f>INDEX(northwind_orders[],MATCH(northwind_order_details[[#This Row],[order_id]], northwind_orders[order_id], 0), MATCH("employee_id", northwind_orders[#Headers], 0))</f>
        <v>2</v>
      </c>
      <c r="H1093">
        <f>northwind_order_details[[#This Row],[unit_price]]*northwind_order_details[[#This Row],[quantity]]</f>
        <v>408.45</v>
      </c>
      <c r="I1093" s="1">
        <f>northwind_order_details[[#This Row],[purchase amount]]*northwind_order_details[[#This Row],[discount]]</f>
        <v>0</v>
      </c>
      <c r="J1093" s="1">
        <f>northwind_order_details[[#This Row],[purchase amount]]-northwind_order_details[[#This Row],[discount amount]]</f>
        <v>408.45</v>
      </c>
      <c r="K1093" s="6" t="str">
        <f>IF(northwind_order_details[[#This Row],[discount amount]]&gt;0,"Yes","No")</f>
        <v>No</v>
      </c>
      <c r="L1093" s="1" t="str">
        <f>IF(northwind_order_details[[#This Row],[Revenue]]&gt;1000,"High",IF(northwind_order_details[[#This Row],[Revenue]]&gt;300,"Medium","Low"))</f>
        <v>Medium</v>
      </c>
      <c r="M10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4" spans="1:13" x14ac:dyDescent="0.25">
      <c r="A1094">
        <v>10677</v>
      </c>
      <c r="B1094">
        <v>26</v>
      </c>
      <c r="C1094" s="6">
        <v>31.23</v>
      </c>
      <c r="D1094">
        <v>30</v>
      </c>
      <c r="E1094" s="6">
        <v>0.15</v>
      </c>
      <c r="F1094" t="str">
        <f>_xlfn.XLOOKUP(northwind_order_details[[#This Row],[order_id]],northwind_orders[order_id],northwind_orders[ship_country])</f>
        <v>Mexico</v>
      </c>
      <c r="G1094">
        <f>INDEX(northwind_orders[],MATCH(northwind_order_details[[#This Row],[order_id]], northwind_orders[order_id], 0), MATCH("employee_id", northwind_orders[#Headers], 0))</f>
        <v>1</v>
      </c>
      <c r="H1094">
        <f>northwind_order_details[[#This Row],[unit_price]]*northwind_order_details[[#This Row],[quantity]]</f>
        <v>936.9</v>
      </c>
      <c r="I1094" s="1">
        <f>northwind_order_details[[#This Row],[purchase amount]]*northwind_order_details[[#This Row],[discount]]</f>
        <v>140.535</v>
      </c>
      <c r="J1094" s="1">
        <f>northwind_order_details[[#This Row],[purchase amount]]-northwind_order_details[[#This Row],[discount amount]]</f>
        <v>796.36500000000001</v>
      </c>
      <c r="K1094" s="6" t="str">
        <f>IF(northwind_order_details[[#This Row],[discount amount]]&gt;0,"Yes","No")</f>
        <v>Yes</v>
      </c>
      <c r="L1094" s="1" t="str">
        <f>IF(northwind_order_details[[#This Row],[Revenue]]&gt;1000,"High",IF(northwind_order_details[[#This Row],[Revenue]]&gt;300,"Medium","Low"))</f>
        <v>Medium</v>
      </c>
      <c r="M109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5" spans="1:13" x14ac:dyDescent="0.25">
      <c r="A1095">
        <v>10677</v>
      </c>
      <c r="B1095">
        <v>33</v>
      </c>
      <c r="C1095" s="6">
        <v>2.5</v>
      </c>
      <c r="D1095">
        <v>8</v>
      </c>
      <c r="E1095" s="6">
        <v>0.15</v>
      </c>
      <c r="F1095" t="str">
        <f>_xlfn.XLOOKUP(northwind_order_details[[#This Row],[order_id]],northwind_orders[order_id],northwind_orders[ship_country])</f>
        <v>Mexico</v>
      </c>
      <c r="G1095">
        <f>INDEX(northwind_orders[],MATCH(northwind_order_details[[#This Row],[order_id]], northwind_orders[order_id], 0), MATCH("employee_id", northwind_orders[#Headers], 0))</f>
        <v>1</v>
      </c>
      <c r="H1095">
        <f>northwind_order_details[[#This Row],[unit_price]]*northwind_order_details[[#This Row],[quantity]]</f>
        <v>20</v>
      </c>
      <c r="I1095" s="1">
        <f>northwind_order_details[[#This Row],[purchase amount]]*northwind_order_details[[#This Row],[discount]]</f>
        <v>3</v>
      </c>
      <c r="J1095" s="1">
        <f>northwind_order_details[[#This Row],[purchase amount]]-northwind_order_details[[#This Row],[discount amount]]</f>
        <v>17</v>
      </c>
      <c r="K1095" s="6" t="str">
        <f>IF(northwind_order_details[[#This Row],[discount amount]]&gt;0,"Yes","No")</f>
        <v>Yes</v>
      </c>
      <c r="L1095" s="1" t="str">
        <f>IF(northwind_order_details[[#This Row],[Revenue]]&gt;1000,"High",IF(northwind_order_details[[#This Row],[Revenue]]&gt;300,"Medium","Low"))</f>
        <v>Low</v>
      </c>
      <c r="M10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6" spans="1:13" x14ac:dyDescent="0.25">
      <c r="A1096">
        <v>10678</v>
      </c>
      <c r="B1096">
        <v>12</v>
      </c>
      <c r="C1096" s="6" t="s">
        <v>30</v>
      </c>
      <c r="D1096">
        <v>100</v>
      </c>
      <c r="E1096" s="6" t="s">
        <v>6</v>
      </c>
      <c r="F1096" t="str">
        <f>_xlfn.XLOOKUP(northwind_order_details[[#This Row],[order_id]],northwind_orders[order_id],northwind_orders[ship_country])</f>
        <v>USA</v>
      </c>
      <c r="G1096">
        <f>INDEX(northwind_orders[],MATCH(northwind_order_details[[#This Row],[order_id]], northwind_orders[order_id], 0), MATCH("employee_id", northwind_orders[#Headers], 0))</f>
        <v>7</v>
      </c>
      <c r="H1096">
        <f>northwind_order_details[[#This Row],[unit_price]]*northwind_order_details[[#This Row],[quantity]]</f>
        <v>3800</v>
      </c>
      <c r="I1096" s="1">
        <f>northwind_order_details[[#This Row],[purchase amount]]*northwind_order_details[[#This Row],[discount]]</f>
        <v>0</v>
      </c>
      <c r="J1096" s="1">
        <f>northwind_order_details[[#This Row],[purchase amount]]-northwind_order_details[[#This Row],[discount amount]]</f>
        <v>3800</v>
      </c>
      <c r="K1096" s="6" t="str">
        <f>IF(northwind_order_details[[#This Row],[discount amount]]&gt;0,"Yes","No")</f>
        <v>No</v>
      </c>
      <c r="L1096" s="1" t="str">
        <f>IF(northwind_order_details[[#This Row],[Revenue]]&gt;1000,"High",IF(northwind_order_details[[#This Row],[Revenue]]&gt;300,"Medium","Low"))</f>
        <v>High</v>
      </c>
      <c r="M10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097" spans="1:13" x14ac:dyDescent="0.25">
      <c r="A1097">
        <v>10678</v>
      </c>
      <c r="B1097">
        <v>33</v>
      </c>
      <c r="C1097" s="6">
        <v>2.5</v>
      </c>
      <c r="D1097">
        <v>30</v>
      </c>
      <c r="E1097" s="6" t="s">
        <v>6</v>
      </c>
      <c r="F1097" t="str">
        <f>_xlfn.XLOOKUP(northwind_order_details[[#This Row],[order_id]],northwind_orders[order_id],northwind_orders[ship_country])</f>
        <v>USA</v>
      </c>
      <c r="G1097">
        <f>INDEX(northwind_orders[],MATCH(northwind_order_details[[#This Row],[order_id]], northwind_orders[order_id], 0), MATCH("employee_id", northwind_orders[#Headers], 0))</f>
        <v>7</v>
      </c>
      <c r="H1097">
        <f>northwind_order_details[[#This Row],[unit_price]]*northwind_order_details[[#This Row],[quantity]]</f>
        <v>75</v>
      </c>
      <c r="I1097" s="1">
        <f>northwind_order_details[[#This Row],[purchase amount]]*northwind_order_details[[#This Row],[discount]]</f>
        <v>0</v>
      </c>
      <c r="J1097" s="1">
        <f>northwind_order_details[[#This Row],[purchase amount]]-northwind_order_details[[#This Row],[discount amount]]</f>
        <v>75</v>
      </c>
      <c r="K1097" s="6" t="str">
        <f>IF(northwind_order_details[[#This Row],[discount amount]]&gt;0,"Yes","No")</f>
        <v>No</v>
      </c>
      <c r="L1097" s="1" t="str">
        <f>IF(northwind_order_details[[#This Row],[Revenue]]&gt;1000,"High",IF(northwind_order_details[[#This Row],[Revenue]]&gt;300,"Medium","Low"))</f>
        <v>Low</v>
      </c>
      <c r="M10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8" spans="1:13" x14ac:dyDescent="0.25">
      <c r="A1098">
        <v>10678</v>
      </c>
      <c r="B1098">
        <v>41</v>
      </c>
      <c r="C1098" s="6">
        <v>9.65</v>
      </c>
      <c r="D1098">
        <v>120</v>
      </c>
      <c r="E1098" s="6" t="s">
        <v>6</v>
      </c>
      <c r="F1098" t="str">
        <f>_xlfn.XLOOKUP(northwind_order_details[[#This Row],[order_id]],northwind_orders[order_id],northwind_orders[ship_country])</f>
        <v>USA</v>
      </c>
      <c r="G1098">
        <f>INDEX(northwind_orders[],MATCH(northwind_order_details[[#This Row],[order_id]], northwind_orders[order_id], 0), MATCH("employee_id", northwind_orders[#Headers], 0))</f>
        <v>7</v>
      </c>
      <c r="H1098">
        <f>northwind_order_details[[#This Row],[unit_price]]*northwind_order_details[[#This Row],[quantity]]</f>
        <v>1158</v>
      </c>
      <c r="I1098" s="1">
        <f>northwind_order_details[[#This Row],[purchase amount]]*northwind_order_details[[#This Row],[discount]]</f>
        <v>0</v>
      </c>
      <c r="J1098" s="1">
        <f>northwind_order_details[[#This Row],[purchase amount]]-northwind_order_details[[#This Row],[discount amount]]</f>
        <v>1158</v>
      </c>
      <c r="K1098" s="6" t="str">
        <f>IF(northwind_order_details[[#This Row],[discount amount]]&gt;0,"Yes","No")</f>
        <v>No</v>
      </c>
      <c r="L1098" s="1" t="str">
        <f>IF(northwind_order_details[[#This Row],[Revenue]]&gt;1000,"High",IF(northwind_order_details[[#This Row],[Revenue]]&gt;300,"Medium","Low"))</f>
        <v>High</v>
      </c>
      <c r="M10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099" spans="1:13" x14ac:dyDescent="0.25">
      <c r="A1099">
        <v>10678</v>
      </c>
      <c r="B1099">
        <v>54</v>
      </c>
      <c r="C1099" s="6">
        <v>7.45</v>
      </c>
      <c r="D1099">
        <v>30</v>
      </c>
      <c r="E1099" s="6" t="s">
        <v>6</v>
      </c>
      <c r="F1099" t="str">
        <f>_xlfn.XLOOKUP(northwind_order_details[[#This Row],[order_id]],northwind_orders[order_id],northwind_orders[ship_country])</f>
        <v>USA</v>
      </c>
      <c r="G1099">
        <f>INDEX(northwind_orders[],MATCH(northwind_order_details[[#This Row],[order_id]], northwind_orders[order_id], 0), MATCH("employee_id", northwind_orders[#Headers], 0))</f>
        <v>7</v>
      </c>
      <c r="H1099">
        <f>northwind_order_details[[#This Row],[unit_price]]*northwind_order_details[[#This Row],[quantity]]</f>
        <v>223.5</v>
      </c>
      <c r="I1099" s="1">
        <f>northwind_order_details[[#This Row],[purchase amount]]*northwind_order_details[[#This Row],[discount]]</f>
        <v>0</v>
      </c>
      <c r="J1099" s="1">
        <f>northwind_order_details[[#This Row],[purchase amount]]-northwind_order_details[[#This Row],[discount amount]]</f>
        <v>223.5</v>
      </c>
      <c r="K1099" s="6" t="str">
        <f>IF(northwind_order_details[[#This Row],[discount amount]]&gt;0,"Yes","No")</f>
        <v>No</v>
      </c>
      <c r="L1099" s="1" t="str">
        <f>IF(northwind_order_details[[#This Row],[Revenue]]&gt;1000,"High",IF(northwind_order_details[[#This Row],[Revenue]]&gt;300,"Medium","Low"))</f>
        <v>Low</v>
      </c>
      <c r="M109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00" spans="1:13" x14ac:dyDescent="0.25">
      <c r="A1100">
        <v>10679</v>
      </c>
      <c r="B1100">
        <v>59</v>
      </c>
      <c r="C1100" s="6" t="s">
        <v>33</v>
      </c>
      <c r="D1100">
        <v>12</v>
      </c>
      <c r="E1100" s="6" t="s">
        <v>6</v>
      </c>
      <c r="F1100" t="str">
        <f>_xlfn.XLOOKUP(northwind_order_details[[#This Row],[order_id]],northwind_orders[order_id],northwind_orders[ship_country])</f>
        <v>France</v>
      </c>
      <c r="G1100">
        <f>INDEX(northwind_orders[],MATCH(northwind_order_details[[#This Row],[order_id]], northwind_orders[order_id], 0), MATCH("employee_id", northwind_orders[#Headers], 0))</f>
        <v>8</v>
      </c>
      <c r="H1100">
        <f>northwind_order_details[[#This Row],[unit_price]]*northwind_order_details[[#This Row],[quantity]]</f>
        <v>660</v>
      </c>
      <c r="I1100" s="1">
        <f>northwind_order_details[[#This Row],[purchase amount]]*northwind_order_details[[#This Row],[discount]]</f>
        <v>0</v>
      </c>
      <c r="J1100" s="1">
        <f>northwind_order_details[[#This Row],[purchase amount]]-northwind_order_details[[#This Row],[discount amount]]</f>
        <v>660</v>
      </c>
      <c r="K1100" s="6" t="str">
        <f>IF(northwind_order_details[[#This Row],[discount amount]]&gt;0,"Yes","No")</f>
        <v>No</v>
      </c>
      <c r="L1100" s="1" t="str">
        <f>IF(northwind_order_details[[#This Row],[Revenue]]&gt;1000,"High",IF(northwind_order_details[[#This Row],[Revenue]]&gt;300,"Medium","Low"))</f>
        <v>Medium</v>
      </c>
      <c r="M11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01" spans="1:13" x14ac:dyDescent="0.25">
      <c r="A1101">
        <v>10680</v>
      </c>
      <c r="B1101">
        <v>16</v>
      </c>
      <c r="C1101" s="6">
        <v>17.45</v>
      </c>
      <c r="D1101">
        <v>50</v>
      </c>
      <c r="E1101" s="6">
        <v>0.25</v>
      </c>
      <c r="F1101" t="str">
        <f>_xlfn.XLOOKUP(northwind_order_details[[#This Row],[order_id]],northwind_orders[order_id],northwind_orders[ship_country])</f>
        <v>USA</v>
      </c>
      <c r="G1101">
        <f>INDEX(northwind_orders[],MATCH(northwind_order_details[[#This Row],[order_id]], northwind_orders[order_id], 0), MATCH("employee_id", northwind_orders[#Headers], 0))</f>
        <v>1</v>
      </c>
      <c r="H1101">
        <f>northwind_order_details[[#This Row],[unit_price]]*northwind_order_details[[#This Row],[quantity]]</f>
        <v>872.5</v>
      </c>
      <c r="I1101" s="1">
        <f>northwind_order_details[[#This Row],[purchase amount]]*northwind_order_details[[#This Row],[discount]]</f>
        <v>218.125</v>
      </c>
      <c r="J1101" s="1">
        <f>northwind_order_details[[#This Row],[purchase amount]]-northwind_order_details[[#This Row],[discount amount]]</f>
        <v>654.375</v>
      </c>
      <c r="K1101" s="6" t="str">
        <f>IF(northwind_order_details[[#This Row],[discount amount]]&gt;0,"Yes","No")</f>
        <v>Yes</v>
      </c>
      <c r="L1101" s="1" t="str">
        <f>IF(northwind_order_details[[#This Row],[Revenue]]&gt;1000,"High",IF(northwind_order_details[[#This Row],[Revenue]]&gt;300,"Medium","Low"))</f>
        <v>Medium</v>
      </c>
      <c r="M110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02" spans="1:13" x14ac:dyDescent="0.25">
      <c r="A1102">
        <v>10680</v>
      </c>
      <c r="B1102">
        <v>31</v>
      </c>
      <c r="C1102" s="6">
        <v>12.5</v>
      </c>
      <c r="D1102">
        <v>20</v>
      </c>
      <c r="E1102" s="6">
        <v>0.25</v>
      </c>
      <c r="F1102" t="str">
        <f>_xlfn.XLOOKUP(northwind_order_details[[#This Row],[order_id]],northwind_orders[order_id],northwind_orders[ship_country])</f>
        <v>USA</v>
      </c>
      <c r="G1102">
        <f>INDEX(northwind_orders[],MATCH(northwind_order_details[[#This Row],[order_id]], northwind_orders[order_id], 0), MATCH("employee_id", northwind_orders[#Headers], 0))</f>
        <v>1</v>
      </c>
      <c r="H1102">
        <f>northwind_order_details[[#This Row],[unit_price]]*northwind_order_details[[#This Row],[quantity]]</f>
        <v>250</v>
      </c>
      <c r="I1102" s="1">
        <f>northwind_order_details[[#This Row],[purchase amount]]*northwind_order_details[[#This Row],[discount]]</f>
        <v>62.5</v>
      </c>
      <c r="J1102" s="1">
        <f>northwind_order_details[[#This Row],[purchase amount]]-northwind_order_details[[#This Row],[discount amount]]</f>
        <v>187.5</v>
      </c>
      <c r="K1102" s="6" t="str">
        <f>IF(northwind_order_details[[#This Row],[discount amount]]&gt;0,"Yes","No")</f>
        <v>Yes</v>
      </c>
      <c r="L1102" s="1" t="str">
        <f>IF(northwind_order_details[[#This Row],[Revenue]]&gt;1000,"High",IF(northwind_order_details[[#This Row],[Revenue]]&gt;300,"Medium","Low"))</f>
        <v>Low</v>
      </c>
      <c r="M11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03" spans="1:13" x14ac:dyDescent="0.25">
      <c r="A1103">
        <v>10680</v>
      </c>
      <c r="B1103">
        <v>42</v>
      </c>
      <c r="C1103" s="6" t="s">
        <v>5</v>
      </c>
      <c r="D1103">
        <v>40</v>
      </c>
      <c r="E1103" s="6">
        <v>0.25</v>
      </c>
      <c r="F1103" t="str">
        <f>_xlfn.XLOOKUP(northwind_order_details[[#This Row],[order_id]],northwind_orders[order_id],northwind_orders[ship_country])</f>
        <v>USA</v>
      </c>
      <c r="G1103">
        <f>INDEX(northwind_orders[],MATCH(northwind_order_details[[#This Row],[order_id]], northwind_orders[order_id], 0), MATCH("employee_id", northwind_orders[#Headers], 0))</f>
        <v>1</v>
      </c>
      <c r="H1103">
        <f>northwind_order_details[[#This Row],[unit_price]]*northwind_order_details[[#This Row],[quantity]]</f>
        <v>560</v>
      </c>
      <c r="I1103" s="1">
        <f>northwind_order_details[[#This Row],[purchase amount]]*northwind_order_details[[#This Row],[discount]]</f>
        <v>140</v>
      </c>
      <c r="J1103" s="1">
        <f>northwind_order_details[[#This Row],[purchase amount]]-northwind_order_details[[#This Row],[discount amount]]</f>
        <v>420</v>
      </c>
      <c r="K1103" s="6" t="str">
        <f>IF(northwind_order_details[[#This Row],[discount amount]]&gt;0,"Yes","No")</f>
        <v>Yes</v>
      </c>
      <c r="L1103" s="1" t="str">
        <f>IF(northwind_order_details[[#This Row],[Revenue]]&gt;1000,"High",IF(northwind_order_details[[#This Row],[Revenue]]&gt;300,"Medium","Low"))</f>
        <v>Medium</v>
      </c>
      <c r="M11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04" spans="1:13" x14ac:dyDescent="0.25">
      <c r="A1104">
        <v>10681</v>
      </c>
      <c r="B1104">
        <v>19</v>
      </c>
      <c r="C1104" s="6">
        <v>9.1999999999999993</v>
      </c>
      <c r="D1104">
        <v>30</v>
      </c>
      <c r="E1104" s="6">
        <v>0.1</v>
      </c>
      <c r="F1104" t="str">
        <f>_xlfn.XLOOKUP(northwind_order_details[[#This Row],[order_id]],northwind_orders[order_id],northwind_orders[ship_country])</f>
        <v>USA</v>
      </c>
      <c r="G1104">
        <f>INDEX(northwind_orders[],MATCH(northwind_order_details[[#This Row],[order_id]], northwind_orders[order_id], 0), MATCH("employee_id", northwind_orders[#Headers], 0))</f>
        <v>3</v>
      </c>
      <c r="H1104">
        <f>northwind_order_details[[#This Row],[unit_price]]*northwind_order_details[[#This Row],[quantity]]</f>
        <v>276</v>
      </c>
      <c r="I1104" s="1">
        <f>northwind_order_details[[#This Row],[purchase amount]]*northwind_order_details[[#This Row],[discount]]</f>
        <v>27.6</v>
      </c>
      <c r="J1104" s="1">
        <f>northwind_order_details[[#This Row],[purchase amount]]-northwind_order_details[[#This Row],[discount amount]]</f>
        <v>248.4</v>
      </c>
      <c r="K1104" s="6" t="str">
        <f>IF(northwind_order_details[[#This Row],[discount amount]]&gt;0,"Yes","No")</f>
        <v>Yes</v>
      </c>
      <c r="L1104" s="1" t="str">
        <f>IF(northwind_order_details[[#This Row],[Revenue]]&gt;1000,"High",IF(northwind_order_details[[#This Row],[Revenue]]&gt;300,"Medium","Low"))</f>
        <v>Low</v>
      </c>
      <c r="M11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05" spans="1:13" x14ac:dyDescent="0.25">
      <c r="A1105">
        <v>10681</v>
      </c>
      <c r="B1105">
        <v>21</v>
      </c>
      <c r="C1105" s="6" t="s">
        <v>8</v>
      </c>
      <c r="D1105">
        <v>12</v>
      </c>
      <c r="E1105" s="6">
        <v>0.1</v>
      </c>
      <c r="F1105" t="str">
        <f>_xlfn.XLOOKUP(northwind_order_details[[#This Row],[order_id]],northwind_orders[order_id],northwind_orders[ship_country])</f>
        <v>USA</v>
      </c>
      <c r="G1105">
        <f>INDEX(northwind_orders[],MATCH(northwind_order_details[[#This Row],[order_id]], northwind_orders[order_id], 0), MATCH("employee_id", northwind_orders[#Headers], 0))</f>
        <v>3</v>
      </c>
      <c r="H1105">
        <f>northwind_order_details[[#This Row],[unit_price]]*northwind_order_details[[#This Row],[quantity]]</f>
        <v>120</v>
      </c>
      <c r="I1105" s="1">
        <f>northwind_order_details[[#This Row],[purchase amount]]*northwind_order_details[[#This Row],[discount]]</f>
        <v>12</v>
      </c>
      <c r="J1105" s="1">
        <f>northwind_order_details[[#This Row],[purchase amount]]-northwind_order_details[[#This Row],[discount amount]]</f>
        <v>108</v>
      </c>
      <c r="K1105" s="6" t="str">
        <f>IF(northwind_order_details[[#This Row],[discount amount]]&gt;0,"Yes","No")</f>
        <v>Yes</v>
      </c>
      <c r="L1105" s="1" t="str">
        <f>IF(northwind_order_details[[#This Row],[Revenue]]&gt;1000,"High",IF(northwind_order_details[[#This Row],[Revenue]]&gt;300,"Medium","Low"))</f>
        <v>Low</v>
      </c>
      <c r="M11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06" spans="1:13" x14ac:dyDescent="0.25">
      <c r="A1106">
        <v>10681</v>
      </c>
      <c r="B1106">
        <v>64</v>
      </c>
      <c r="C1106" s="6">
        <v>33.25</v>
      </c>
      <c r="D1106">
        <v>28</v>
      </c>
      <c r="E1106" s="6" t="s">
        <v>6</v>
      </c>
      <c r="F1106" t="str">
        <f>_xlfn.XLOOKUP(northwind_order_details[[#This Row],[order_id]],northwind_orders[order_id],northwind_orders[ship_country])</f>
        <v>USA</v>
      </c>
      <c r="G1106">
        <f>INDEX(northwind_orders[],MATCH(northwind_order_details[[#This Row],[order_id]], northwind_orders[order_id], 0), MATCH("employee_id", northwind_orders[#Headers], 0))</f>
        <v>3</v>
      </c>
      <c r="H1106">
        <f>northwind_order_details[[#This Row],[unit_price]]*northwind_order_details[[#This Row],[quantity]]</f>
        <v>931</v>
      </c>
      <c r="I1106" s="1">
        <f>northwind_order_details[[#This Row],[purchase amount]]*northwind_order_details[[#This Row],[discount]]</f>
        <v>0</v>
      </c>
      <c r="J1106" s="1">
        <f>northwind_order_details[[#This Row],[purchase amount]]-northwind_order_details[[#This Row],[discount amount]]</f>
        <v>931</v>
      </c>
      <c r="K1106" s="6" t="str">
        <f>IF(northwind_order_details[[#This Row],[discount amount]]&gt;0,"Yes","No")</f>
        <v>No</v>
      </c>
      <c r="L1106" s="1" t="str">
        <f>IF(northwind_order_details[[#This Row],[Revenue]]&gt;1000,"High",IF(northwind_order_details[[#This Row],[Revenue]]&gt;300,"Medium","Low"))</f>
        <v>Medium</v>
      </c>
      <c r="M110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07" spans="1:13" x14ac:dyDescent="0.25">
      <c r="A1107">
        <v>10682</v>
      </c>
      <c r="B1107">
        <v>33</v>
      </c>
      <c r="C1107" s="6">
        <v>2.5</v>
      </c>
      <c r="D1107">
        <v>30</v>
      </c>
      <c r="E1107" s="6" t="s">
        <v>6</v>
      </c>
      <c r="F1107" t="str">
        <f>_xlfn.XLOOKUP(northwind_order_details[[#This Row],[order_id]],northwind_orders[order_id],northwind_orders[ship_country])</f>
        <v>Mexico</v>
      </c>
      <c r="G1107">
        <f>INDEX(northwind_orders[],MATCH(northwind_order_details[[#This Row],[order_id]], northwind_orders[order_id], 0), MATCH("employee_id", northwind_orders[#Headers], 0))</f>
        <v>3</v>
      </c>
      <c r="H1107">
        <f>northwind_order_details[[#This Row],[unit_price]]*northwind_order_details[[#This Row],[quantity]]</f>
        <v>75</v>
      </c>
      <c r="I1107" s="1">
        <f>northwind_order_details[[#This Row],[purchase amount]]*northwind_order_details[[#This Row],[discount]]</f>
        <v>0</v>
      </c>
      <c r="J1107" s="1">
        <f>northwind_order_details[[#This Row],[purchase amount]]-northwind_order_details[[#This Row],[discount amount]]</f>
        <v>75</v>
      </c>
      <c r="K1107" s="6" t="str">
        <f>IF(northwind_order_details[[#This Row],[discount amount]]&gt;0,"Yes","No")</f>
        <v>No</v>
      </c>
      <c r="L1107" s="1" t="str">
        <f>IF(northwind_order_details[[#This Row],[Revenue]]&gt;1000,"High",IF(northwind_order_details[[#This Row],[Revenue]]&gt;300,"Medium","Low"))</f>
        <v>Low</v>
      </c>
      <c r="M110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08" spans="1:13" x14ac:dyDescent="0.25">
      <c r="A1108">
        <v>10682</v>
      </c>
      <c r="B1108">
        <v>66</v>
      </c>
      <c r="C1108" s="6" t="s">
        <v>12</v>
      </c>
      <c r="D1108">
        <v>4</v>
      </c>
      <c r="E1108" s="6" t="s">
        <v>6</v>
      </c>
      <c r="F1108" t="str">
        <f>_xlfn.XLOOKUP(northwind_order_details[[#This Row],[order_id]],northwind_orders[order_id],northwind_orders[ship_country])</f>
        <v>Mexico</v>
      </c>
      <c r="G1108">
        <f>INDEX(northwind_orders[],MATCH(northwind_order_details[[#This Row],[order_id]], northwind_orders[order_id], 0), MATCH("employee_id", northwind_orders[#Headers], 0))</f>
        <v>3</v>
      </c>
      <c r="H1108">
        <f>northwind_order_details[[#This Row],[unit_price]]*northwind_order_details[[#This Row],[quantity]]</f>
        <v>68</v>
      </c>
      <c r="I1108" s="1">
        <f>northwind_order_details[[#This Row],[purchase amount]]*northwind_order_details[[#This Row],[discount]]</f>
        <v>0</v>
      </c>
      <c r="J1108" s="1">
        <f>northwind_order_details[[#This Row],[purchase amount]]-northwind_order_details[[#This Row],[discount amount]]</f>
        <v>68</v>
      </c>
      <c r="K1108" s="6" t="str">
        <f>IF(northwind_order_details[[#This Row],[discount amount]]&gt;0,"Yes","No")</f>
        <v>No</v>
      </c>
      <c r="L1108" s="1" t="str">
        <f>IF(northwind_order_details[[#This Row],[Revenue]]&gt;1000,"High",IF(northwind_order_details[[#This Row],[Revenue]]&gt;300,"Medium","Low"))</f>
        <v>Low</v>
      </c>
      <c r="M11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09" spans="1:13" x14ac:dyDescent="0.25">
      <c r="A1109">
        <v>10682</v>
      </c>
      <c r="B1109">
        <v>75</v>
      </c>
      <c r="C1109" s="6">
        <v>7.75</v>
      </c>
      <c r="D1109">
        <v>30</v>
      </c>
      <c r="E1109" s="6" t="s">
        <v>6</v>
      </c>
      <c r="F1109" t="str">
        <f>_xlfn.XLOOKUP(northwind_order_details[[#This Row],[order_id]],northwind_orders[order_id],northwind_orders[ship_country])</f>
        <v>Mexico</v>
      </c>
      <c r="G1109">
        <f>INDEX(northwind_orders[],MATCH(northwind_order_details[[#This Row],[order_id]], northwind_orders[order_id], 0), MATCH("employee_id", northwind_orders[#Headers], 0))</f>
        <v>3</v>
      </c>
      <c r="H1109">
        <f>northwind_order_details[[#This Row],[unit_price]]*northwind_order_details[[#This Row],[quantity]]</f>
        <v>232.5</v>
      </c>
      <c r="I1109" s="1">
        <f>northwind_order_details[[#This Row],[purchase amount]]*northwind_order_details[[#This Row],[discount]]</f>
        <v>0</v>
      </c>
      <c r="J1109" s="1">
        <f>northwind_order_details[[#This Row],[purchase amount]]-northwind_order_details[[#This Row],[discount amount]]</f>
        <v>232.5</v>
      </c>
      <c r="K1109" s="6" t="str">
        <f>IF(northwind_order_details[[#This Row],[discount amount]]&gt;0,"Yes","No")</f>
        <v>No</v>
      </c>
      <c r="L1109" s="1" t="str">
        <f>IF(northwind_order_details[[#This Row],[Revenue]]&gt;1000,"High",IF(northwind_order_details[[#This Row],[Revenue]]&gt;300,"Medium","Low"))</f>
        <v>Low</v>
      </c>
      <c r="M110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10" spans="1:13" x14ac:dyDescent="0.25">
      <c r="A1110">
        <v>10683</v>
      </c>
      <c r="B1110">
        <v>52</v>
      </c>
      <c r="C1110" s="6" t="s">
        <v>32</v>
      </c>
      <c r="D1110">
        <v>9</v>
      </c>
      <c r="E1110" s="6" t="s">
        <v>6</v>
      </c>
      <c r="F1110" t="str">
        <f>_xlfn.XLOOKUP(northwind_order_details[[#This Row],[order_id]],northwind_orders[order_id],northwind_orders[ship_country])</f>
        <v>France</v>
      </c>
      <c r="G1110">
        <f>INDEX(northwind_orders[],MATCH(northwind_order_details[[#This Row],[order_id]], northwind_orders[order_id], 0), MATCH("employee_id", northwind_orders[#Headers], 0))</f>
        <v>2</v>
      </c>
      <c r="H1110">
        <f>northwind_order_details[[#This Row],[unit_price]]*northwind_order_details[[#This Row],[quantity]]</f>
        <v>63</v>
      </c>
      <c r="I1110" s="1">
        <f>northwind_order_details[[#This Row],[purchase amount]]*northwind_order_details[[#This Row],[discount]]</f>
        <v>0</v>
      </c>
      <c r="J1110" s="1">
        <f>northwind_order_details[[#This Row],[purchase amount]]-northwind_order_details[[#This Row],[discount amount]]</f>
        <v>63</v>
      </c>
      <c r="K1110" s="6" t="str">
        <f>IF(northwind_order_details[[#This Row],[discount amount]]&gt;0,"Yes","No")</f>
        <v>No</v>
      </c>
      <c r="L1110" s="1" t="str">
        <f>IF(northwind_order_details[[#This Row],[Revenue]]&gt;1000,"High",IF(northwind_order_details[[#This Row],[Revenue]]&gt;300,"Medium","Low"))</f>
        <v>Low</v>
      </c>
      <c r="M11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11" spans="1:13" x14ac:dyDescent="0.25">
      <c r="A1111">
        <v>10684</v>
      </c>
      <c r="B1111">
        <v>40</v>
      </c>
      <c r="C1111" s="6">
        <v>18.399999999999999</v>
      </c>
      <c r="D1111">
        <v>20</v>
      </c>
      <c r="E1111" s="6" t="s">
        <v>6</v>
      </c>
      <c r="F1111" t="str">
        <f>_xlfn.XLOOKUP(northwind_order_details[[#This Row],[order_id]],northwind_orders[order_id],northwind_orders[ship_country])</f>
        <v>Germany</v>
      </c>
      <c r="G1111">
        <f>INDEX(northwind_orders[],MATCH(northwind_order_details[[#This Row],[order_id]], northwind_orders[order_id], 0), MATCH("employee_id", northwind_orders[#Headers], 0))</f>
        <v>3</v>
      </c>
      <c r="H1111">
        <f>northwind_order_details[[#This Row],[unit_price]]*northwind_order_details[[#This Row],[quantity]]</f>
        <v>368</v>
      </c>
      <c r="I1111" s="1">
        <f>northwind_order_details[[#This Row],[purchase amount]]*northwind_order_details[[#This Row],[discount]]</f>
        <v>0</v>
      </c>
      <c r="J1111" s="1">
        <f>northwind_order_details[[#This Row],[purchase amount]]-northwind_order_details[[#This Row],[discount amount]]</f>
        <v>368</v>
      </c>
      <c r="K1111" s="6" t="str">
        <f>IF(northwind_order_details[[#This Row],[discount amount]]&gt;0,"Yes","No")</f>
        <v>No</v>
      </c>
      <c r="L1111" s="1" t="str">
        <f>IF(northwind_order_details[[#This Row],[Revenue]]&gt;1000,"High",IF(northwind_order_details[[#This Row],[Revenue]]&gt;300,"Medium","Low"))</f>
        <v>Medium</v>
      </c>
      <c r="M11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12" spans="1:13" x14ac:dyDescent="0.25">
      <c r="A1112">
        <v>10684</v>
      </c>
      <c r="B1112">
        <v>47</v>
      </c>
      <c r="C1112" s="6">
        <v>9.5</v>
      </c>
      <c r="D1112">
        <v>40</v>
      </c>
      <c r="E1112" s="6" t="s">
        <v>6</v>
      </c>
      <c r="F1112" t="str">
        <f>_xlfn.XLOOKUP(northwind_order_details[[#This Row],[order_id]],northwind_orders[order_id],northwind_orders[ship_country])</f>
        <v>Germany</v>
      </c>
      <c r="G1112">
        <f>INDEX(northwind_orders[],MATCH(northwind_order_details[[#This Row],[order_id]], northwind_orders[order_id], 0), MATCH("employee_id", northwind_orders[#Headers], 0))</f>
        <v>3</v>
      </c>
      <c r="H1112">
        <f>northwind_order_details[[#This Row],[unit_price]]*northwind_order_details[[#This Row],[quantity]]</f>
        <v>380</v>
      </c>
      <c r="I1112" s="1">
        <f>northwind_order_details[[#This Row],[purchase amount]]*northwind_order_details[[#This Row],[discount]]</f>
        <v>0</v>
      </c>
      <c r="J1112" s="1">
        <f>northwind_order_details[[#This Row],[purchase amount]]-northwind_order_details[[#This Row],[discount amount]]</f>
        <v>380</v>
      </c>
      <c r="K1112" s="6" t="str">
        <f>IF(northwind_order_details[[#This Row],[discount amount]]&gt;0,"Yes","No")</f>
        <v>No</v>
      </c>
      <c r="L1112" s="1" t="str">
        <f>IF(northwind_order_details[[#This Row],[Revenue]]&gt;1000,"High",IF(northwind_order_details[[#This Row],[Revenue]]&gt;300,"Medium","Low"))</f>
        <v>Medium</v>
      </c>
      <c r="M111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13" spans="1:13" x14ac:dyDescent="0.25">
      <c r="A1113">
        <v>10684</v>
      </c>
      <c r="B1113">
        <v>60</v>
      </c>
      <c r="C1113" s="6" t="s">
        <v>28</v>
      </c>
      <c r="D1113">
        <v>30</v>
      </c>
      <c r="E1113" s="6" t="s">
        <v>6</v>
      </c>
      <c r="F1113" t="str">
        <f>_xlfn.XLOOKUP(northwind_order_details[[#This Row],[order_id]],northwind_orders[order_id],northwind_orders[ship_country])</f>
        <v>Germany</v>
      </c>
      <c r="G1113">
        <f>INDEX(northwind_orders[],MATCH(northwind_order_details[[#This Row],[order_id]], northwind_orders[order_id], 0), MATCH("employee_id", northwind_orders[#Headers], 0))</f>
        <v>3</v>
      </c>
      <c r="H1113">
        <f>northwind_order_details[[#This Row],[unit_price]]*northwind_order_details[[#This Row],[quantity]]</f>
        <v>1020</v>
      </c>
      <c r="I1113" s="1">
        <f>northwind_order_details[[#This Row],[purchase amount]]*northwind_order_details[[#This Row],[discount]]</f>
        <v>0</v>
      </c>
      <c r="J1113" s="1">
        <f>northwind_order_details[[#This Row],[purchase amount]]-northwind_order_details[[#This Row],[discount amount]]</f>
        <v>1020</v>
      </c>
      <c r="K1113" s="6" t="str">
        <f>IF(northwind_order_details[[#This Row],[discount amount]]&gt;0,"Yes","No")</f>
        <v>No</v>
      </c>
      <c r="L1113" s="1" t="str">
        <f>IF(northwind_order_details[[#This Row],[Revenue]]&gt;1000,"High",IF(northwind_order_details[[#This Row],[Revenue]]&gt;300,"Medium","Low"))</f>
        <v>High</v>
      </c>
      <c r="M11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14" spans="1:13" x14ac:dyDescent="0.25">
      <c r="A1114">
        <v>10685</v>
      </c>
      <c r="B1114">
        <v>10</v>
      </c>
      <c r="C1114" s="6" t="s">
        <v>34</v>
      </c>
      <c r="D1114">
        <v>20</v>
      </c>
      <c r="E1114" s="6" t="s">
        <v>6</v>
      </c>
      <c r="F1114" t="str">
        <f>_xlfn.XLOOKUP(northwind_order_details[[#This Row],[order_id]],northwind_orders[order_id],northwind_orders[ship_country])</f>
        <v>Brazil</v>
      </c>
      <c r="G1114">
        <f>INDEX(northwind_orders[],MATCH(northwind_order_details[[#This Row],[order_id]], northwind_orders[order_id], 0), MATCH("employee_id", northwind_orders[#Headers], 0))</f>
        <v>4</v>
      </c>
      <c r="H1114">
        <f>northwind_order_details[[#This Row],[unit_price]]*northwind_order_details[[#This Row],[quantity]]</f>
        <v>620</v>
      </c>
      <c r="I1114" s="1">
        <f>northwind_order_details[[#This Row],[purchase amount]]*northwind_order_details[[#This Row],[discount]]</f>
        <v>0</v>
      </c>
      <c r="J1114" s="1">
        <f>northwind_order_details[[#This Row],[purchase amount]]-northwind_order_details[[#This Row],[discount amount]]</f>
        <v>620</v>
      </c>
      <c r="K1114" s="6" t="str">
        <f>IF(northwind_order_details[[#This Row],[discount amount]]&gt;0,"Yes","No")</f>
        <v>No</v>
      </c>
      <c r="L1114" s="1" t="str">
        <f>IF(northwind_order_details[[#This Row],[Revenue]]&gt;1000,"High",IF(northwind_order_details[[#This Row],[Revenue]]&gt;300,"Medium","Low"))</f>
        <v>Medium</v>
      </c>
      <c r="M11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15" spans="1:13" x14ac:dyDescent="0.25">
      <c r="A1115">
        <v>10685</v>
      </c>
      <c r="B1115">
        <v>41</v>
      </c>
      <c r="C1115" s="6">
        <v>9.65</v>
      </c>
      <c r="D1115">
        <v>4</v>
      </c>
      <c r="E1115" s="6" t="s">
        <v>6</v>
      </c>
      <c r="F1115" t="str">
        <f>_xlfn.XLOOKUP(northwind_order_details[[#This Row],[order_id]],northwind_orders[order_id],northwind_orders[ship_country])</f>
        <v>Brazil</v>
      </c>
      <c r="G1115">
        <f>INDEX(northwind_orders[],MATCH(northwind_order_details[[#This Row],[order_id]], northwind_orders[order_id], 0), MATCH("employee_id", northwind_orders[#Headers], 0))</f>
        <v>4</v>
      </c>
      <c r="H1115">
        <f>northwind_order_details[[#This Row],[unit_price]]*northwind_order_details[[#This Row],[quantity]]</f>
        <v>38.6</v>
      </c>
      <c r="I1115" s="1">
        <f>northwind_order_details[[#This Row],[purchase amount]]*northwind_order_details[[#This Row],[discount]]</f>
        <v>0</v>
      </c>
      <c r="J1115" s="1">
        <f>northwind_order_details[[#This Row],[purchase amount]]-northwind_order_details[[#This Row],[discount amount]]</f>
        <v>38.6</v>
      </c>
      <c r="K1115" s="6" t="str">
        <f>IF(northwind_order_details[[#This Row],[discount amount]]&gt;0,"Yes","No")</f>
        <v>No</v>
      </c>
      <c r="L1115" s="1" t="str">
        <f>IF(northwind_order_details[[#This Row],[Revenue]]&gt;1000,"High",IF(northwind_order_details[[#This Row],[Revenue]]&gt;300,"Medium","Low"))</f>
        <v>Low</v>
      </c>
      <c r="M111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16" spans="1:13" x14ac:dyDescent="0.25">
      <c r="A1116">
        <v>10685</v>
      </c>
      <c r="B1116">
        <v>47</v>
      </c>
      <c r="C1116" s="6">
        <v>9.5</v>
      </c>
      <c r="D1116">
        <v>15</v>
      </c>
      <c r="E1116" s="6" t="s">
        <v>6</v>
      </c>
      <c r="F1116" t="str">
        <f>_xlfn.XLOOKUP(northwind_order_details[[#This Row],[order_id]],northwind_orders[order_id],northwind_orders[ship_country])</f>
        <v>Brazil</v>
      </c>
      <c r="G1116">
        <f>INDEX(northwind_orders[],MATCH(northwind_order_details[[#This Row],[order_id]], northwind_orders[order_id], 0), MATCH("employee_id", northwind_orders[#Headers], 0))</f>
        <v>4</v>
      </c>
      <c r="H1116">
        <f>northwind_order_details[[#This Row],[unit_price]]*northwind_order_details[[#This Row],[quantity]]</f>
        <v>142.5</v>
      </c>
      <c r="I1116" s="1">
        <f>northwind_order_details[[#This Row],[purchase amount]]*northwind_order_details[[#This Row],[discount]]</f>
        <v>0</v>
      </c>
      <c r="J1116" s="1">
        <f>northwind_order_details[[#This Row],[purchase amount]]-northwind_order_details[[#This Row],[discount amount]]</f>
        <v>142.5</v>
      </c>
      <c r="K1116" s="6" t="str">
        <f>IF(northwind_order_details[[#This Row],[discount amount]]&gt;0,"Yes","No")</f>
        <v>No</v>
      </c>
      <c r="L1116" s="1" t="str">
        <f>IF(northwind_order_details[[#This Row],[Revenue]]&gt;1000,"High",IF(northwind_order_details[[#This Row],[Revenue]]&gt;300,"Medium","Low"))</f>
        <v>Low</v>
      </c>
      <c r="M111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17" spans="1:13" x14ac:dyDescent="0.25">
      <c r="A1117">
        <v>10686</v>
      </c>
      <c r="B1117">
        <v>17</v>
      </c>
      <c r="C1117" s="6" t="s">
        <v>35</v>
      </c>
      <c r="D1117">
        <v>30</v>
      </c>
      <c r="E1117" s="6">
        <v>0.2</v>
      </c>
      <c r="F1117" t="str">
        <f>_xlfn.XLOOKUP(northwind_order_details[[#This Row],[order_id]],northwind_orders[order_id],northwind_orders[ship_country])</f>
        <v>Austria</v>
      </c>
      <c r="G1117">
        <f>INDEX(northwind_orders[],MATCH(northwind_order_details[[#This Row],[order_id]], northwind_orders[order_id], 0), MATCH("employee_id", northwind_orders[#Headers], 0))</f>
        <v>2</v>
      </c>
      <c r="H1117">
        <f>northwind_order_details[[#This Row],[unit_price]]*northwind_order_details[[#This Row],[quantity]]</f>
        <v>1170</v>
      </c>
      <c r="I1117" s="1">
        <f>northwind_order_details[[#This Row],[purchase amount]]*northwind_order_details[[#This Row],[discount]]</f>
        <v>234</v>
      </c>
      <c r="J1117" s="1">
        <f>northwind_order_details[[#This Row],[purchase amount]]-northwind_order_details[[#This Row],[discount amount]]</f>
        <v>936</v>
      </c>
      <c r="K1117" s="6" t="str">
        <f>IF(northwind_order_details[[#This Row],[discount amount]]&gt;0,"Yes","No")</f>
        <v>Yes</v>
      </c>
      <c r="L1117" s="1" t="str">
        <f>IF(northwind_order_details[[#This Row],[Revenue]]&gt;1000,"High",IF(northwind_order_details[[#This Row],[Revenue]]&gt;300,"Medium","Low"))</f>
        <v>Medium</v>
      </c>
      <c r="M11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18" spans="1:13" x14ac:dyDescent="0.25">
      <c r="A1118">
        <v>10686</v>
      </c>
      <c r="B1118">
        <v>26</v>
      </c>
      <c r="C1118" s="6">
        <v>31.23</v>
      </c>
      <c r="D1118">
        <v>15</v>
      </c>
      <c r="E1118" s="6" t="s">
        <v>6</v>
      </c>
      <c r="F1118" t="str">
        <f>_xlfn.XLOOKUP(northwind_order_details[[#This Row],[order_id]],northwind_orders[order_id],northwind_orders[ship_country])</f>
        <v>Austria</v>
      </c>
      <c r="G1118">
        <f>INDEX(northwind_orders[],MATCH(northwind_order_details[[#This Row],[order_id]], northwind_orders[order_id], 0), MATCH("employee_id", northwind_orders[#Headers], 0))</f>
        <v>2</v>
      </c>
      <c r="H1118">
        <f>northwind_order_details[[#This Row],[unit_price]]*northwind_order_details[[#This Row],[quantity]]</f>
        <v>468.45</v>
      </c>
      <c r="I1118" s="1">
        <f>northwind_order_details[[#This Row],[purchase amount]]*northwind_order_details[[#This Row],[discount]]</f>
        <v>0</v>
      </c>
      <c r="J1118" s="1">
        <f>northwind_order_details[[#This Row],[purchase amount]]-northwind_order_details[[#This Row],[discount amount]]</f>
        <v>468.45</v>
      </c>
      <c r="K1118" s="6" t="str">
        <f>IF(northwind_order_details[[#This Row],[discount amount]]&gt;0,"Yes","No")</f>
        <v>No</v>
      </c>
      <c r="L1118" s="1" t="str">
        <f>IF(northwind_order_details[[#This Row],[Revenue]]&gt;1000,"High",IF(northwind_order_details[[#This Row],[Revenue]]&gt;300,"Medium","Low"))</f>
        <v>Medium</v>
      </c>
      <c r="M11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19" spans="1:13" x14ac:dyDescent="0.25">
      <c r="A1119">
        <v>10688</v>
      </c>
      <c r="B1119">
        <v>10</v>
      </c>
      <c r="C1119" s="6" t="s">
        <v>34</v>
      </c>
      <c r="D1119">
        <v>18</v>
      </c>
      <c r="E1119" s="6">
        <v>0.1</v>
      </c>
      <c r="F1119" t="str">
        <f>_xlfn.XLOOKUP(northwind_order_details[[#This Row],[order_id]],northwind_orders[order_id],northwind_orders[ship_country])</f>
        <v>Denmark</v>
      </c>
      <c r="G1119">
        <f>INDEX(northwind_orders[],MATCH(northwind_order_details[[#This Row],[order_id]], northwind_orders[order_id], 0), MATCH("employee_id", northwind_orders[#Headers], 0))</f>
        <v>4</v>
      </c>
      <c r="H1119">
        <f>northwind_order_details[[#This Row],[unit_price]]*northwind_order_details[[#This Row],[quantity]]</f>
        <v>558</v>
      </c>
      <c r="I1119" s="1">
        <f>northwind_order_details[[#This Row],[purchase amount]]*northwind_order_details[[#This Row],[discount]]</f>
        <v>55.800000000000004</v>
      </c>
      <c r="J1119" s="1">
        <f>northwind_order_details[[#This Row],[purchase amount]]-northwind_order_details[[#This Row],[discount amount]]</f>
        <v>502.2</v>
      </c>
      <c r="K1119" s="6" t="str">
        <f>IF(northwind_order_details[[#This Row],[discount amount]]&gt;0,"Yes","No")</f>
        <v>Yes</v>
      </c>
      <c r="L1119" s="1" t="str">
        <f>IF(northwind_order_details[[#This Row],[Revenue]]&gt;1000,"High",IF(northwind_order_details[[#This Row],[Revenue]]&gt;300,"Medium","Low"))</f>
        <v>Medium</v>
      </c>
      <c r="M11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0" spans="1:13" x14ac:dyDescent="0.25">
      <c r="A1120">
        <v>10688</v>
      </c>
      <c r="B1120">
        <v>28</v>
      </c>
      <c r="C1120" s="6">
        <v>45.6</v>
      </c>
      <c r="D1120">
        <v>60</v>
      </c>
      <c r="E1120" s="6">
        <v>0.1</v>
      </c>
      <c r="F1120" t="str">
        <f>_xlfn.XLOOKUP(northwind_order_details[[#This Row],[order_id]],northwind_orders[order_id],northwind_orders[ship_country])</f>
        <v>Denmark</v>
      </c>
      <c r="G1120">
        <f>INDEX(northwind_orders[],MATCH(northwind_order_details[[#This Row],[order_id]], northwind_orders[order_id], 0), MATCH("employee_id", northwind_orders[#Headers], 0))</f>
        <v>4</v>
      </c>
      <c r="H1120">
        <f>northwind_order_details[[#This Row],[unit_price]]*northwind_order_details[[#This Row],[quantity]]</f>
        <v>2736</v>
      </c>
      <c r="I1120" s="1">
        <f>northwind_order_details[[#This Row],[purchase amount]]*northwind_order_details[[#This Row],[discount]]</f>
        <v>273.60000000000002</v>
      </c>
      <c r="J1120" s="1">
        <f>northwind_order_details[[#This Row],[purchase amount]]-northwind_order_details[[#This Row],[discount amount]]</f>
        <v>2462.4</v>
      </c>
      <c r="K1120" s="6" t="str">
        <f>IF(northwind_order_details[[#This Row],[discount amount]]&gt;0,"Yes","No")</f>
        <v>Yes</v>
      </c>
      <c r="L1120" s="1" t="str">
        <f>IF(northwind_order_details[[#This Row],[Revenue]]&gt;1000,"High",IF(northwind_order_details[[#This Row],[Revenue]]&gt;300,"Medium","Low"))</f>
        <v>High</v>
      </c>
      <c r="M11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21" spans="1:13" x14ac:dyDescent="0.25">
      <c r="A1121">
        <v>10688</v>
      </c>
      <c r="B1121">
        <v>34</v>
      </c>
      <c r="C1121" s="6" t="s">
        <v>5</v>
      </c>
      <c r="D1121">
        <v>14</v>
      </c>
      <c r="E1121" s="6" t="s">
        <v>6</v>
      </c>
      <c r="F1121" t="str">
        <f>_xlfn.XLOOKUP(northwind_order_details[[#This Row],[order_id]],northwind_orders[order_id],northwind_orders[ship_country])</f>
        <v>Denmark</v>
      </c>
      <c r="G1121">
        <f>INDEX(northwind_orders[],MATCH(northwind_order_details[[#This Row],[order_id]], northwind_orders[order_id], 0), MATCH("employee_id", northwind_orders[#Headers], 0))</f>
        <v>4</v>
      </c>
      <c r="H1121">
        <f>northwind_order_details[[#This Row],[unit_price]]*northwind_order_details[[#This Row],[quantity]]</f>
        <v>196</v>
      </c>
      <c r="I1121" s="1">
        <f>northwind_order_details[[#This Row],[purchase amount]]*northwind_order_details[[#This Row],[discount]]</f>
        <v>0</v>
      </c>
      <c r="J1121" s="1">
        <f>northwind_order_details[[#This Row],[purchase amount]]-northwind_order_details[[#This Row],[discount amount]]</f>
        <v>196</v>
      </c>
      <c r="K1121" s="6" t="str">
        <f>IF(northwind_order_details[[#This Row],[discount amount]]&gt;0,"Yes","No")</f>
        <v>No</v>
      </c>
      <c r="L1121" s="1" t="str">
        <f>IF(northwind_order_details[[#This Row],[Revenue]]&gt;1000,"High",IF(northwind_order_details[[#This Row],[Revenue]]&gt;300,"Medium","Low"))</f>
        <v>Low</v>
      </c>
      <c r="M11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2" spans="1:13" x14ac:dyDescent="0.25">
      <c r="A1122">
        <v>10689</v>
      </c>
      <c r="B1122">
        <v>1</v>
      </c>
      <c r="C1122" s="6" t="s">
        <v>24</v>
      </c>
      <c r="D1122">
        <v>35</v>
      </c>
      <c r="E1122" s="6">
        <v>0.25</v>
      </c>
      <c r="F1122" t="str">
        <f>_xlfn.XLOOKUP(northwind_order_details[[#This Row],[order_id]],northwind_orders[order_id],northwind_orders[ship_country])</f>
        <v>Sweden</v>
      </c>
      <c r="G1122">
        <f>INDEX(northwind_orders[],MATCH(northwind_order_details[[#This Row],[order_id]], northwind_orders[order_id], 0), MATCH("employee_id", northwind_orders[#Headers], 0))</f>
        <v>1</v>
      </c>
      <c r="H1122">
        <f>northwind_order_details[[#This Row],[unit_price]]*northwind_order_details[[#This Row],[quantity]]</f>
        <v>630</v>
      </c>
      <c r="I1122" s="1">
        <f>northwind_order_details[[#This Row],[purchase amount]]*northwind_order_details[[#This Row],[discount]]</f>
        <v>157.5</v>
      </c>
      <c r="J1122" s="1">
        <f>northwind_order_details[[#This Row],[purchase amount]]-northwind_order_details[[#This Row],[discount amount]]</f>
        <v>472.5</v>
      </c>
      <c r="K1122" s="6" t="str">
        <f>IF(northwind_order_details[[#This Row],[discount amount]]&gt;0,"Yes","No")</f>
        <v>Yes</v>
      </c>
      <c r="L1122" s="1" t="str">
        <f>IF(northwind_order_details[[#This Row],[Revenue]]&gt;1000,"High",IF(northwind_order_details[[#This Row],[Revenue]]&gt;300,"Medium","Low"))</f>
        <v>Medium</v>
      </c>
      <c r="M11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3" spans="1:13" x14ac:dyDescent="0.25">
      <c r="A1123">
        <v>10690</v>
      </c>
      <c r="B1123">
        <v>56</v>
      </c>
      <c r="C1123" s="6" t="s">
        <v>30</v>
      </c>
      <c r="D1123">
        <v>20</v>
      </c>
      <c r="E1123" s="6">
        <v>0.25</v>
      </c>
      <c r="F1123" t="str">
        <f>_xlfn.XLOOKUP(northwind_order_details[[#This Row],[order_id]],northwind_orders[order_id],northwind_orders[ship_country])</f>
        <v>Brazil</v>
      </c>
      <c r="G1123">
        <f>INDEX(northwind_orders[],MATCH(northwind_order_details[[#This Row],[order_id]], northwind_orders[order_id], 0), MATCH("employee_id", northwind_orders[#Headers], 0))</f>
        <v>1</v>
      </c>
      <c r="H1123">
        <f>northwind_order_details[[#This Row],[unit_price]]*northwind_order_details[[#This Row],[quantity]]</f>
        <v>760</v>
      </c>
      <c r="I1123" s="1">
        <f>northwind_order_details[[#This Row],[purchase amount]]*northwind_order_details[[#This Row],[discount]]</f>
        <v>190</v>
      </c>
      <c r="J1123" s="1">
        <f>northwind_order_details[[#This Row],[purchase amount]]-northwind_order_details[[#This Row],[discount amount]]</f>
        <v>570</v>
      </c>
      <c r="K1123" s="6" t="str">
        <f>IF(northwind_order_details[[#This Row],[discount amount]]&gt;0,"Yes","No")</f>
        <v>Yes</v>
      </c>
      <c r="L1123" s="1" t="str">
        <f>IF(northwind_order_details[[#This Row],[Revenue]]&gt;1000,"High",IF(northwind_order_details[[#This Row],[Revenue]]&gt;300,"Medium","Low"))</f>
        <v>Medium</v>
      </c>
      <c r="M11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4" spans="1:13" x14ac:dyDescent="0.25">
      <c r="A1124">
        <v>10690</v>
      </c>
      <c r="B1124">
        <v>77</v>
      </c>
      <c r="C1124" s="6" t="s">
        <v>19</v>
      </c>
      <c r="D1124">
        <v>30</v>
      </c>
      <c r="E1124" s="6">
        <v>0.25</v>
      </c>
      <c r="F1124" t="str">
        <f>_xlfn.XLOOKUP(northwind_order_details[[#This Row],[order_id]],northwind_orders[order_id],northwind_orders[ship_country])</f>
        <v>Brazil</v>
      </c>
      <c r="G1124">
        <f>INDEX(northwind_orders[],MATCH(northwind_order_details[[#This Row],[order_id]], northwind_orders[order_id], 0), MATCH("employee_id", northwind_orders[#Headers], 0))</f>
        <v>1</v>
      </c>
      <c r="H1124">
        <f>northwind_order_details[[#This Row],[unit_price]]*northwind_order_details[[#This Row],[quantity]]</f>
        <v>390</v>
      </c>
      <c r="I1124" s="1">
        <f>northwind_order_details[[#This Row],[purchase amount]]*northwind_order_details[[#This Row],[discount]]</f>
        <v>97.5</v>
      </c>
      <c r="J1124" s="1">
        <f>northwind_order_details[[#This Row],[purchase amount]]-northwind_order_details[[#This Row],[discount amount]]</f>
        <v>292.5</v>
      </c>
      <c r="K1124" s="6" t="str">
        <f>IF(northwind_order_details[[#This Row],[discount amount]]&gt;0,"Yes","No")</f>
        <v>Yes</v>
      </c>
      <c r="L1124" s="1" t="str">
        <f>IF(northwind_order_details[[#This Row],[Revenue]]&gt;1000,"High",IF(northwind_order_details[[#This Row],[Revenue]]&gt;300,"Medium","Low"))</f>
        <v>Low</v>
      </c>
      <c r="M11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5" spans="1:13" x14ac:dyDescent="0.25">
      <c r="A1125">
        <v>10691</v>
      </c>
      <c r="B1125">
        <v>1</v>
      </c>
      <c r="C1125" s="6" t="s">
        <v>24</v>
      </c>
      <c r="D1125">
        <v>30</v>
      </c>
      <c r="E1125" s="6" t="s">
        <v>6</v>
      </c>
      <c r="F1125" t="str">
        <f>_xlfn.XLOOKUP(northwind_order_details[[#This Row],[order_id]],northwind_orders[order_id],northwind_orders[ship_country])</f>
        <v>Germany</v>
      </c>
      <c r="G1125">
        <f>INDEX(northwind_orders[],MATCH(northwind_order_details[[#This Row],[order_id]], northwind_orders[order_id], 0), MATCH("employee_id", northwind_orders[#Headers], 0))</f>
        <v>2</v>
      </c>
      <c r="H1125">
        <f>northwind_order_details[[#This Row],[unit_price]]*northwind_order_details[[#This Row],[quantity]]</f>
        <v>540</v>
      </c>
      <c r="I1125" s="1">
        <f>northwind_order_details[[#This Row],[purchase amount]]*northwind_order_details[[#This Row],[discount]]</f>
        <v>0</v>
      </c>
      <c r="J1125" s="1">
        <f>northwind_order_details[[#This Row],[purchase amount]]-northwind_order_details[[#This Row],[discount amount]]</f>
        <v>540</v>
      </c>
      <c r="K1125" s="6" t="str">
        <f>IF(northwind_order_details[[#This Row],[discount amount]]&gt;0,"Yes","No")</f>
        <v>No</v>
      </c>
      <c r="L1125" s="1" t="str">
        <f>IF(northwind_order_details[[#This Row],[Revenue]]&gt;1000,"High",IF(northwind_order_details[[#This Row],[Revenue]]&gt;300,"Medium","Low"))</f>
        <v>Medium</v>
      </c>
      <c r="M11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6" spans="1:13" x14ac:dyDescent="0.25">
      <c r="A1126">
        <v>10691</v>
      </c>
      <c r="B1126">
        <v>29</v>
      </c>
      <c r="C1126" s="6">
        <v>123.79</v>
      </c>
      <c r="D1126">
        <v>40</v>
      </c>
      <c r="E1126" s="6" t="s">
        <v>6</v>
      </c>
      <c r="F1126" t="str">
        <f>_xlfn.XLOOKUP(northwind_order_details[[#This Row],[order_id]],northwind_orders[order_id],northwind_orders[ship_country])</f>
        <v>Germany</v>
      </c>
      <c r="G1126">
        <f>INDEX(northwind_orders[],MATCH(northwind_order_details[[#This Row],[order_id]], northwind_orders[order_id], 0), MATCH("employee_id", northwind_orders[#Headers], 0))</f>
        <v>2</v>
      </c>
      <c r="H1126">
        <f>northwind_order_details[[#This Row],[unit_price]]*northwind_order_details[[#This Row],[quantity]]</f>
        <v>4951.6000000000004</v>
      </c>
      <c r="I1126" s="1">
        <f>northwind_order_details[[#This Row],[purchase amount]]*northwind_order_details[[#This Row],[discount]]</f>
        <v>0</v>
      </c>
      <c r="J1126" s="1">
        <f>northwind_order_details[[#This Row],[purchase amount]]-northwind_order_details[[#This Row],[discount amount]]</f>
        <v>4951.6000000000004</v>
      </c>
      <c r="K1126" s="6" t="str">
        <f>IF(northwind_order_details[[#This Row],[discount amount]]&gt;0,"Yes","No")</f>
        <v>No</v>
      </c>
      <c r="L1126" s="1" t="str">
        <f>IF(northwind_order_details[[#This Row],[Revenue]]&gt;1000,"High",IF(northwind_order_details[[#This Row],[Revenue]]&gt;300,"Medium","Low"))</f>
        <v>High</v>
      </c>
      <c r="M11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27" spans="1:13" x14ac:dyDescent="0.25">
      <c r="A1127">
        <v>10691</v>
      </c>
      <c r="B1127">
        <v>43</v>
      </c>
      <c r="C1127" s="6" t="s">
        <v>22</v>
      </c>
      <c r="D1127">
        <v>40</v>
      </c>
      <c r="E1127" s="6" t="s">
        <v>6</v>
      </c>
      <c r="F1127" t="str">
        <f>_xlfn.XLOOKUP(northwind_order_details[[#This Row],[order_id]],northwind_orders[order_id],northwind_orders[ship_country])</f>
        <v>Germany</v>
      </c>
      <c r="G1127">
        <f>INDEX(northwind_orders[],MATCH(northwind_order_details[[#This Row],[order_id]], northwind_orders[order_id], 0), MATCH("employee_id", northwind_orders[#Headers], 0))</f>
        <v>2</v>
      </c>
      <c r="H1127">
        <f>northwind_order_details[[#This Row],[unit_price]]*northwind_order_details[[#This Row],[quantity]]</f>
        <v>1840</v>
      </c>
      <c r="I1127" s="1">
        <f>northwind_order_details[[#This Row],[purchase amount]]*northwind_order_details[[#This Row],[discount]]</f>
        <v>0</v>
      </c>
      <c r="J1127" s="1">
        <f>northwind_order_details[[#This Row],[purchase amount]]-northwind_order_details[[#This Row],[discount amount]]</f>
        <v>1840</v>
      </c>
      <c r="K1127" s="6" t="str">
        <f>IF(northwind_order_details[[#This Row],[discount amount]]&gt;0,"Yes","No")</f>
        <v>No</v>
      </c>
      <c r="L1127" s="1" t="str">
        <f>IF(northwind_order_details[[#This Row],[Revenue]]&gt;1000,"High",IF(northwind_order_details[[#This Row],[Revenue]]&gt;300,"Medium","Low"))</f>
        <v>High</v>
      </c>
      <c r="M11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28" spans="1:13" x14ac:dyDescent="0.25">
      <c r="A1128">
        <v>10691</v>
      </c>
      <c r="B1128">
        <v>44</v>
      </c>
      <c r="C1128" s="6">
        <v>19.45</v>
      </c>
      <c r="D1128">
        <v>24</v>
      </c>
      <c r="E1128" s="6" t="s">
        <v>6</v>
      </c>
      <c r="F1128" t="str">
        <f>_xlfn.XLOOKUP(northwind_order_details[[#This Row],[order_id]],northwind_orders[order_id],northwind_orders[ship_country])</f>
        <v>Germany</v>
      </c>
      <c r="G1128">
        <f>INDEX(northwind_orders[],MATCH(northwind_order_details[[#This Row],[order_id]], northwind_orders[order_id], 0), MATCH("employee_id", northwind_orders[#Headers], 0))</f>
        <v>2</v>
      </c>
      <c r="H1128">
        <f>northwind_order_details[[#This Row],[unit_price]]*northwind_order_details[[#This Row],[quantity]]</f>
        <v>466.79999999999995</v>
      </c>
      <c r="I1128" s="1">
        <f>northwind_order_details[[#This Row],[purchase amount]]*northwind_order_details[[#This Row],[discount]]</f>
        <v>0</v>
      </c>
      <c r="J1128" s="1">
        <f>northwind_order_details[[#This Row],[purchase amount]]-northwind_order_details[[#This Row],[discount amount]]</f>
        <v>466.79999999999995</v>
      </c>
      <c r="K1128" s="6" t="str">
        <f>IF(northwind_order_details[[#This Row],[discount amount]]&gt;0,"Yes","No")</f>
        <v>No</v>
      </c>
      <c r="L1128" s="1" t="str">
        <f>IF(northwind_order_details[[#This Row],[Revenue]]&gt;1000,"High",IF(northwind_order_details[[#This Row],[Revenue]]&gt;300,"Medium","Low"))</f>
        <v>Medium</v>
      </c>
      <c r="M112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29" spans="1:13" x14ac:dyDescent="0.25">
      <c r="A1129">
        <v>10691</v>
      </c>
      <c r="B1129">
        <v>62</v>
      </c>
      <c r="C1129" s="6">
        <v>49.3</v>
      </c>
      <c r="D1129">
        <v>48</v>
      </c>
      <c r="E1129" s="6" t="s">
        <v>6</v>
      </c>
      <c r="F1129" t="str">
        <f>_xlfn.XLOOKUP(northwind_order_details[[#This Row],[order_id]],northwind_orders[order_id],northwind_orders[ship_country])</f>
        <v>Germany</v>
      </c>
      <c r="G1129">
        <f>INDEX(northwind_orders[],MATCH(northwind_order_details[[#This Row],[order_id]], northwind_orders[order_id], 0), MATCH("employee_id", northwind_orders[#Headers], 0))</f>
        <v>2</v>
      </c>
      <c r="H1129">
        <f>northwind_order_details[[#This Row],[unit_price]]*northwind_order_details[[#This Row],[quantity]]</f>
        <v>2366.3999999999996</v>
      </c>
      <c r="I1129" s="1">
        <f>northwind_order_details[[#This Row],[purchase amount]]*northwind_order_details[[#This Row],[discount]]</f>
        <v>0</v>
      </c>
      <c r="J1129" s="1">
        <f>northwind_order_details[[#This Row],[purchase amount]]-northwind_order_details[[#This Row],[discount amount]]</f>
        <v>2366.3999999999996</v>
      </c>
      <c r="K1129" s="6" t="str">
        <f>IF(northwind_order_details[[#This Row],[discount amount]]&gt;0,"Yes","No")</f>
        <v>No</v>
      </c>
      <c r="L1129" s="1" t="str">
        <f>IF(northwind_order_details[[#This Row],[Revenue]]&gt;1000,"High",IF(northwind_order_details[[#This Row],[Revenue]]&gt;300,"Medium","Low"))</f>
        <v>High</v>
      </c>
      <c r="M11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30" spans="1:13" x14ac:dyDescent="0.25">
      <c r="A1130">
        <v>10692</v>
      </c>
      <c r="B1130">
        <v>63</v>
      </c>
      <c r="C1130" s="6">
        <v>43.9</v>
      </c>
      <c r="D1130">
        <v>20</v>
      </c>
      <c r="E1130" s="6" t="s">
        <v>6</v>
      </c>
      <c r="F1130" t="str">
        <f>_xlfn.XLOOKUP(northwind_order_details[[#This Row],[order_id]],northwind_orders[order_id],northwind_orders[ship_country])</f>
        <v>Germany</v>
      </c>
      <c r="G1130">
        <f>INDEX(northwind_orders[],MATCH(northwind_order_details[[#This Row],[order_id]], northwind_orders[order_id], 0), MATCH("employee_id", northwind_orders[#Headers], 0))</f>
        <v>4</v>
      </c>
      <c r="H1130">
        <f>northwind_order_details[[#This Row],[unit_price]]*northwind_order_details[[#This Row],[quantity]]</f>
        <v>878</v>
      </c>
      <c r="I1130" s="1">
        <f>northwind_order_details[[#This Row],[purchase amount]]*northwind_order_details[[#This Row],[discount]]</f>
        <v>0</v>
      </c>
      <c r="J1130" s="1">
        <f>northwind_order_details[[#This Row],[purchase amount]]-northwind_order_details[[#This Row],[discount amount]]</f>
        <v>878</v>
      </c>
      <c r="K1130" s="6" t="str">
        <f>IF(northwind_order_details[[#This Row],[discount amount]]&gt;0,"Yes","No")</f>
        <v>No</v>
      </c>
      <c r="L1130" s="1" t="str">
        <f>IF(northwind_order_details[[#This Row],[Revenue]]&gt;1000,"High",IF(northwind_order_details[[#This Row],[Revenue]]&gt;300,"Medium","Low"))</f>
        <v>Medium</v>
      </c>
      <c r="M113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31" spans="1:13" x14ac:dyDescent="0.25">
      <c r="A1131">
        <v>10693</v>
      </c>
      <c r="B1131">
        <v>9</v>
      </c>
      <c r="C1131" s="6" t="s">
        <v>31</v>
      </c>
      <c r="D1131">
        <v>6</v>
      </c>
      <c r="E1131" s="6" t="s">
        <v>6</v>
      </c>
      <c r="F1131" t="str">
        <f>_xlfn.XLOOKUP(northwind_order_details[[#This Row],[order_id]],northwind_orders[order_id],northwind_orders[ship_country])</f>
        <v>USA</v>
      </c>
      <c r="G1131">
        <f>INDEX(northwind_orders[],MATCH(northwind_order_details[[#This Row],[order_id]], northwind_orders[order_id], 0), MATCH("employee_id", northwind_orders[#Headers], 0))</f>
        <v>3</v>
      </c>
      <c r="H1131">
        <f>northwind_order_details[[#This Row],[unit_price]]*northwind_order_details[[#This Row],[quantity]]</f>
        <v>582</v>
      </c>
      <c r="I1131" s="1">
        <f>northwind_order_details[[#This Row],[purchase amount]]*northwind_order_details[[#This Row],[discount]]</f>
        <v>0</v>
      </c>
      <c r="J1131" s="1">
        <f>northwind_order_details[[#This Row],[purchase amount]]-northwind_order_details[[#This Row],[discount amount]]</f>
        <v>582</v>
      </c>
      <c r="K1131" s="6" t="str">
        <f>IF(northwind_order_details[[#This Row],[discount amount]]&gt;0,"Yes","No")</f>
        <v>No</v>
      </c>
      <c r="L1131" s="1" t="str">
        <f>IF(northwind_order_details[[#This Row],[Revenue]]&gt;1000,"High",IF(northwind_order_details[[#This Row],[Revenue]]&gt;300,"Medium","Low"))</f>
        <v>Medium</v>
      </c>
      <c r="M11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2" spans="1:13" x14ac:dyDescent="0.25">
      <c r="A1132">
        <v>10693</v>
      </c>
      <c r="B1132">
        <v>54</v>
      </c>
      <c r="C1132" s="6">
        <v>7.45</v>
      </c>
      <c r="D1132">
        <v>60</v>
      </c>
      <c r="E1132" s="6">
        <v>0.15</v>
      </c>
      <c r="F1132" t="str">
        <f>_xlfn.XLOOKUP(northwind_order_details[[#This Row],[order_id]],northwind_orders[order_id],northwind_orders[ship_country])</f>
        <v>USA</v>
      </c>
      <c r="G1132">
        <f>INDEX(northwind_orders[],MATCH(northwind_order_details[[#This Row],[order_id]], northwind_orders[order_id], 0), MATCH("employee_id", northwind_orders[#Headers], 0))</f>
        <v>3</v>
      </c>
      <c r="H1132">
        <f>northwind_order_details[[#This Row],[unit_price]]*northwind_order_details[[#This Row],[quantity]]</f>
        <v>447</v>
      </c>
      <c r="I1132" s="1">
        <f>northwind_order_details[[#This Row],[purchase amount]]*northwind_order_details[[#This Row],[discount]]</f>
        <v>67.05</v>
      </c>
      <c r="J1132" s="1">
        <f>northwind_order_details[[#This Row],[purchase amount]]-northwind_order_details[[#This Row],[discount amount]]</f>
        <v>379.95</v>
      </c>
      <c r="K1132" s="6" t="str">
        <f>IF(northwind_order_details[[#This Row],[discount amount]]&gt;0,"Yes","No")</f>
        <v>Yes</v>
      </c>
      <c r="L1132" s="1" t="str">
        <f>IF(northwind_order_details[[#This Row],[Revenue]]&gt;1000,"High",IF(northwind_order_details[[#This Row],[Revenue]]&gt;300,"Medium","Low"))</f>
        <v>Medium</v>
      </c>
      <c r="M11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33" spans="1:13" x14ac:dyDescent="0.25">
      <c r="A1133">
        <v>10693</v>
      </c>
      <c r="B1133">
        <v>69</v>
      </c>
      <c r="C1133" s="6" t="s">
        <v>38</v>
      </c>
      <c r="D1133">
        <v>30</v>
      </c>
      <c r="E1133" s="6">
        <v>0.15</v>
      </c>
      <c r="F1133" t="str">
        <f>_xlfn.XLOOKUP(northwind_order_details[[#This Row],[order_id]],northwind_orders[order_id],northwind_orders[ship_country])</f>
        <v>USA</v>
      </c>
      <c r="G1133">
        <f>INDEX(northwind_orders[],MATCH(northwind_order_details[[#This Row],[order_id]], northwind_orders[order_id], 0), MATCH("employee_id", northwind_orders[#Headers], 0))</f>
        <v>3</v>
      </c>
      <c r="H1133">
        <f>northwind_order_details[[#This Row],[unit_price]]*northwind_order_details[[#This Row],[quantity]]</f>
        <v>1080</v>
      </c>
      <c r="I1133" s="1">
        <f>northwind_order_details[[#This Row],[purchase amount]]*northwind_order_details[[#This Row],[discount]]</f>
        <v>162</v>
      </c>
      <c r="J1133" s="1">
        <f>northwind_order_details[[#This Row],[purchase amount]]-northwind_order_details[[#This Row],[discount amount]]</f>
        <v>918</v>
      </c>
      <c r="K1133" s="6" t="str">
        <f>IF(northwind_order_details[[#This Row],[discount amount]]&gt;0,"Yes","No")</f>
        <v>Yes</v>
      </c>
      <c r="L1133" s="1" t="str">
        <f>IF(northwind_order_details[[#This Row],[Revenue]]&gt;1000,"High",IF(northwind_order_details[[#This Row],[Revenue]]&gt;300,"Medium","Low"))</f>
        <v>Medium</v>
      </c>
      <c r="M11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4" spans="1:13" x14ac:dyDescent="0.25">
      <c r="A1134">
        <v>10693</v>
      </c>
      <c r="B1134">
        <v>73</v>
      </c>
      <c r="C1134" s="6" t="s">
        <v>21</v>
      </c>
      <c r="D1134">
        <v>15</v>
      </c>
      <c r="E1134" s="6">
        <v>0.15</v>
      </c>
      <c r="F1134" t="str">
        <f>_xlfn.XLOOKUP(northwind_order_details[[#This Row],[order_id]],northwind_orders[order_id],northwind_orders[ship_country])</f>
        <v>USA</v>
      </c>
      <c r="G1134">
        <f>INDEX(northwind_orders[],MATCH(northwind_order_details[[#This Row],[order_id]], northwind_orders[order_id], 0), MATCH("employee_id", northwind_orders[#Headers], 0))</f>
        <v>3</v>
      </c>
      <c r="H1134">
        <f>northwind_order_details[[#This Row],[unit_price]]*northwind_order_details[[#This Row],[quantity]]</f>
        <v>225</v>
      </c>
      <c r="I1134" s="1">
        <f>northwind_order_details[[#This Row],[purchase amount]]*northwind_order_details[[#This Row],[discount]]</f>
        <v>33.75</v>
      </c>
      <c r="J1134" s="1">
        <f>northwind_order_details[[#This Row],[purchase amount]]-northwind_order_details[[#This Row],[discount amount]]</f>
        <v>191.25</v>
      </c>
      <c r="K1134" s="6" t="str">
        <f>IF(northwind_order_details[[#This Row],[discount amount]]&gt;0,"Yes","No")</f>
        <v>Yes</v>
      </c>
      <c r="L1134" s="1" t="str">
        <f>IF(northwind_order_details[[#This Row],[Revenue]]&gt;1000,"High",IF(northwind_order_details[[#This Row],[Revenue]]&gt;300,"Medium","Low"))</f>
        <v>Low</v>
      </c>
      <c r="M11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5" spans="1:13" x14ac:dyDescent="0.25">
      <c r="A1135">
        <v>10694</v>
      </c>
      <c r="B1135">
        <v>7</v>
      </c>
      <c r="C1135" s="6" t="s">
        <v>26</v>
      </c>
      <c r="D1135">
        <v>90</v>
      </c>
      <c r="E1135" s="6" t="s">
        <v>6</v>
      </c>
      <c r="F1135" t="str">
        <f>_xlfn.XLOOKUP(northwind_order_details[[#This Row],[order_id]],northwind_orders[order_id],northwind_orders[ship_country])</f>
        <v>Germany</v>
      </c>
      <c r="G1135">
        <f>INDEX(northwind_orders[],MATCH(northwind_order_details[[#This Row],[order_id]], northwind_orders[order_id], 0), MATCH("employee_id", northwind_orders[#Headers], 0))</f>
        <v>8</v>
      </c>
      <c r="H1135">
        <f>northwind_order_details[[#This Row],[unit_price]]*northwind_order_details[[#This Row],[quantity]]</f>
        <v>2700</v>
      </c>
      <c r="I1135" s="1">
        <f>northwind_order_details[[#This Row],[purchase amount]]*northwind_order_details[[#This Row],[discount]]</f>
        <v>0</v>
      </c>
      <c r="J1135" s="1">
        <f>northwind_order_details[[#This Row],[purchase amount]]-northwind_order_details[[#This Row],[discount amount]]</f>
        <v>2700</v>
      </c>
      <c r="K1135" s="6" t="str">
        <f>IF(northwind_order_details[[#This Row],[discount amount]]&gt;0,"Yes","No")</f>
        <v>No</v>
      </c>
      <c r="L1135" s="1" t="str">
        <f>IF(northwind_order_details[[#This Row],[Revenue]]&gt;1000,"High",IF(northwind_order_details[[#This Row],[Revenue]]&gt;300,"Medium","Low"))</f>
        <v>High</v>
      </c>
      <c r="M11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6" spans="1:13" x14ac:dyDescent="0.25">
      <c r="A1136">
        <v>10694</v>
      </c>
      <c r="B1136">
        <v>59</v>
      </c>
      <c r="C1136" s="6" t="s">
        <v>33</v>
      </c>
      <c r="D1136">
        <v>25</v>
      </c>
      <c r="E1136" s="6" t="s">
        <v>6</v>
      </c>
      <c r="F1136" t="str">
        <f>_xlfn.XLOOKUP(northwind_order_details[[#This Row],[order_id]],northwind_orders[order_id],northwind_orders[ship_country])</f>
        <v>Germany</v>
      </c>
      <c r="G1136">
        <f>INDEX(northwind_orders[],MATCH(northwind_order_details[[#This Row],[order_id]], northwind_orders[order_id], 0), MATCH("employee_id", northwind_orders[#Headers], 0))</f>
        <v>8</v>
      </c>
      <c r="H1136">
        <f>northwind_order_details[[#This Row],[unit_price]]*northwind_order_details[[#This Row],[quantity]]</f>
        <v>1375</v>
      </c>
      <c r="I1136" s="1">
        <f>northwind_order_details[[#This Row],[purchase amount]]*northwind_order_details[[#This Row],[discount]]</f>
        <v>0</v>
      </c>
      <c r="J1136" s="1">
        <f>northwind_order_details[[#This Row],[purchase amount]]-northwind_order_details[[#This Row],[discount amount]]</f>
        <v>1375</v>
      </c>
      <c r="K1136" s="6" t="str">
        <f>IF(northwind_order_details[[#This Row],[discount amount]]&gt;0,"Yes","No")</f>
        <v>No</v>
      </c>
      <c r="L1136" s="1" t="str">
        <f>IF(northwind_order_details[[#This Row],[Revenue]]&gt;1000,"High",IF(northwind_order_details[[#This Row],[Revenue]]&gt;300,"Medium","Low"))</f>
        <v>High</v>
      </c>
      <c r="M11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7" spans="1:13" x14ac:dyDescent="0.25">
      <c r="A1137">
        <v>10694</v>
      </c>
      <c r="B1137">
        <v>70</v>
      </c>
      <c r="C1137" s="6" t="s">
        <v>21</v>
      </c>
      <c r="D1137">
        <v>50</v>
      </c>
      <c r="E1137" s="6" t="s">
        <v>6</v>
      </c>
      <c r="F1137" t="str">
        <f>_xlfn.XLOOKUP(northwind_order_details[[#This Row],[order_id]],northwind_orders[order_id],northwind_orders[ship_country])</f>
        <v>Germany</v>
      </c>
      <c r="G1137">
        <f>INDEX(northwind_orders[],MATCH(northwind_order_details[[#This Row],[order_id]], northwind_orders[order_id], 0), MATCH("employee_id", northwind_orders[#Headers], 0))</f>
        <v>8</v>
      </c>
      <c r="H1137">
        <f>northwind_order_details[[#This Row],[unit_price]]*northwind_order_details[[#This Row],[quantity]]</f>
        <v>750</v>
      </c>
      <c r="I1137" s="1">
        <f>northwind_order_details[[#This Row],[purchase amount]]*northwind_order_details[[#This Row],[discount]]</f>
        <v>0</v>
      </c>
      <c r="J1137" s="1">
        <f>northwind_order_details[[#This Row],[purchase amount]]-northwind_order_details[[#This Row],[discount amount]]</f>
        <v>750</v>
      </c>
      <c r="K1137" s="6" t="str">
        <f>IF(northwind_order_details[[#This Row],[discount amount]]&gt;0,"Yes","No")</f>
        <v>No</v>
      </c>
      <c r="L1137" s="1" t="str">
        <f>IF(northwind_order_details[[#This Row],[Revenue]]&gt;1000,"High",IF(northwind_order_details[[#This Row],[Revenue]]&gt;300,"Medium","Low"))</f>
        <v>Medium</v>
      </c>
      <c r="M11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8" spans="1:13" x14ac:dyDescent="0.25">
      <c r="A1138">
        <v>10695</v>
      </c>
      <c r="B1138">
        <v>8</v>
      </c>
      <c r="C1138" s="6" t="s">
        <v>27</v>
      </c>
      <c r="D1138">
        <v>10</v>
      </c>
      <c r="E1138" s="6" t="s">
        <v>6</v>
      </c>
      <c r="F1138" t="str">
        <f>_xlfn.XLOOKUP(northwind_order_details[[#This Row],[order_id]],northwind_orders[order_id],northwind_orders[ship_country])</f>
        <v>Finland</v>
      </c>
      <c r="G1138">
        <f>INDEX(northwind_orders[],MATCH(northwind_order_details[[#This Row],[order_id]], northwind_orders[order_id], 0), MATCH("employee_id", northwind_orders[#Headers], 0))</f>
        <v>7</v>
      </c>
      <c r="H1138">
        <f>northwind_order_details[[#This Row],[unit_price]]*northwind_order_details[[#This Row],[quantity]]</f>
        <v>400</v>
      </c>
      <c r="I1138" s="1">
        <f>northwind_order_details[[#This Row],[purchase amount]]*northwind_order_details[[#This Row],[discount]]</f>
        <v>0</v>
      </c>
      <c r="J1138" s="1">
        <f>northwind_order_details[[#This Row],[purchase amount]]-northwind_order_details[[#This Row],[discount amount]]</f>
        <v>400</v>
      </c>
      <c r="K1138" s="6" t="str">
        <f>IF(northwind_order_details[[#This Row],[discount amount]]&gt;0,"Yes","No")</f>
        <v>No</v>
      </c>
      <c r="L1138" s="1" t="str">
        <f>IF(northwind_order_details[[#This Row],[Revenue]]&gt;1000,"High",IF(northwind_order_details[[#This Row],[Revenue]]&gt;300,"Medium","Low"))</f>
        <v>Medium</v>
      </c>
      <c r="M11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39" spans="1:13" x14ac:dyDescent="0.25">
      <c r="A1139">
        <v>10695</v>
      </c>
      <c r="B1139">
        <v>12</v>
      </c>
      <c r="C1139" s="6" t="s">
        <v>30</v>
      </c>
      <c r="D1139">
        <v>4</v>
      </c>
      <c r="E1139" s="6" t="s">
        <v>6</v>
      </c>
      <c r="F1139" t="str">
        <f>_xlfn.XLOOKUP(northwind_order_details[[#This Row],[order_id]],northwind_orders[order_id],northwind_orders[ship_country])</f>
        <v>Finland</v>
      </c>
      <c r="G1139">
        <f>INDEX(northwind_orders[],MATCH(northwind_order_details[[#This Row],[order_id]], northwind_orders[order_id], 0), MATCH("employee_id", northwind_orders[#Headers], 0))</f>
        <v>7</v>
      </c>
      <c r="H1139">
        <f>northwind_order_details[[#This Row],[unit_price]]*northwind_order_details[[#This Row],[quantity]]</f>
        <v>152</v>
      </c>
      <c r="I1139" s="1">
        <f>northwind_order_details[[#This Row],[purchase amount]]*northwind_order_details[[#This Row],[discount]]</f>
        <v>0</v>
      </c>
      <c r="J1139" s="1">
        <f>northwind_order_details[[#This Row],[purchase amount]]-northwind_order_details[[#This Row],[discount amount]]</f>
        <v>152</v>
      </c>
      <c r="K1139" s="6" t="str">
        <f>IF(northwind_order_details[[#This Row],[discount amount]]&gt;0,"Yes","No")</f>
        <v>No</v>
      </c>
      <c r="L1139" s="1" t="str">
        <f>IF(northwind_order_details[[#This Row],[Revenue]]&gt;1000,"High",IF(northwind_order_details[[#This Row],[Revenue]]&gt;300,"Medium","Low"))</f>
        <v>Low</v>
      </c>
      <c r="M11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0" spans="1:13" x14ac:dyDescent="0.25">
      <c r="A1140">
        <v>10695</v>
      </c>
      <c r="B1140">
        <v>24</v>
      </c>
      <c r="C1140" s="6">
        <v>4.5</v>
      </c>
      <c r="D1140">
        <v>20</v>
      </c>
      <c r="E1140" s="6" t="s">
        <v>6</v>
      </c>
      <c r="F1140" t="str">
        <f>_xlfn.XLOOKUP(northwind_order_details[[#This Row],[order_id]],northwind_orders[order_id],northwind_orders[ship_country])</f>
        <v>Finland</v>
      </c>
      <c r="G1140">
        <f>INDEX(northwind_orders[],MATCH(northwind_order_details[[#This Row],[order_id]], northwind_orders[order_id], 0), MATCH("employee_id", northwind_orders[#Headers], 0))</f>
        <v>7</v>
      </c>
      <c r="H1140">
        <f>northwind_order_details[[#This Row],[unit_price]]*northwind_order_details[[#This Row],[quantity]]</f>
        <v>90</v>
      </c>
      <c r="I1140" s="1">
        <f>northwind_order_details[[#This Row],[purchase amount]]*northwind_order_details[[#This Row],[discount]]</f>
        <v>0</v>
      </c>
      <c r="J1140" s="1">
        <f>northwind_order_details[[#This Row],[purchase amount]]-northwind_order_details[[#This Row],[discount amount]]</f>
        <v>90</v>
      </c>
      <c r="K1140" s="6" t="str">
        <f>IF(northwind_order_details[[#This Row],[discount amount]]&gt;0,"Yes","No")</f>
        <v>No</v>
      </c>
      <c r="L1140" s="1" t="str">
        <f>IF(northwind_order_details[[#This Row],[Revenue]]&gt;1000,"High",IF(northwind_order_details[[#This Row],[Revenue]]&gt;300,"Medium","Low"))</f>
        <v>Low</v>
      </c>
      <c r="M11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41" spans="1:13" x14ac:dyDescent="0.25">
      <c r="A1141">
        <v>10696</v>
      </c>
      <c r="B1141">
        <v>17</v>
      </c>
      <c r="C1141" s="6" t="s">
        <v>35</v>
      </c>
      <c r="D1141">
        <v>20</v>
      </c>
      <c r="E1141" s="6" t="s">
        <v>6</v>
      </c>
      <c r="F1141" t="str">
        <f>_xlfn.XLOOKUP(northwind_order_details[[#This Row],[order_id]],northwind_orders[order_id],northwind_orders[ship_country])</f>
        <v>USA</v>
      </c>
      <c r="G1141">
        <f>INDEX(northwind_orders[],MATCH(northwind_order_details[[#This Row],[order_id]], northwind_orders[order_id], 0), MATCH("employee_id", northwind_orders[#Headers], 0))</f>
        <v>8</v>
      </c>
      <c r="H1141">
        <f>northwind_order_details[[#This Row],[unit_price]]*northwind_order_details[[#This Row],[quantity]]</f>
        <v>780</v>
      </c>
      <c r="I1141" s="1">
        <f>northwind_order_details[[#This Row],[purchase amount]]*northwind_order_details[[#This Row],[discount]]</f>
        <v>0</v>
      </c>
      <c r="J1141" s="1">
        <f>northwind_order_details[[#This Row],[purchase amount]]-northwind_order_details[[#This Row],[discount amount]]</f>
        <v>780</v>
      </c>
      <c r="K1141" s="6" t="str">
        <f>IF(northwind_order_details[[#This Row],[discount amount]]&gt;0,"Yes","No")</f>
        <v>No</v>
      </c>
      <c r="L1141" s="1" t="str">
        <f>IF(northwind_order_details[[#This Row],[Revenue]]&gt;1000,"High",IF(northwind_order_details[[#This Row],[Revenue]]&gt;300,"Medium","Low"))</f>
        <v>Medium</v>
      </c>
      <c r="M11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2" spans="1:13" x14ac:dyDescent="0.25">
      <c r="A1142">
        <v>10696</v>
      </c>
      <c r="B1142">
        <v>46</v>
      </c>
      <c r="C1142" s="6" t="s">
        <v>13</v>
      </c>
      <c r="D1142">
        <v>18</v>
      </c>
      <c r="E1142" s="6" t="s">
        <v>6</v>
      </c>
      <c r="F1142" t="str">
        <f>_xlfn.XLOOKUP(northwind_order_details[[#This Row],[order_id]],northwind_orders[order_id],northwind_orders[ship_country])</f>
        <v>USA</v>
      </c>
      <c r="G1142">
        <f>INDEX(northwind_orders[],MATCH(northwind_order_details[[#This Row],[order_id]], northwind_orders[order_id], 0), MATCH("employee_id", northwind_orders[#Headers], 0))</f>
        <v>8</v>
      </c>
      <c r="H1142">
        <f>northwind_order_details[[#This Row],[unit_price]]*northwind_order_details[[#This Row],[quantity]]</f>
        <v>216</v>
      </c>
      <c r="I1142" s="1">
        <f>northwind_order_details[[#This Row],[purchase amount]]*northwind_order_details[[#This Row],[discount]]</f>
        <v>0</v>
      </c>
      <c r="J1142" s="1">
        <f>northwind_order_details[[#This Row],[purchase amount]]-northwind_order_details[[#This Row],[discount amount]]</f>
        <v>216</v>
      </c>
      <c r="K1142" s="6" t="str">
        <f>IF(northwind_order_details[[#This Row],[discount amount]]&gt;0,"Yes","No")</f>
        <v>No</v>
      </c>
      <c r="L1142" s="1" t="str">
        <f>IF(northwind_order_details[[#This Row],[Revenue]]&gt;1000,"High",IF(northwind_order_details[[#This Row],[Revenue]]&gt;300,"Medium","Low"))</f>
        <v>Low</v>
      </c>
      <c r="M11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3" spans="1:13" x14ac:dyDescent="0.25">
      <c r="A1143">
        <v>10697</v>
      </c>
      <c r="B1143">
        <v>19</v>
      </c>
      <c r="C1143" s="6">
        <v>9.1999999999999993</v>
      </c>
      <c r="D1143">
        <v>7</v>
      </c>
      <c r="E1143" s="6">
        <v>0.25</v>
      </c>
      <c r="F1143" t="str">
        <f>_xlfn.XLOOKUP(northwind_order_details[[#This Row],[order_id]],northwind_orders[order_id],northwind_orders[ship_country])</f>
        <v>Venezuela</v>
      </c>
      <c r="G1143">
        <f>INDEX(northwind_orders[],MATCH(northwind_order_details[[#This Row],[order_id]], northwind_orders[order_id], 0), MATCH("employee_id", northwind_orders[#Headers], 0))</f>
        <v>3</v>
      </c>
      <c r="H1143">
        <f>northwind_order_details[[#This Row],[unit_price]]*northwind_order_details[[#This Row],[quantity]]</f>
        <v>64.399999999999991</v>
      </c>
      <c r="I1143" s="1">
        <f>northwind_order_details[[#This Row],[purchase amount]]*northwind_order_details[[#This Row],[discount]]</f>
        <v>16.099999999999998</v>
      </c>
      <c r="J1143" s="1">
        <f>northwind_order_details[[#This Row],[purchase amount]]-northwind_order_details[[#This Row],[discount amount]]</f>
        <v>48.3</v>
      </c>
      <c r="K1143" s="6" t="str">
        <f>IF(northwind_order_details[[#This Row],[discount amount]]&gt;0,"Yes","No")</f>
        <v>Yes</v>
      </c>
      <c r="L1143" s="1" t="str">
        <f>IF(northwind_order_details[[#This Row],[Revenue]]&gt;1000,"High",IF(northwind_order_details[[#This Row],[Revenue]]&gt;300,"Medium","Low"))</f>
        <v>Low</v>
      </c>
      <c r="M11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44" spans="1:13" x14ac:dyDescent="0.25">
      <c r="A1144">
        <v>10697</v>
      </c>
      <c r="B1144">
        <v>35</v>
      </c>
      <c r="C1144" s="6" t="s">
        <v>24</v>
      </c>
      <c r="D1144">
        <v>9</v>
      </c>
      <c r="E1144" s="6">
        <v>0.25</v>
      </c>
      <c r="F1144" t="str">
        <f>_xlfn.XLOOKUP(northwind_order_details[[#This Row],[order_id]],northwind_orders[order_id],northwind_orders[ship_country])</f>
        <v>Venezuela</v>
      </c>
      <c r="G1144">
        <f>INDEX(northwind_orders[],MATCH(northwind_order_details[[#This Row],[order_id]], northwind_orders[order_id], 0), MATCH("employee_id", northwind_orders[#Headers], 0))</f>
        <v>3</v>
      </c>
      <c r="H1144">
        <f>northwind_order_details[[#This Row],[unit_price]]*northwind_order_details[[#This Row],[quantity]]</f>
        <v>162</v>
      </c>
      <c r="I1144" s="1">
        <f>northwind_order_details[[#This Row],[purchase amount]]*northwind_order_details[[#This Row],[discount]]</f>
        <v>40.5</v>
      </c>
      <c r="J1144" s="1">
        <f>northwind_order_details[[#This Row],[purchase amount]]-northwind_order_details[[#This Row],[discount amount]]</f>
        <v>121.5</v>
      </c>
      <c r="K1144" s="6" t="str">
        <f>IF(northwind_order_details[[#This Row],[discount amount]]&gt;0,"Yes","No")</f>
        <v>Yes</v>
      </c>
      <c r="L1144" s="1" t="str">
        <f>IF(northwind_order_details[[#This Row],[Revenue]]&gt;1000,"High",IF(northwind_order_details[[#This Row],[Revenue]]&gt;300,"Medium","Low"))</f>
        <v>Low</v>
      </c>
      <c r="M11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5" spans="1:13" x14ac:dyDescent="0.25">
      <c r="A1145">
        <v>10697</v>
      </c>
      <c r="B1145">
        <v>58</v>
      </c>
      <c r="C1145" s="6">
        <v>13.25</v>
      </c>
      <c r="D1145">
        <v>30</v>
      </c>
      <c r="E1145" s="6">
        <v>0.25</v>
      </c>
      <c r="F1145" t="str">
        <f>_xlfn.XLOOKUP(northwind_order_details[[#This Row],[order_id]],northwind_orders[order_id],northwind_orders[ship_country])</f>
        <v>Venezuela</v>
      </c>
      <c r="G1145">
        <f>INDEX(northwind_orders[],MATCH(northwind_order_details[[#This Row],[order_id]], northwind_orders[order_id], 0), MATCH("employee_id", northwind_orders[#Headers], 0))</f>
        <v>3</v>
      </c>
      <c r="H1145">
        <f>northwind_order_details[[#This Row],[unit_price]]*northwind_order_details[[#This Row],[quantity]]</f>
        <v>397.5</v>
      </c>
      <c r="I1145" s="1">
        <f>northwind_order_details[[#This Row],[purchase amount]]*northwind_order_details[[#This Row],[discount]]</f>
        <v>99.375</v>
      </c>
      <c r="J1145" s="1">
        <f>northwind_order_details[[#This Row],[purchase amount]]-northwind_order_details[[#This Row],[discount amount]]</f>
        <v>298.125</v>
      </c>
      <c r="K1145" s="6" t="str">
        <f>IF(northwind_order_details[[#This Row],[discount amount]]&gt;0,"Yes","No")</f>
        <v>Yes</v>
      </c>
      <c r="L1145" s="1" t="str">
        <f>IF(northwind_order_details[[#This Row],[Revenue]]&gt;1000,"High",IF(northwind_order_details[[#This Row],[Revenue]]&gt;300,"Medium","Low"))</f>
        <v>Low</v>
      </c>
      <c r="M11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46" spans="1:13" x14ac:dyDescent="0.25">
      <c r="A1146">
        <v>10697</v>
      </c>
      <c r="B1146">
        <v>70</v>
      </c>
      <c r="C1146" s="6" t="s">
        <v>21</v>
      </c>
      <c r="D1146">
        <v>30</v>
      </c>
      <c r="E1146" s="6">
        <v>0.25</v>
      </c>
      <c r="F1146" t="str">
        <f>_xlfn.XLOOKUP(northwind_order_details[[#This Row],[order_id]],northwind_orders[order_id],northwind_orders[ship_country])</f>
        <v>Venezuela</v>
      </c>
      <c r="G1146">
        <f>INDEX(northwind_orders[],MATCH(northwind_order_details[[#This Row],[order_id]], northwind_orders[order_id], 0), MATCH("employee_id", northwind_orders[#Headers], 0))</f>
        <v>3</v>
      </c>
      <c r="H1146">
        <f>northwind_order_details[[#This Row],[unit_price]]*northwind_order_details[[#This Row],[quantity]]</f>
        <v>450</v>
      </c>
      <c r="I1146" s="1">
        <f>northwind_order_details[[#This Row],[purchase amount]]*northwind_order_details[[#This Row],[discount]]</f>
        <v>112.5</v>
      </c>
      <c r="J1146" s="1">
        <f>northwind_order_details[[#This Row],[purchase amount]]-northwind_order_details[[#This Row],[discount amount]]</f>
        <v>337.5</v>
      </c>
      <c r="K1146" s="6" t="str">
        <f>IF(northwind_order_details[[#This Row],[discount amount]]&gt;0,"Yes","No")</f>
        <v>Yes</v>
      </c>
      <c r="L1146" s="1" t="str">
        <f>IF(northwind_order_details[[#This Row],[Revenue]]&gt;1000,"High",IF(northwind_order_details[[#This Row],[Revenue]]&gt;300,"Medium","Low"))</f>
        <v>Medium</v>
      </c>
      <c r="M11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7" spans="1:13" x14ac:dyDescent="0.25">
      <c r="A1147">
        <v>10698</v>
      </c>
      <c r="B1147">
        <v>11</v>
      </c>
      <c r="C1147" s="6" t="s">
        <v>37</v>
      </c>
      <c r="D1147">
        <v>15</v>
      </c>
      <c r="E1147" s="6" t="s">
        <v>6</v>
      </c>
      <c r="F1147" t="str">
        <f>_xlfn.XLOOKUP(northwind_order_details[[#This Row],[order_id]],northwind_orders[order_id],northwind_orders[ship_country])</f>
        <v>Austria</v>
      </c>
      <c r="G1147">
        <f>INDEX(northwind_orders[],MATCH(northwind_order_details[[#This Row],[order_id]], northwind_orders[order_id], 0), MATCH("employee_id", northwind_orders[#Headers], 0))</f>
        <v>4</v>
      </c>
      <c r="H1147">
        <f>northwind_order_details[[#This Row],[unit_price]]*northwind_order_details[[#This Row],[quantity]]</f>
        <v>315</v>
      </c>
      <c r="I1147" s="1">
        <f>northwind_order_details[[#This Row],[purchase amount]]*northwind_order_details[[#This Row],[discount]]</f>
        <v>0</v>
      </c>
      <c r="J1147" s="1">
        <f>northwind_order_details[[#This Row],[purchase amount]]-northwind_order_details[[#This Row],[discount amount]]</f>
        <v>315</v>
      </c>
      <c r="K1147" s="6" t="str">
        <f>IF(northwind_order_details[[#This Row],[discount amount]]&gt;0,"Yes","No")</f>
        <v>No</v>
      </c>
      <c r="L1147" s="1" t="str">
        <f>IF(northwind_order_details[[#This Row],[Revenue]]&gt;1000,"High",IF(northwind_order_details[[#This Row],[Revenue]]&gt;300,"Medium","Low"))</f>
        <v>Medium</v>
      </c>
      <c r="M11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8" spans="1:13" x14ac:dyDescent="0.25">
      <c r="A1148">
        <v>10698</v>
      </c>
      <c r="B1148">
        <v>17</v>
      </c>
      <c r="C1148" s="6" t="s">
        <v>35</v>
      </c>
      <c r="D1148">
        <v>8</v>
      </c>
      <c r="E1148" s="6">
        <v>0.05</v>
      </c>
      <c r="F1148" t="str">
        <f>_xlfn.XLOOKUP(northwind_order_details[[#This Row],[order_id]],northwind_orders[order_id],northwind_orders[ship_country])</f>
        <v>Austria</v>
      </c>
      <c r="G1148">
        <f>INDEX(northwind_orders[],MATCH(northwind_order_details[[#This Row],[order_id]], northwind_orders[order_id], 0), MATCH("employee_id", northwind_orders[#Headers], 0))</f>
        <v>4</v>
      </c>
      <c r="H1148">
        <f>northwind_order_details[[#This Row],[unit_price]]*northwind_order_details[[#This Row],[quantity]]</f>
        <v>312</v>
      </c>
      <c r="I1148" s="1">
        <f>northwind_order_details[[#This Row],[purchase amount]]*northwind_order_details[[#This Row],[discount]]</f>
        <v>15.600000000000001</v>
      </c>
      <c r="J1148" s="1">
        <f>northwind_order_details[[#This Row],[purchase amount]]-northwind_order_details[[#This Row],[discount amount]]</f>
        <v>296.39999999999998</v>
      </c>
      <c r="K1148" s="6" t="str">
        <f>IF(northwind_order_details[[#This Row],[discount amount]]&gt;0,"Yes","No")</f>
        <v>Yes</v>
      </c>
      <c r="L1148" s="1" t="str">
        <f>IF(northwind_order_details[[#This Row],[Revenue]]&gt;1000,"High",IF(northwind_order_details[[#This Row],[Revenue]]&gt;300,"Medium","Low"))</f>
        <v>Low</v>
      </c>
      <c r="M11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49" spans="1:13" x14ac:dyDescent="0.25">
      <c r="A1149">
        <v>10698</v>
      </c>
      <c r="B1149">
        <v>29</v>
      </c>
      <c r="C1149" s="6">
        <v>123.79</v>
      </c>
      <c r="D1149">
        <v>12</v>
      </c>
      <c r="E1149" s="6">
        <v>0.05</v>
      </c>
      <c r="F1149" t="str">
        <f>_xlfn.XLOOKUP(northwind_order_details[[#This Row],[order_id]],northwind_orders[order_id],northwind_orders[ship_country])</f>
        <v>Austria</v>
      </c>
      <c r="G1149">
        <f>INDEX(northwind_orders[],MATCH(northwind_order_details[[#This Row],[order_id]], northwind_orders[order_id], 0), MATCH("employee_id", northwind_orders[#Headers], 0))</f>
        <v>4</v>
      </c>
      <c r="H1149">
        <f>northwind_order_details[[#This Row],[unit_price]]*northwind_order_details[[#This Row],[quantity]]</f>
        <v>1485.48</v>
      </c>
      <c r="I1149" s="1">
        <f>northwind_order_details[[#This Row],[purchase amount]]*northwind_order_details[[#This Row],[discount]]</f>
        <v>74.274000000000001</v>
      </c>
      <c r="J1149" s="1">
        <f>northwind_order_details[[#This Row],[purchase amount]]-northwind_order_details[[#This Row],[discount amount]]</f>
        <v>1411.2060000000001</v>
      </c>
      <c r="K1149" s="6" t="str">
        <f>IF(northwind_order_details[[#This Row],[discount amount]]&gt;0,"Yes","No")</f>
        <v>Yes</v>
      </c>
      <c r="L1149" s="1" t="str">
        <f>IF(northwind_order_details[[#This Row],[Revenue]]&gt;1000,"High",IF(northwind_order_details[[#This Row],[Revenue]]&gt;300,"Medium","Low"))</f>
        <v>High</v>
      </c>
      <c r="M11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50" spans="1:13" x14ac:dyDescent="0.25">
      <c r="A1150">
        <v>10698</v>
      </c>
      <c r="B1150">
        <v>65</v>
      </c>
      <c r="C1150" s="6">
        <v>21.05</v>
      </c>
      <c r="D1150">
        <v>65</v>
      </c>
      <c r="E1150" s="6">
        <v>0.05</v>
      </c>
      <c r="F1150" t="str">
        <f>_xlfn.XLOOKUP(northwind_order_details[[#This Row],[order_id]],northwind_orders[order_id],northwind_orders[ship_country])</f>
        <v>Austria</v>
      </c>
      <c r="G1150">
        <f>INDEX(northwind_orders[],MATCH(northwind_order_details[[#This Row],[order_id]], northwind_orders[order_id], 0), MATCH("employee_id", northwind_orders[#Headers], 0))</f>
        <v>4</v>
      </c>
      <c r="H1150">
        <f>northwind_order_details[[#This Row],[unit_price]]*northwind_order_details[[#This Row],[quantity]]</f>
        <v>1368.25</v>
      </c>
      <c r="I1150" s="1">
        <f>northwind_order_details[[#This Row],[purchase amount]]*northwind_order_details[[#This Row],[discount]]</f>
        <v>68.412500000000009</v>
      </c>
      <c r="J1150" s="1">
        <f>northwind_order_details[[#This Row],[purchase amount]]-northwind_order_details[[#This Row],[discount amount]]</f>
        <v>1299.8375000000001</v>
      </c>
      <c r="K1150" s="6" t="str">
        <f>IF(northwind_order_details[[#This Row],[discount amount]]&gt;0,"Yes","No")</f>
        <v>Yes</v>
      </c>
      <c r="L1150" s="1" t="str">
        <f>IF(northwind_order_details[[#This Row],[Revenue]]&gt;1000,"High",IF(northwind_order_details[[#This Row],[Revenue]]&gt;300,"Medium","Low"))</f>
        <v>High</v>
      </c>
      <c r="M11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51" spans="1:13" x14ac:dyDescent="0.25">
      <c r="A1151">
        <v>10698</v>
      </c>
      <c r="B1151">
        <v>70</v>
      </c>
      <c r="C1151" s="6" t="s">
        <v>21</v>
      </c>
      <c r="D1151">
        <v>8</v>
      </c>
      <c r="E1151" s="6">
        <v>0.05</v>
      </c>
      <c r="F1151" t="str">
        <f>_xlfn.XLOOKUP(northwind_order_details[[#This Row],[order_id]],northwind_orders[order_id],northwind_orders[ship_country])</f>
        <v>Austria</v>
      </c>
      <c r="G1151">
        <f>INDEX(northwind_orders[],MATCH(northwind_order_details[[#This Row],[order_id]], northwind_orders[order_id], 0), MATCH("employee_id", northwind_orders[#Headers], 0))</f>
        <v>4</v>
      </c>
      <c r="H1151">
        <f>northwind_order_details[[#This Row],[unit_price]]*northwind_order_details[[#This Row],[quantity]]</f>
        <v>120</v>
      </c>
      <c r="I1151" s="1">
        <f>northwind_order_details[[#This Row],[purchase amount]]*northwind_order_details[[#This Row],[discount]]</f>
        <v>6</v>
      </c>
      <c r="J1151" s="1">
        <f>northwind_order_details[[#This Row],[purchase amount]]-northwind_order_details[[#This Row],[discount amount]]</f>
        <v>114</v>
      </c>
      <c r="K1151" s="6" t="str">
        <f>IF(northwind_order_details[[#This Row],[discount amount]]&gt;0,"Yes","No")</f>
        <v>Yes</v>
      </c>
      <c r="L1151" s="1" t="str">
        <f>IF(northwind_order_details[[#This Row],[Revenue]]&gt;1000,"High",IF(northwind_order_details[[#This Row],[Revenue]]&gt;300,"Medium","Low"))</f>
        <v>Low</v>
      </c>
      <c r="M11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52" spans="1:13" x14ac:dyDescent="0.25">
      <c r="A1152">
        <v>10699</v>
      </c>
      <c r="B1152">
        <v>47</v>
      </c>
      <c r="C1152" s="6">
        <v>9.5</v>
      </c>
      <c r="D1152">
        <v>12</v>
      </c>
      <c r="E1152" s="6" t="s">
        <v>6</v>
      </c>
      <c r="F1152" t="str">
        <f>_xlfn.XLOOKUP(northwind_order_details[[#This Row],[order_id]],northwind_orders[order_id],northwind_orders[ship_country])</f>
        <v>Germany</v>
      </c>
      <c r="G1152">
        <f>INDEX(northwind_orders[],MATCH(northwind_order_details[[#This Row],[order_id]], northwind_orders[order_id], 0), MATCH("employee_id", northwind_orders[#Headers], 0))</f>
        <v>3</v>
      </c>
      <c r="H1152">
        <f>northwind_order_details[[#This Row],[unit_price]]*northwind_order_details[[#This Row],[quantity]]</f>
        <v>114</v>
      </c>
      <c r="I1152" s="1">
        <f>northwind_order_details[[#This Row],[purchase amount]]*northwind_order_details[[#This Row],[discount]]</f>
        <v>0</v>
      </c>
      <c r="J1152" s="1">
        <f>northwind_order_details[[#This Row],[purchase amount]]-northwind_order_details[[#This Row],[discount amount]]</f>
        <v>114</v>
      </c>
      <c r="K1152" s="6" t="str">
        <f>IF(northwind_order_details[[#This Row],[discount amount]]&gt;0,"Yes","No")</f>
        <v>No</v>
      </c>
      <c r="L1152" s="1" t="str">
        <f>IF(northwind_order_details[[#This Row],[Revenue]]&gt;1000,"High",IF(northwind_order_details[[#This Row],[Revenue]]&gt;300,"Medium","Low"))</f>
        <v>Low</v>
      </c>
      <c r="M115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53" spans="1:13" x14ac:dyDescent="0.25">
      <c r="A1153">
        <v>10700</v>
      </c>
      <c r="B1153">
        <v>1</v>
      </c>
      <c r="C1153" s="6" t="s">
        <v>24</v>
      </c>
      <c r="D1153">
        <v>5</v>
      </c>
      <c r="E1153" s="6">
        <v>0.2</v>
      </c>
      <c r="F1153" t="str">
        <f>_xlfn.XLOOKUP(northwind_order_details[[#This Row],[order_id]],northwind_orders[order_id],northwind_orders[ship_country])</f>
        <v>USA</v>
      </c>
      <c r="G1153">
        <f>INDEX(northwind_orders[],MATCH(northwind_order_details[[#This Row],[order_id]], northwind_orders[order_id], 0), MATCH("employee_id", northwind_orders[#Headers], 0))</f>
        <v>3</v>
      </c>
      <c r="H1153">
        <f>northwind_order_details[[#This Row],[unit_price]]*northwind_order_details[[#This Row],[quantity]]</f>
        <v>90</v>
      </c>
      <c r="I1153" s="1">
        <f>northwind_order_details[[#This Row],[purchase amount]]*northwind_order_details[[#This Row],[discount]]</f>
        <v>18</v>
      </c>
      <c r="J1153" s="1">
        <f>northwind_order_details[[#This Row],[purchase amount]]-northwind_order_details[[#This Row],[discount amount]]</f>
        <v>72</v>
      </c>
      <c r="K1153" s="6" t="str">
        <f>IF(northwind_order_details[[#This Row],[discount amount]]&gt;0,"Yes","No")</f>
        <v>Yes</v>
      </c>
      <c r="L1153" s="1" t="str">
        <f>IF(northwind_order_details[[#This Row],[Revenue]]&gt;1000,"High",IF(northwind_order_details[[#This Row],[Revenue]]&gt;300,"Medium","Low"))</f>
        <v>Low</v>
      </c>
      <c r="M11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54" spans="1:13" x14ac:dyDescent="0.25">
      <c r="A1154">
        <v>10700</v>
      </c>
      <c r="B1154">
        <v>34</v>
      </c>
      <c r="C1154" s="6" t="s">
        <v>5</v>
      </c>
      <c r="D1154">
        <v>12</v>
      </c>
      <c r="E1154" s="6">
        <v>0.2</v>
      </c>
      <c r="F1154" t="str">
        <f>_xlfn.XLOOKUP(northwind_order_details[[#This Row],[order_id]],northwind_orders[order_id],northwind_orders[ship_country])</f>
        <v>USA</v>
      </c>
      <c r="G1154">
        <f>INDEX(northwind_orders[],MATCH(northwind_order_details[[#This Row],[order_id]], northwind_orders[order_id], 0), MATCH("employee_id", northwind_orders[#Headers], 0))</f>
        <v>3</v>
      </c>
      <c r="H1154">
        <f>northwind_order_details[[#This Row],[unit_price]]*northwind_order_details[[#This Row],[quantity]]</f>
        <v>168</v>
      </c>
      <c r="I1154" s="1">
        <f>northwind_order_details[[#This Row],[purchase amount]]*northwind_order_details[[#This Row],[discount]]</f>
        <v>33.6</v>
      </c>
      <c r="J1154" s="1">
        <f>northwind_order_details[[#This Row],[purchase amount]]-northwind_order_details[[#This Row],[discount amount]]</f>
        <v>134.4</v>
      </c>
      <c r="K1154" s="6" t="str">
        <f>IF(northwind_order_details[[#This Row],[discount amount]]&gt;0,"Yes","No")</f>
        <v>Yes</v>
      </c>
      <c r="L1154" s="1" t="str">
        <f>IF(northwind_order_details[[#This Row],[Revenue]]&gt;1000,"High",IF(northwind_order_details[[#This Row],[Revenue]]&gt;300,"Medium","Low"))</f>
        <v>Low</v>
      </c>
      <c r="M11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55" spans="1:13" x14ac:dyDescent="0.25">
      <c r="A1155">
        <v>10700</v>
      </c>
      <c r="B1155">
        <v>68</v>
      </c>
      <c r="C1155" s="6">
        <v>12.5</v>
      </c>
      <c r="D1155">
        <v>40</v>
      </c>
      <c r="E1155" s="6">
        <v>0.2</v>
      </c>
      <c r="F1155" t="str">
        <f>_xlfn.XLOOKUP(northwind_order_details[[#This Row],[order_id]],northwind_orders[order_id],northwind_orders[ship_country])</f>
        <v>USA</v>
      </c>
      <c r="G1155">
        <f>INDEX(northwind_orders[],MATCH(northwind_order_details[[#This Row],[order_id]], northwind_orders[order_id], 0), MATCH("employee_id", northwind_orders[#Headers], 0))</f>
        <v>3</v>
      </c>
      <c r="H1155">
        <f>northwind_order_details[[#This Row],[unit_price]]*northwind_order_details[[#This Row],[quantity]]</f>
        <v>500</v>
      </c>
      <c r="I1155" s="1">
        <f>northwind_order_details[[#This Row],[purchase amount]]*northwind_order_details[[#This Row],[discount]]</f>
        <v>100</v>
      </c>
      <c r="J1155" s="1">
        <f>northwind_order_details[[#This Row],[purchase amount]]-northwind_order_details[[#This Row],[discount amount]]</f>
        <v>400</v>
      </c>
      <c r="K1155" s="6" t="str">
        <f>IF(northwind_order_details[[#This Row],[discount amount]]&gt;0,"Yes","No")</f>
        <v>Yes</v>
      </c>
      <c r="L1155" s="1" t="str">
        <f>IF(northwind_order_details[[#This Row],[Revenue]]&gt;1000,"High",IF(northwind_order_details[[#This Row],[Revenue]]&gt;300,"Medium","Low"))</f>
        <v>Medium</v>
      </c>
      <c r="M115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56" spans="1:13" x14ac:dyDescent="0.25">
      <c r="A1156">
        <v>10700</v>
      </c>
      <c r="B1156">
        <v>71</v>
      </c>
      <c r="C1156" s="6">
        <v>21.5</v>
      </c>
      <c r="D1156">
        <v>60</v>
      </c>
      <c r="E1156" s="6">
        <v>0.2</v>
      </c>
      <c r="F1156" t="str">
        <f>_xlfn.XLOOKUP(northwind_order_details[[#This Row],[order_id]],northwind_orders[order_id],northwind_orders[ship_country])</f>
        <v>USA</v>
      </c>
      <c r="G1156">
        <f>INDEX(northwind_orders[],MATCH(northwind_order_details[[#This Row],[order_id]], northwind_orders[order_id], 0), MATCH("employee_id", northwind_orders[#Headers], 0))</f>
        <v>3</v>
      </c>
      <c r="H1156">
        <f>northwind_order_details[[#This Row],[unit_price]]*northwind_order_details[[#This Row],[quantity]]</f>
        <v>1290</v>
      </c>
      <c r="I1156" s="1">
        <f>northwind_order_details[[#This Row],[purchase amount]]*northwind_order_details[[#This Row],[discount]]</f>
        <v>258</v>
      </c>
      <c r="J1156" s="1">
        <f>northwind_order_details[[#This Row],[purchase amount]]-northwind_order_details[[#This Row],[discount amount]]</f>
        <v>1032</v>
      </c>
      <c r="K1156" s="6" t="str">
        <f>IF(northwind_order_details[[#This Row],[discount amount]]&gt;0,"Yes","No")</f>
        <v>Yes</v>
      </c>
      <c r="L1156" s="1" t="str">
        <f>IF(northwind_order_details[[#This Row],[Revenue]]&gt;1000,"High",IF(northwind_order_details[[#This Row],[Revenue]]&gt;300,"Medium","Low"))</f>
        <v>High</v>
      </c>
      <c r="M11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57" spans="1:13" x14ac:dyDescent="0.25">
      <c r="A1157">
        <v>10702</v>
      </c>
      <c r="B1157">
        <v>3</v>
      </c>
      <c r="C1157" s="6" t="s">
        <v>8</v>
      </c>
      <c r="D1157">
        <v>6</v>
      </c>
      <c r="E1157" s="6" t="s">
        <v>6</v>
      </c>
      <c r="F1157" t="str">
        <f>_xlfn.XLOOKUP(northwind_order_details[[#This Row],[order_id]],northwind_orders[order_id],northwind_orders[ship_country])</f>
        <v>Germany</v>
      </c>
      <c r="G1157">
        <f>INDEX(northwind_orders[],MATCH(northwind_order_details[[#This Row],[order_id]], northwind_orders[order_id], 0), MATCH("employee_id", northwind_orders[#Headers], 0))</f>
        <v>4</v>
      </c>
      <c r="H1157">
        <f>northwind_order_details[[#This Row],[unit_price]]*northwind_order_details[[#This Row],[quantity]]</f>
        <v>60</v>
      </c>
      <c r="I1157" s="1">
        <f>northwind_order_details[[#This Row],[purchase amount]]*northwind_order_details[[#This Row],[discount]]</f>
        <v>0</v>
      </c>
      <c r="J1157" s="1">
        <f>northwind_order_details[[#This Row],[purchase amount]]-northwind_order_details[[#This Row],[discount amount]]</f>
        <v>60</v>
      </c>
      <c r="K1157" s="6" t="str">
        <f>IF(northwind_order_details[[#This Row],[discount amount]]&gt;0,"Yes","No")</f>
        <v>No</v>
      </c>
      <c r="L1157" s="1" t="str">
        <f>IF(northwind_order_details[[#This Row],[Revenue]]&gt;1000,"High",IF(northwind_order_details[[#This Row],[Revenue]]&gt;300,"Medium","Low"))</f>
        <v>Low</v>
      </c>
      <c r="M11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58" spans="1:13" x14ac:dyDescent="0.25">
      <c r="A1158">
        <v>10702</v>
      </c>
      <c r="B1158">
        <v>76</v>
      </c>
      <c r="C1158" s="6" t="s">
        <v>24</v>
      </c>
      <c r="D1158">
        <v>15</v>
      </c>
      <c r="E1158" s="6" t="s">
        <v>6</v>
      </c>
      <c r="F1158" t="str">
        <f>_xlfn.XLOOKUP(northwind_order_details[[#This Row],[order_id]],northwind_orders[order_id],northwind_orders[ship_country])</f>
        <v>Germany</v>
      </c>
      <c r="G1158">
        <f>INDEX(northwind_orders[],MATCH(northwind_order_details[[#This Row],[order_id]], northwind_orders[order_id], 0), MATCH("employee_id", northwind_orders[#Headers], 0))</f>
        <v>4</v>
      </c>
      <c r="H1158">
        <f>northwind_order_details[[#This Row],[unit_price]]*northwind_order_details[[#This Row],[quantity]]</f>
        <v>270</v>
      </c>
      <c r="I1158" s="1">
        <f>northwind_order_details[[#This Row],[purchase amount]]*northwind_order_details[[#This Row],[discount]]</f>
        <v>0</v>
      </c>
      <c r="J1158" s="1">
        <f>northwind_order_details[[#This Row],[purchase amount]]-northwind_order_details[[#This Row],[discount amount]]</f>
        <v>270</v>
      </c>
      <c r="K1158" s="6" t="str">
        <f>IF(northwind_order_details[[#This Row],[discount amount]]&gt;0,"Yes","No")</f>
        <v>No</v>
      </c>
      <c r="L1158" s="1" t="str">
        <f>IF(northwind_order_details[[#This Row],[Revenue]]&gt;1000,"High",IF(northwind_order_details[[#This Row],[Revenue]]&gt;300,"Medium","Low"))</f>
        <v>Low</v>
      </c>
      <c r="M11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59" spans="1:13" x14ac:dyDescent="0.25">
      <c r="A1159">
        <v>10703</v>
      </c>
      <c r="B1159">
        <v>2</v>
      </c>
      <c r="C1159" s="6" t="s">
        <v>20</v>
      </c>
      <c r="D1159">
        <v>5</v>
      </c>
      <c r="E1159" s="6" t="s">
        <v>6</v>
      </c>
      <c r="F1159" t="str">
        <f>_xlfn.XLOOKUP(northwind_order_details[[#This Row],[order_id]],northwind_orders[order_id],northwind_orders[ship_country])</f>
        <v>Sweden</v>
      </c>
      <c r="G1159">
        <f>INDEX(northwind_orders[],MATCH(northwind_order_details[[#This Row],[order_id]], northwind_orders[order_id], 0), MATCH("employee_id", northwind_orders[#Headers], 0))</f>
        <v>6</v>
      </c>
      <c r="H1159">
        <f>northwind_order_details[[#This Row],[unit_price]]*northwind_order_details[[#This Row],[quantity]]</f>
        <v>95</v>
      </c>
      <c r="I1159" s="1">
        <f>northwind_order_details[[#This Row],[purchase amount]]*northwind_order_details[[#This Row],[discount]]</f>
        <v>0</v>
      </c>
      <c r="J1159" s="1">
        <f>northwind_order_details[[#This Row],[purchase amount]]-northwind_order_details[[#This Row],[discount amount]]</f>
        <v>95</v>
      </c>
      <c r="K1159" s="6" t="str">
        <f>IF(northwind_order_details[[#This Row],[discount amount]]&gt;0,"Yes","No")</f>
        <v>No</v>
      </c>
      <c r="L1159" s="1" t="str">
        <f>IF(northwind_order_details[[#This Row],[Revenue]]&gt;1000,"High",IF(northwind_order_details[[#This Row],[Revenue]]&gt;300,"Medium","Low"))</f>
        <v>Low</v>
      </c>
      <c r="M11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0" spans="1:13" x14ac:dyDescent="0.25">
      <c r="A1160">
        <v>10703</v>
      </c>
      <c r="B1160">
        <v>59</v>
      </c>
      <c r="C1160" s="6" t="s">
        <v>33</v>
      </c>
      <c r="D1160">
        <v>35</v>
      </c>
      <c r="E1160" s="6" t="s">
        <v>6</v>
      </c>
      <c r="F1160" t="str">
        <f>_xlfn.XLOOKUP(northwind_order_details[[#This Row],[order_id]],northwind_orders[order_id],northwind_orders[ship_country])</f>
        <v>Sweden</v>
      </c>
      <c r="G1160">
        <f>INDEX(northwind_orders[],MATCH(northwind_order_details[[#This Row],[order_id]], northwind_orders[order_id], 0), MATCH("employee_id", northwind_orders[#Headers], 0))</f>
        <v>6</v>
      </c>
      <c r="H1160">
        <f>northwind_order_details[[#This Row],[unit_price]]*northwind_order_details[[#This Row],[quantity]]</f>
        <v>1925</v>
      </c>
      <c r="I1160" s="1">
        <f>northwind_order_details[[#This Row],[purchase amount]]*northwind_order_details[[#This Row],[discount]]</f>
        <v>0</v>
      </c>
      <c r="J1160" s="1">
        <f>northwind_order_details[[#This Row],[purchase amount]]-northwind_order_details[[#This Row],[discount amount]]</f>
        <v>1925</v>
      </c>
      <c r="K1160" s="6" t="str">
        <f>IF(northwind_order_details[[#This Row],[discount amount]]&gt;0,"Yes","No")</f>
        <v>No</v>
      </c>
      <c r="L1160" s="1" t="str">
        <f>IF(northwind_order_details[[#This Row],[Revenue]]&gt;1000,"High",IF(northwind_order_details[[#This Row],[Revenue]]&gt;300,"Medium","Low"))</f>
        <v>High</v>
      </c>
      <c r="M11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1" spans="1:13" x14ac:dyDescent="0.25">
      <c r="A1161">
        <v>10703</v>
      </c>
      <c r="B1161">
        <v>73</v>
      </c>
      <c r="C1161" s="6" t="s">
        <v>21</v>
      </c>
      <c r="D1161">
        <v>35</v>
      </c>
      <c r="E1161" s="6" t="s">
        <v>6</v>
      </c>
      <c r="F1161" t="str">
        <f>_xlfn.XLOOKUP(northwind_order_details[[#This Row],[order_id]],northwind_orders[order_id],northwind_orders[ship_country])</f>
        <v>Sweden</v>
      </c>
      <c r="G1161">
        <f>INDEX(northwind_orders[],MATCH(northwind_order_details[[#This Row],[order_id]], northwind_orders[order_id], 0), MATCH("employee_id", northwind_orders[#Headers], 0))</f>
        <v>6</v>
      </c>
      <c r="H1161">
        <f>northwind_order_details[[#This Row],[unit_price]]*northwind_order_details[[#This Row],[quantity]]</f>
        <v>525</v>
      </c>
      <c r="I1161" s="1">
        <f>northwind_order_details[[#This Row],[purchase amount]]*northwind_order_details[[#This Row],[discount]]</f>
        <v>0</v>
      </c>
      <c r="J1161" s="1">
        <f>northwind_order_details[[#This Row],[purchase amount]]-northwind_order_details[[#This Row],[discount amount]]</f>
        <v>525</v>
      </c>
      <c r="K1161" s="6" t="str">
        <f>IF(northwind_order_details[[#This Row],[discount amount]]&gt;0,"Yes","No")</f>
        <v>No</v>
      </c>
      <c r="L1161" s="1" t="str">
        <f>IF(northwind_order_details[[#This Row],[Revenue]]&gt;1000,"High",IF(northwind_order_details[[#This Row],[Revenue]]&gt;300,"Medium","Low"))</f>
        <v>Medium</v>
      </c>
      <c r="M11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2" spans="1:13" x14ac:dyDescent="0.25">
      <c r="A1162">
        <v>10704</v>
      </c>
      <c r="B1162">
        <v>4</v>
      </c>
      <c r="C1162" s="6" t="s">
        <v>25</v>
      </c>
      <c r="D1162">
        <v>6</v>
      </c>
      <c r="E1162" s="6" t="s">
        <v>6</v>
      </c>
      <c r="F1162" t="str">
        <f>_xlfn.XLOOKUP(northwind_order_details[[#This Row],[order_id]],northwind_orders[order_id],northwind_orders[ship_country])</f>
        <v>Brazil</v>
      </c>
      <c r="G1162">
        <f>INDEX(northwind_orders[],MATCH(northwind_order_details[[#This Row],[order_id]], northwind_orders[order_id], 0), MATCH("employee_id", northwind_orders[#Headers], 0))</f>
        <v>6</v>
      </c>
      <c r="H1162">
        <f>northwind_order_details[[#This Row],[unit_price]]*northwind_order_details[[#This Row],[quantity]]</f>
        <v>132</v>
      </c>
      <c r="I1162" s="1">
        <f>northwind_order_details[[#This Row],[purchase amount]]*northwind_order_details[[#This Row],[discount]]</f>
        <v>0</v>
      </c>
      <c r="J1162" s="1">
        <f>northwind_order_details[[#This Row],[purchase amount]]-northwind_order_details[[#This Row],[discount amount]]</f>
        <v>132</v>
      </c>
      <c r="K1162" s="6" t="str">
        <f>IF(northwind_order_details[[#This Row],[discount amount]]&gt;0,"Yes","No")</f>
        <v>No</v>
      </c>
      <c r="L1162" s="1" t="str">
        <f>IF(northwind_order_details[[#This Row],[Revenue]]&gt;1000,"High",IF(northwind_order_details[[#This Row],[Revenue]]&gt;300,"Medium","Low"))</f>
        <v>Low</v>
      </c>
      <c r="M11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3" spans="1:13" x14ac:dyDescent="0.25">
      <c r="A1163">
        <v>10704</v>
      </c>
      <c r="B1163">
        <v>24</v>
      </c>
      <c r="C1163" s="6">
        <v>4.5</v>
      </c>
      <c r="D1163">
        <v>35</v>
      </c>
      <c r="E1163" s="6" t="s">
        <v>6</v>
      </c>
      <c r="F1163" t="str">
        <f>_xlfn.XLOOKUP(northwind_order_details[[#This Row],[order_id]],northwind_orders[order_id],northwind_orders[ship_country])</f>
        <v>Brazil</v>
      </c>
      <c r="G1163">
        <f>INDEX(northwind_orders[],MATCH(northwind_order_details[[#This Row],[order_id]], northwind_orders[order_id], 0), MATCH("employee_id", northwind_orders[#Headers], 0))</f>
        <v>6</v>
      </c>
      <c r="H1163">
        <f>northwind_order_details[[#This Row],[unit_price]]*northwind_order_details[[#This Row],[quantity]]</f>
        <v>157.5</v>
      </c>
      <c r="I1163" s="1">
        <f>northwind_order_details[[#This Row],[purchase amount]]*northwind_order_details[[#This Row],[discount]]</f>
        <v>0</v>
      </c>
      <c r="J1163" s="1">
        <f>northwind_order_details[[#This Row],[purchase amount]]-northwind_order_details[[#This Row],[discount amount]]</f>
        <v>157.5</v>
      </c>
      <c r="K1163" s="6" t="str">
        <f>IF(northwind_order_details[[#This Row],[discount amount]]&gt;0,"Yes","No")</f>
        <v>No</v>
      </c>
      <c r="L1163" s="1" t="str">
        <f>IF(northwind_order_details[[#This Row],[Revenue]]&gt;1000,"High",IF(northwind_order_details[[#This Row],[Revenue]]&gt;300,"Medium","Low"))</f>
        <v>Low</v>
      </c>
      <c r="M11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64" spans="1:13" x14ac:dyDescent="0.25">
      <c r="A1164">
        <v>10704</v>
      </c>
      <c r="B1164">
        <v>48</v>
      </c>
      <c r="C1164" s="6">
        <v>12.75</v>
      </c>
      <c r="D1164">
        <v>24</v>
      </c>
      <c r="E1164" s="6" t="s">
        <v>6</v>
      </c>
      <c r="F1164" t="str">
        <f>_xlfn.XLOOKUP(northwind_order_details[[#This Row],[order_id]],northwind_orders[order_id],northwind_orders[ship_country])</f>
        <v>Brazil</v>
      </c>
      <c r="G1164">
        <f>INDEX(northwind_orders[],MATCH(northwind_order_details[[#This Row],[order_id]], northwind_orders[order_id], 0), MATCH("employee_id", northwind_orders[#Headers], 0))</f>
        <v>6</v>
      </c>
      <c r="H1164">
        <f>northwind_order_details[[#This Row],[unit_price]]*northwind_order_details[[#This Row],[quantity]]</f>
        <v>306</v>
      </c>
      <c r="I1164" s="1">
        <f>northwind_order_details[[#This Row],[purchase amount]]*northwind_order_details[[#This Row],[discount]]</f>
        <v>0</v>
      </c>
      <c r="J1164" s="1">
        <f>northwind_order_details[[#This Row],[purchase amount]]-northwind_order_details[[#This Row],[discount amount]]</f>
        <v>306</v>
      </c>
      <c r="K1164" s="6" t="str">
        <f>IF(northwind_order_details[[#This Row],[discount amount]]&gt;0,"Yes","No")</f>
        <v>No</v>
      </c>
      <c r="L1164" s="1" t="str">
        <f>IF(northwind_order_details[[#This Row],[Revenue]]&gt;1000,"High",IF(northwind_order_details[[#This Row],[Revenue]]&gt;300,"Medium","Low"))</f>
        <v>Medium</v>
      </c>
      <c r="M11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65" spans="1:13" x14ac:dyDescent="0.25">
      <c r="A1165">
        <v>10705</v>
      </c>
      <c r="B1165">
        <v>31</v>
      </c>
      <c r="C1165" s="6">
        <v>12.5</v>
      </c>
      <c r="D1165">
        <v>20</v>
      </c>
      <c r="E1165" s="6" t="s">
        <v>6</v>
      </c>
      <c r="F1165" t="str">
        <f>_xlfn.XLOOKUP(northwind_order_details[[#This Row],[order_id]],northwind_orders[order_id],northwind_orders[ship_country])</f>
        <v>Venezuela</v>
      </c>
      <c r="G1165">
        <f>INDEX(northwind_orders[],MATCH(northwind_order_details[[#This Row],[order_id]], northwind_orders[order_id], 0), MATCH("employee_id", northwind_orders[#Headers], 0))</f>
        <v>9</v>
      </c>
      <c r="H1165">
        <f>northwind_order_details[[#This Row],[unit_price]]*northwind_order_details[[#This Row],[quantity]]</f>
        <v>250</v>
      </c>
      <c r="I1165" s="1">
        <f>northwind_order_details[[#This Row],[purchase amount]]*northwind_order_details[[#This Row],[discount]]</f>
        <v>0</v>
      </c>
      <c r="J1165" s="1">
        <f>northwind_order_details[[#This Row],[purchase amount]]-northwind_order_details[[#This Row],[discount amount]]</f>
        <v>250</v>
      </c>
      <c r="K1165" s="6" t="str">
        <f>IF(northwind_order_details[[#This Row],[discount amount]]&gt;0,"Yes","No")</f>
        <v>No</v>
      </c>
      <c r="L1165" s="1" t="str">
        <f>IF(northwind_order_details[[#This Row],[Revenue]]&gt;1000,"High",IF(northwind_order_details[[#This Row],[Revenue]]&gt;300,"Medium","Low"))</f>
        <v>Low</v>
      </c>
      <c r="M11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66" spans="1:13" x14ac:dyDescent="0.25">
      <c r="A1166">
        <v>10705</v>
      </c>
      <c r="B1166">
        <v>32</v>
      </c>
      <c r="C1166" s="6" t="s">
        <v>18</v>
      </c>
      <c r="D1166">
        <v>4</v>
      </c>
      <c r="E1166" s="6" t="s">
        <v>6</v>
      </c>
      <c r="F1166" t="str">
        <f>_xlfn.XLOOKUP(northwind_order_details[[#This Row],[order_id]],northwind_orders[order_id],northwind_orders[ship_country])</f>
        <v>Venezuela</v>
      </c>
      <c r="G1166">
        <f>INDEX(northwind_orders[],MATCH(northwind_order_details[[#This Row],[order_id]], northwind_orders[order_id], 0), MATCH("employee_id", northwind_orders[#Headers], 0))</f>
        <v>9</v>
      </c>
      <c r="H1166">
        <f>northwind_order_details[[#This Row],[unit_price]]*northwind_order_details[[#This Row],[quantity]]</f>
        <v>128</v>
      </c>
      <c r="I1166" s="1">
        <f>northwind_order_details[[#This Row],[purchase amount]]*northwind_order_details[[#This Row],[discount]]</f>
        <v>0</v>
      </c>
      <c r="J1166" s="1">
        <f>northwind_order_details[[#This Row],[purchase amount]]-northwind_order_details[[#This Row],[discount amount]]</f>
        <v>128</v>
      </c>
      <c r="K1166" s="6" t="str">
        <f>IF(northwind_order_details[[#This Row],[discount amount]]&gt;0,"Yes","No")</f>
        <v>No</v>
      </c>
      <c r="L1166" s="1" t="str">
        <f>IF(northwind_order_details[[#This Row],[Revenue]]&gt;1000,"High",IF(northwind_order_details[[#This Row],[Revenue]]&gt;300,"Medium","Low"))</f>
        <v>Low</v>
      </c>
      <c r="M11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7" spans="1:13" x14ac:dyDescent="0.25">
      <c r="A1167">
        <v>10706</v>
      </c>
      <c r="B1167">
        <v>16</v>
      </c>
      <c r="C1167" s="6">
        <v>17.45</v>
      </c>
      <c r="D1167">
        <v>20</v>
      </c>
      <c r="E1167" s="6" t="s">
        <v>6</v>
      </c>
      <c r="F1167" t="str">
        <f>_xlfn.XLOOKUP(northwind_order_details[[#This Row],[order_id]],northwind_orders[order_id],northwind_orders[ship_country])</f>
        <v>USA</v>
      </c>
      <c r="G1167">
        <f>INDEX(northwind_orders[],MATCH(northwind_order_details[[#This Row],[order_id]], northwind_orders[order_id], 0), MATCH("employee_id", northwind_orders[#Headers], 0))</f>
        <v>8</v>
      </c>
      <c r="H1167">
        <f>northwind_order_details[[#This Row],[unit_price]]*northwind_order_details[[#This Row],[quantity]]</f>
        <v>349</v>
      </c>
      <c r="I1167" s="1">
        <f>northwind_order_details[[#This Row],[purchase amount]]*northwind_order_details[[#This Row],[discount]]</f>
        <v>0</v>
      </c>
      <c r="J1167" s="1">
        <f>northwind_order_details[[#This Row],[purchase amount]]-northwind_order_details[[#This Row],[discount amount]]</f>
        <v>349</v>
      </c>
      <c r="K1167" s="6" t="str">
        <f>IF(northwind_order_details[[#This Row],[discount amount]]&gt;0,"Yes","No")</f>
        <v>No</v>
      </c>
      <c r="L1167" s="1" t="str">
        <f>IF(northwind_order_details[[#This Row],[Revenue]]&gt;1000,"High",IF(northwind_order_details[[#This Row],[Revenue]]&gt;300,"Medium","Low"))</f>
        <v>Medium</v>
      </c>
      <c r="M11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68" spans="1:13" x14ac:dyDescent="0.25">
      <c r="A1168">
        <v>10706</v>
      </c>
      <c r="B1168">
        <v>43</v>
      </c>
      <c r="C1168" s="6" t="s">
        <v>22</v>
      </c>
      <c r="D1168">
        <v>24</v>
      </c>
      <c r="E1168" s="6" t="s">
        <v>6</v>
      </c>
      <c r="F1168" t="str">
        <f>_xlfn.XLOOKUP(northwind_order_details[[#This Row],[order_id]],northwind_orders[order_id],northwind_orders[ship_country])</f>
        <v>USA</v>
      </c>
      <c r="G1168">
        <f>INDEX(northwind_orders[],MATCH(northwind_order_details[[#This Row],[order_id]], northwind_orders[order_id], 0), MATCH("employee_id", northwind_orders[#Headers], 0))</f>
        <v>8</v>
      </c>
      <c r="H1168">
        <f>northwind_order_details[[#This Row],[unit_price]]*northwind_order_details[[#This Row],[quantity]]</f>
        <v>1104</v>
      </c>
      <c r="I1168" s="1">
        <f>northwind_order_details[[#This Row],[purchase amount]]*northwind_order_details[[#This Row],[discount]]</f>
        <v>0</v>
      </c>
      <c r="J1168" s="1">
        <f>northwind_order_details[[#This Row],[purchase amount]]-northwind_order_details[[#This Row],[discount amount]]</f>
        <v>1104</v>
      </c>
      <c r="K1168" s="6" t="str">
        <f>IF(northwind_order_details[[#This Row],[discount amount]]&gt;0,"Yes","No")</f>
        <v>No</v>
      </c>
      <c r="L1168" s="1" t="str">
        <f>IF(northwind_order_details[[#This Row],[Revenue]]&gt;1000,"High",IF(northwind_order_details[[#This Row],[Revenue]]&gt;300,"Medium","Low"))</f>
        <v>High</v>
      </c>
      <c r="M11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69" spans="1:13" x14ac:dyDescent="0.25">
      <c r="A1169">
        <v>10706</v>
      </c>
      <c r="B1169">
        <v>59</v>
      </c>
      <c r="C1169" s="6" t="s">
        <v>33</v>
      </c>
      <c r="D1169">
        <v>8</v>
      </c>
      <c r="E1169" s="6" t="s">
        <v>6</v>
      </c>
      <c r="F1169" t="str">
        <f>_xlfn.XLOOKUP(northwind_order_details[[#This Row],[order_id]],northwind_orders[order_id],northwind_orders[ship_country])</f>
        <v>USA</v>
      </c>
      <c r="G1169">
        <f>INDEX(northwind_orders[],MATCH(northwind_order_details[[#This Row],[order_id]], northwind_orders[order_id], 0), MATCH("employee_id", northwind_orders[#Headers], 0))</f>
        <v>8</v>
      </c>
      <c r="H1169">
        <f>northwind_order_details[[#This Row],[unit_price]]*northwind_order_details[[#This Row],[quantity]]</f>
        <v>440</v>
      </c>
      <c r="I1169" s="1">
        <f>northwind_order_details[[#This Row],[purchase amount]]*northwind_order_details[[#This Row],[discount]]</f>
        <v>0</v>
      </c>
      <c r="J1169" s="1">
        <f>northwind_order_details[[#This Row],[purchase amount]]-northwind_order_details[[#This Row],[discount amount]]</f>
        <v>440</v>
      </c>
      <c r="K1169" s="6" t="str">
        <f>IF(northwind_order_details[[#This Row],[discount amount]]&gt;0,"Yes","No")</f>
        <v>No</v>
      </c>
      <c r="L1169" s="1" t="str">
        <f>IF(northwind_order_details[[#This Row],[Revenue]]&gt;1000,"High",IF(northwind_order_details[[#This Row],[Revenue]]&gt;300,"Medium","Low"))</f>
        <v>Medium</v>
      </c>
      <c r="M11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0" spans="1:13" x14ac:dyDescent="0.25">
      <c r="A1170">
        <v>10707</v>
      </c>
      <c r="B1170">
        <v>55</v>
      </c>
      <c r="C1170" s="6" t="s">
        <v>14</v>
      </c>
      <c r="D1170">
        <v>21</v>
      </c>
      <c r="E1170" s="6" t="s">
        <v>6</v>
      </c>
      <c r="F1170" t="str">
        <f>_xlfn.XLOOKUP(northwind_order_details[[#This Row],[order_id]],northwind_orders[order_id],northwind_orders[ship_country])</f>
        <v>UK</v>
      </c>
      <c r="G1170">
        <f>INDEX(northwind_orders[],MATCH(northwind_order_details[[#This Row],[order_id]], northwind_orders[order_id], 0), MATCH("employee_id", northwind_orders[#Headers], 0))</f>
        <v>4</v>
      </c>
      <c r="H1170">
        <f>northwind_order_details[[#This Row],[unit_price]]*northwind_order_details[[#This Row],[quantity]]</f>
        <v>504</v>
      </c>
      <c r="I1170" s="1">
        <f>northwind_order_details[[#This Row],[purchase amount]]*northwind_order_details[[#This Row],[discount]]</f>
        <v>0</v>
      </c>
      <c r="J1170" s="1">
        <f>northwind_order_details[[#This Row],[purchase amount]]-northwind_order_details[[#This Row],[discount amount]]</f>
        <v>504</v>
      </c>
      <c r="K1170" s="6" t="str">
        <f>IF(northwind_order_details[[#This Row],[discount amount]]&gt;0,"Yes","No")</f>
        <v>No</v>
      </c>
      <c r="L1170" s="1" t="str">
        <f>IF(northwind_order_details[[#This Row],[Revenue]]&gt;1000,"High",IF(northwind_order_details[[#This Row],[Revenue]]&gt;300,"Medium","Low"))</f>
        <v>Medium</v>
      </c>
      <c r="M11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1" spans="1:13" x14ac:dyDescent="0.25">
      <c r="A1171">
        <v>10707</v>
      </c>
      <c r="B1171">
        <v>57</v>
      </c>
      <c r="C1171" s="6">
        <v>19.5</v>
      </c>
      <c r="D1171">
        <v>40</v>
      </c>
      <c r="E1171" s="6" t="s">
        <v>6</v>
      </c>
      <c r="F1171" t="str">
        <f>_xlfn.XLOOKUP(northwind_order_details[[#This Row],[order_id]],northwind_orders[order_id],northwind_orders[ship_country])</f>
        <v>UK</v>
      </c>
      <c r="G1171">
        <f>INDEX(northwind_orders[],MATCH(northwind_order_details[[#This Row],[order_id]], northwind_orders[order_id], 0), MATCH("employee_id", northwind_orders[#Headers], 0))</f>
        <v>4</v>
      </c>
      <c r="H1171">
        <f>northwind_order_details[[#This Row],[unit_price]]*northwind_order_details[[#This Row],[quantity]]</f>
        <v>780</v>
      </c>
      <c r="I1171" s="1">
        <f>northwind_order_details[[#This Row],[purchase amount]]*northwind_order_details[[#This Row],[discount]]</f>
        <v>0</v>
      </c>
      <c r="J1171" s="1">
        <f>northwind_order_details[[#This Row],[purchase amount]]-northwind_order_details[[#This Row],[discount amount]]</f>
        <v>780</v>
      </c>
      <c r="K1171" s="6" t="str">
        <f>IF(northwind_order_details[[#This Row],[discount amount]]&gt;0,"Yes","No")</f>
        <v>No</v>
      </c>
      <c r="L1171" s="1" t="str">
        <f>IF(northwind_order_details[[#This Row],[Revenue]]&gt;1000,"High",IF(northwind_order_details[[#This Row],[Revenue]]&gt;300,"Medium","Low"))</f>
        <v>Medium</v>
      </c>
      <c r="M117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72" spans="1:13" x14ac:dyDescent="0.25">
      <c r="A1172">
        <v>10707</v>
      </c>
      <c r="B1172">
        <v>70</v>
      </c>
      <c r="C1172" s="6" t="s">
        <v>21</v>
      </c>
      <c r="D1172">
        <v>28</v>
      </c>
      <c r="E1172" s="6">
        <v>0.15</v>
      </c>
      <c r="F1172" t="str">
        <f>_xlfn.XLOOKUP(northwind_order_details[[#This Row],[order_id]],northwind_orders[order_id],northwind_orders[ship_country])</f>
        <v>UK</v>
      </c>
      <c r="G1172">
        <f>INDEX(northwind_orders[],MATCH(northwind_order_details[[#This Row],[order_id]], northwind_orders[order_id], 0), MATCH("employee_id", northwind_orders[#Headers], 0))</f>
        <v>4</v>
      </c>
      <c r="H1172">
        <f>northwind_order_details[[#This Row],[unit_price]]*northwind_order_details[[#This Row],[quantity]]</f>
        <v>420</v>
      </c>
      <c r="I1172" s="1">
        <f>northwind_order_details[[#This Row],[purchase amount]]*northwind_order_details[[#This Row],[discount]]</f>
        <v>63</v>
      </c>
      <c r="J1172" s="1">
        <f>northwind_order_details[[#This Row],[purchase amount]]-northwind_order_details[[#This Row],[discount amount]]</f>
        <v>357</v>
      </c>
      <c r="K1172" s="6" t="str">
        <f>IF(northwind_order_details[[#This Row],[discount amount]]&gt;0,"Yes","No")</f>
        <v>Yes</v>
      </c>
      <c r="L1172" s="1" t="str">
        <f>IF(northwind_order_details[[#This Row],[Revenue]]&gt;1000,"High",IF(northwind_order_details[[#This Row],[Revenue]]&gt;300,"Medium","Low"))</f>
        <v>Medium</v>
      </c>
      <c r="M11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3" spans="1:13" x14ac:dyDescent="0.25">
      <c r="A1173">
        <v>10708</v>
      </c>
      <c r="B1173">
        <v>5</v>
      </c>
      <c r="C1173" s="6">
        <v>21.35</v>
      </c>
      <c r="D1173">
        <v>4</v>
      </c>
      <c r="E1173" s="6" t="s">
        <v>6</v>
      </c>
      <c r="F1173" t="str">
        <f>_xlfn.XLOOKUP(northwind_order_details[[#This Row],[order_id]],northwind_orders[order_id],northwind_orders[ship_country])</f>
        <v>USA</v>
      </c>
      <c r="G1173">
        <f>INDEX(northwind_orders[],MATCH(northwind_order_details[[#This Row],[order_id]], northwind_orders[order_id], 0), MATCH("employee_id", northwind_orders[#Headers], 0))</f>
        <v>6</v>
      </c>
      <c r="H1173">
        <f>northwind_order_details[[#This Row],[unit_price]]*northwind_order_details[[#This Row],[quantity]]</f>
        <v>85.4</v>
      </c>
      <c r="I1173" s="1">
        <f>northwind_order_details[[#This Row],[purchase amount]]*northwind_order_details[[#This Row],[discount]]</f>
        <v>0</v>
      </c>
      <c r="J1173" s="1">
        <f>northwind_order_details[[#This Row],[purchase amount]]-northwind_order_details[[#This Row],[discount amount]]</f>
        <v>85.4</v>
      </c>
      <c r="K1173" s="6" t="str">
        <f>IF(northwind_order_details[[#This Row],[discount amount]]&gt;0,"Yes","No")</f>
        <v>No</v>
      </c>
      <c r="L1173" s="1" t="str">
        <f>IF(northwind_order_details[[#This Row],[Revenue]]&gt;1000,"High",IF(northwind_order_details[[#This Row],[Revenue]]&gt;300,"Medium","Low"))</f>
        <v>Low</v>
      </c>
      <c r="M11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74" spans="1:13" x14ac:dyDescent="0.25">
      <c r="A1174">
        <v>10708</v>
      </c>
      <c r="B1174">
        <v>36</v>
      </c>
      <c r="C1174" s="6" t="s">
        <v>20</v>
      </c>
      <c r="D1174">
        <v>5</v>
      </c>
      <c r="E1174" s="6" t="s">
        <v>6</v>
      </c>
      <c r="F1174" t="str">
        <f>_xlfn.XLOOKUP(northwind_order_details[[#This Row],[order_id]],northwind_orders[order_id],northwind_orders[ship_country])</f>
        <v>USA</v>
      </c>
      <c r="G1174">
        <f>INDEX(northwind_orders[],MATCH(northwind_order_details[[#This Row],[order_id]], northwind_orders[order_id], 0), MATCH("employee_id", northwind_orders[#Headers], 0))</f>
        <v>6</v>
      </c>
      <c r="H1174">
        <f>northwind_order_details[[#This Row],[unit_price]]*northwind_order_details[[#This Row],[quantity]]</f>
        <v>95</v>
      </c>
      <c r="I1174" s="1">
        <f>northwind_order_details[[#This Row],[purchase amount]]*northwind_order_details[[#This Row],[discount]]</f>
        <v>0</v>
      </c>
      <c r="J1174" s="1">
        <f>northwind_order_details[[#This Row],[purchase amount]]-northwind_order_details[[#This Row],[discount amount]]</f>
        <v>95</v>
      </c>
      <c r="K1174" s="6" t="str">
        <f>IF(northwind_order_details[[#This Row],[discount amount]]&gt;0,"Yes","No")</f>
        <v>No</v>
      </c>
      <c r="L1174" s="1" t="str">
        <f>IF(northwind_order_details[[#This Row],[Revenue]]&gt;1000,"High",IF(northwind_order_details[[#This Row],[Revenue]]&gt;300,"Medium","Low"))</f>
        <v>Low</v>
      </c>
      <c r="M11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5" spans="1:13" x14ac:dyDescent="0.25">
      <c r="A1175">
        <v>10709</v>
      </c>
      <c r="B1175">
        <v>8</v>
      </c>
      <c r="C1175" s="6" t="s">
        <v>27</v>
      </c>
      <c r="D1175">
        <v>40</v>
      </c>
      <c r="E1175" s="6" t="s">
        <v>6</v>
      </c>
      <c r="F1175" t="str">
        <f>_xlfn.XLOOKUP(northwind_order_details[[#This Row],[order_id]],northwind_orders[order_id],northwind_orders[ship_country])</f>
        <v>Brazil</v>
      </c>
      <c r="G1175">
        <f>INDEX(northwind_orders[],MATCH(northwind_order_details[[#This Row],[order_id]], northwind_orders[order_id], 0), MATCH("employee_id", northwind_orders[#Headers], 0))</f>
        <v>1</v>
      </c>
      <c r="H1175">
        <f>northwind_order_details[[#This Row],[unit_price]]*northwind_order_details[[#This Row],[quantity]]</f>
        <v>1600</v>
      </c>
      <c r="I1175" s="1">
        <f>northwind_order_details[[#This Row],[purchase amount]]*northwind_order_details[[#This Row],[discount]]</f>
        <v>0</v>
      </c>
      <c r="J1175" s="1">
        <f>northwind_order_details[[#This Row],[purchase amount]]-northwind_order_details[[#This Row],[discount amount]]</f>
        <v>1600</v>
      </c>
      <c r="K1175" s="6" t="str">
        <f>IF(northwind_order_details[[#This Row],[discount amount]]&gt;0,"Yes","No")</f>
        <v>No</v>
      </c>
      <c r="L1175" s="1" t="str">
        <f>IF(northwind_order_details[[#This Row],[Revenue]]&gt;1000,"High",IF(northwind_order_details[[#This Row],[Revenue]]&gt;300,"Medium","Low"))</f>
        <v>High</v>
      </c>
      <c r="M11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6" spans="1:13" x14ac:dyDescent="0.25">
      <c r="A1176">
        <v>10709</v>
      </c>
      <c r="B1176">
        <v>51</v>
      </c>
      <c r="C1176" s="6" t="s">
        <v>39</v>
      </c>
      <c r="D1176">
        <v>28</v>
      </c>
      <c r="E1176" s="6" t="s">
        <v>6</v>
      </c>
      <c r="F1176" t="str">
        <f>_xlfn.XLOOKUP(northwind_order_details[[#This Row],[order_id]],northwind_orders[order_id],northwind_orders[ship_country])</f>
        <v>Brazil</v>
      </c>
      <c r="G1176">
        <f>INDEX(northwind_orders[],MATCH(northwind_order_details[[#This Row],[order_id]], northwind_orders[order_id], 0), MATCH("employee_id", northwind_orders[#Headers], 0))</f>
        <v>1</v>
      </c>
      <c r="H1176">
        <f>northwind_order_details[[#This Row],[unit_price]]*northwind_order_details[[#This Row],[quantity]]</f>
        <v>1484</v>
      </c>
      <c r="I1176" s="1">
        <f>northwind_order_details[[#This Row],[purchase amount]]*northwind_order_details[[#This Row],[discount]]</f>
        <v>0</v>
      </c>
      <c r="J1176" s="1">
        <f>northwind_order_details[[#This Row],[purchase amount]]-northwind_order_details[[#This Row],[discount amount]]</f>
        <v>1484</v>
      </c>
      <c r="K1176" s="6" t="str">
        <f>IF(northwind_order_details[[#This Row],[discount amount]]&gt;0,"Yes","No")</f>
        <v>No</v>
      </c>
      <c r="L1176" s="1" t="str">
        <f>IF(northwind_order_details[[#This Row],[Revenue]]&gt;1000,"High",IF(northwind_order_details[[#This Row],[Revenue]]&gt;300,"Medium","Low"))</f>
        <v>High</v>
      </c>
      <c r="M11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7" spans="1:13" x14ac:dyDescent="0.25">
      <c r="A1177">
        <v>10709</v>
      </c>
      <c r="B1177">
        <v>60</v>
      </c>
      <c r="C1177" s="6" t="s">
        <v>28</v>
      </c>
      <c r="D1177">
        <v>10</v>
      </c>
      <c r="E1177" s="6" t="s">
        <v>6</v>
      </c>
      <c r="F1177" t="str">
        <f>_xlfn.XLOOKUP(northwind_order_details[[#This Row],[order_id]],northwind_orders[order_id],northwind_orders[ship_country])</f>
        <v>Brazil</v>
      </c>
      <c r="G1177">
        <f>INDEX(northwind_orders[],MATCH(northwind_order_details[[#This Row],[order_id]], northwind_orders[order_id], 0), MATCH("employee_id", northwind_orders[#Headers], 0))</f>
        <v>1</v>
      </c>
      <c r="H1177">
        <f>northwind_order_details[[#This Row],[unit_price]]*northwind_order_details[[#This Row],[quantity]]</f>
        <v>340</v>
      </c>
      <c r="I1177" s="1">
        <f>northwind_order_details[[#This Row],[purchase amount]]*northwind_order_details[[#This Row],[discount]]</f>
        <v>0</v>
      </c>
      <c r="J1177" s="1">
        <f>northwind_order_details[[#This Row],[purchase amount]]-northwind_order_details[[#This Row],[discount amount]]</f>
        <v>340</v>
      </c>
      <c r="K1177" s="6" t="str">
        <f>IF(northwind_order_details[[#This Row],[discount amount]]&gt;0,"Yes","No")</f>
        <v>No</v>
      </c>
      <c r="L1177" s="1" t="str">
        <f>IF(northwind_order_details[[#This Row],[Revenue]]&gt;1000,"High",IF(northwind_order_details[[#This Row],[Revenue]]&gt;300,"Medium","Low"))</f>
        <v>Medium</v>
      </c>
      <c r="M11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78" spans="1:13" x14ac:dyDescent="0.25">
      <c r="A1178">
        <v>10710</v>
      </c>
      <c r="B1178">
        <v>19</v>
      </c>
      <c r="C1178" s="6">
        <v>9.1999999999999993</v>
      </c>
      <c r="D1178">
        <v>5</v>
      </c>
      <c r="E1178" s="6" t="s">
        <v>6</v>
      </c>
      <c r="F1178" t="str">
        <f>_xlfn.XLOOKUP(northwind_order_details[[#This Row],[order_id]],northwind_orders[order_id],northwind_orders[ship_country])</f>
        <v>Italy</v>
      </c>
      <c r="G1178">
        <f>INDEX(northwind_orders[],MATCH(northwind_order_details[[#This Row],[order_id]], northwind_orders[order_id], 0), MATCH("employee_id", northwind_orders[#Headers], 0))</f>
        <v>1</v>
      </c>
      <c r="H1178">
        <f>northwind_order_details[[#This Row],[unit_price]]*northwind_order_details[[#This Row],[quantity]]</f>
        <v>46</v>
      </c>
      <c r="I1178" s="1">
        <f>northwind_order_details[[#This Row],[purchase amount]]*northwind_order_details[[#This Row],[discount]]</f>
        <v>0</v>
      </c>
      <c r="J1178" s="1">
        <f>northwind_order_details[[#This Row],[purchase amount]]-northwind_order_details[[#This Row],[discount amount]]</f>
        <v>46</v>
      </c>
      <c r="K1178" s="6" t="str">
        <f>IF(northwind_order_details[[#This Row],[discount amount]]&gt;0,"Yes","No")</f>
        <v>No</v>
      </c>
      <c r="L1178" s="1" t="str">
        <f>IF(northwind_order_details[[#This Row],[Revenue]]&gt;1000,"High",IF(northwind_order_details[[#This Row],[Revenue]]&gt;300,"Medium","Low"))</f>
        <v>Low</v>
      </c>
      <c r="M117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79" spans="1:13" x14ac:dyDescent="0.25">
      <c r="A1179">
        <v>10710</v>
      </c>
      <c r="B1179">
        <v>47</v>
      </c>
      <c r="C1179" s="6">
        <v>9.5</v>
      </c>
      <c r="D1179">
        <v>5</v>
      </c>
      <c r="E1179" s="6" t="s">
        <v>6</v>
      </c>
      <c r="F1179" t="str">
        <f>_xlfn.XLOOKUP(northwind_order_details[[#This Row],[order_id]],northwind_orders[order_id],northwind_orders[ship_country])</f>
        <v>Italy</v>
      </c>
      <c r="G1179">
        <f>INDEX(northwind_orders[],MATCH(northwind_order_details[[#This Row],[order_id]], northwind_orders[order_id], 0), MATCH("employee_id", northwind_orders[#Headers], 0))</f>
        <v>1</v>
      </c>
      <c r="H1179">
        <f>northwind_order_details[[#This Row],[unit_price]]*northwind_order_details[[#This Row],[quantity]]</f>
        <v>47.5</v>
      </c>
      <c r="I1179" s="1">
        <f>northwind_order_details[[#This Row],[purchase amount]]*northwind_order_details[[#This Row],[discount]]</f>
        <v>0</v>
      </c>
      <c r="J1179" s="1">
        <f>northwind_order_details[[#This Row],[purchase amount]]-northwind_order_details[[#This Row],[discount amount]]</f>
        <v>47.5</v>
      </c>
      <c r="K1179" s="6" t="str">
        <f>IF(northwind_order_details[[#This Row],[discount amount]]&gt;0,"Yes","No")</f>
        <v>No</v>
      </c>
      <c r="L1179" s="1" t="str">
        <f>IF(northwind_order_details[[#This Row],[Revenue]]&gt;1000,"High",IF(northwind_order_details[[#This Row],[Revenue]]&gt;300,"Medium","Low"))</f>
        <v>Low</v>
      </c>
      <c r="M11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80" spans="1:13" x14ac:dyDescent="0.25">
      <c r="A1180">
        <v>10711</v>
      </c>
      <c r="B1180">
        <v>19</v>
      </c>
      <c r="C1180" s="6">
        <v>9.1999999999999993</v>
      </c>
      <c r="D1180">
        <v>12</v>
      </c>
      <c r="E1180" s="6" t="s">
        <v>6</v>
      </c>
      <c r="F1180" t="str">
        <f>_xlfn.XLOOKUP(northwind_order_details[[#This Row],[order_id]],northwind_orders[order_id],northwind_orders[ship_country])</f>
        <v>USA</v>
      </c>
      <c r="G1180">
        <f>INDEX(northwind_orders[],MATCH(northwind_order_details[[#This Row],[order_id]], northwind_orders[order_id], 0), MATCH("employee_id", northwind_orders[#Headers], 0))</f>
        <v>5</v>
      </c>
      <c r="H1180">
        <f>northwind_order_details[[#This Row],[unit_price]]*northwind_order_details[[#This Row],[quantity]]</f>
        <v>110.39999999999999</v>
      </c>
      <c r="I1180" s="1">
        <f>northwind_order_details[[#This Row],[purchase amount]]*northwind_order_details[[#This Row],[discount]]</f>
        <v>0</v>
      </c>
      <c r="J1180" s="1">
        <f>northwind_order_details[[#This Row],[purchase amount]]-northwind_order_details[[#This Row],[discount amount]]</f>
        <v>110.39999999999999</v>
      </c>
      <c r="K1180" s="6" t="str">
        <f>IF(northwind_order_details[[#This Row],[discount amount]]&gt;0,"Yes","No")</f>
        <v>No</v>
      </c>
      <c r="L1180" s="1" t="str">
        <f>IF(northwind_order_details[[#This Row],[Revenue]]&gt;1000,"High",IF(northwind_order_details[[#This Row],[Revenue]]&gt;300,"Medium","Low"))</f>
        <v>Low</v>
      </c>
      <c r="M118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81" spans="1:13" x14ac:dyDescent="0.25">
      <c r="A1181">
        <v>10711</v>
      </c>
      <c r="B1181">
        <v>41</v>
      </c>
      <c r="C1181" s="6">
        <v>9.65</v>
      </c>
      <c r="D1181">
        <v>42</v>
      </c>
      <c r="E1181" s="6" t="s">
        <v>6</v>
      </c>
      <c r="F1181" t="str">
        <f>_xlfn.XLOOKUP(northwind_order_details[[#This Row],[order_id]],northwind_orders[order_id],northwind_orders[ship_country])</f>
        <v>USA</v>
      </c>
      <c r="G1181">
        <f>INDEX(northwind_orders[],MATCH(northwind_order_details[[#This Row],[order_id]], northwind_orders[order_id], 0), MATCH("employee_id", northwind_orders[#Headers], 0))</f>
        <v>5</v>
      </c>
      <c r="H1181">
        <f>northwind_order_details[[#This Row],[unit_price]]*northwind_order_details[[#This Row],[quantity]]</f>
        <v>405.3</v>
      </c>
      <c r="I1181" s="1">
        <f>northwind_order_details[[#This Row],[purchase amount]]*northwind_order_details[[#This Row],[discount]]</f>
        <v>0</v>
      </c>
      <c r="J1181" s="1">
        <f>northwind_order_details[[#This Row],[purchase amount]]-northwind_order_details[[#This Row],[discount amount]]</f>
        <v>405.3</v>
      </c>
      <c r="K1181" s="6" t="str">
        <f>IF(northwind_order_details[[#This Row],[discount amount]]&gt;0,"Yes","No")</f>
        <v>No</v>
      </c>
      <c r="L1181" s="1" t="str">
        <f>IF(northwind_order_details[[#This Row],[Revenue]]&gt;1000,"High",IF(northwind_order_details[[#This Row],[Revenue]]&gt;300,"Medium","Low"))</f>
        <v>Medium</v>
      </c>
      <c r="M118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82" spans="1:13" x14ac:dyDescent="0.25">
      <c r="A1182">
        <v>10711</v>
      </c>
      <c r="B1182">
        <v>53</v>
      </c>
      <c r="C1182" s="6">
        <v>32.799999999999997</v>
      </c>
      <c r="D1182">
        <v>120</v>
      </c>
      <c r="E1182" s="6" t="s">
        <v>6</v>
      </c>
      <c r="F1182" t="str">
        <f>_xlfn.XLOOKUP(northwind_order_details[[#This Row],[order_id]],northwind_orders[order_id],northwind_orders[ship_country])</f>
        <v>USA</v>
      </c>
      <c r="G1182">
        <f>INDEX(northwind_orders[],MATCH(northwind_order_details[[#This Row],[order_id]], northwind_orders[order_id], 0), MATCH("employee_id", northwind_orders[#Headers], 0))</f>
        <v>5</v>
      </c>
      <c r="H1182">
        <f>northwind_order_details[[#This Row],[unit_price]]*northwind_order_details[[#This Row],[quantity]]</f>
        <v>3935.9999999999995</v>
      </c>
      <c r="I1182" s="1">
        <f>northwind_order_details[[#This Row],[purchase amount]]*northwind_order_details[[#This Row],[discount]]</f>
        <v>0</v>
      </c>
      <c r="J1182" s="1">
        <f>northwind_order_details[[#This Row],[purchase amount]]-northwind_order_details[[#This Row],[discount amount]]</f>
        <v>3935.9999999999995</v>
      </c>
      <c r="K1182" s="6" t="str">
        <f>IF(northwind_order_details[[#This Row],[discount amount]]&gt;0,"Yes","No")</f>
        <v>No</v>
      </c>
      <c r="L1182" s="1" t="str">
        <f>IF(northwind_order_details[[#This Row],[Revenue]]&gt;1000,"High",IF(northwind_order_details[[#This Row],[Revenue]]&gt;300,"Medium","Low"))</f>
        <v>High</v>
      </c>
      <c r="M11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83" spans="1:13" x14ac:dyDescent="0.25">
      <c r="A1183">
        <v>10713</v>
      </c>
      <c r="B1183">
        <v>10</v>
      </c>
      <c r="C1183" s="6" t="s">
        <v>34</v>
      </c>
      <c r="D1183">
        <v>18</v>
      </c>
      <c r="E1183" s="6" t="s">
        <v>6</v>
      </c>
      <c r="F1183" t="str">
        <f>_xlfn.XLOOKUP(northwind_order_details[[#This Row],[order_id]],northwind_orders[order_id],northwind_orders[ship_country])</f>
        <v>USA</v>
      </c>
      <c r="G1183">
        <f>INDEX(northwind_orders[],MATCH(northwind_order_details[[#This Row],[order_id]], northwind_orders[order_id], 0), MATCH("employee_id", northwind_orders[#Headers], 0))</f>
        <v>1</v>
      </c>
      <c r="H1183">
        <f>northwind_order_details[[#This Row],[unit_price]]*northwind_order_details[[#This Row],[quantity]]</f>
        <v>558</v>
      </c>
      <c r="I1183" s="1">
        <f>northwind_order_details[[#This Row],[purchase amount]]*northwind_order_details[[#This Row],[discount]]</f>
        <v>0</v>
      </c>
      <c r="J1183" s="1">
        <f>northwind_order_details[[#This Row],[purchase amount]]-northwind_order_details[[#This Row],[discount amount]]</f>
        <v>558</v>
      </c>
      <c r="K1183" s="6" t="str">
        <f>IF(northwind_order_details[[#This Row],[discount amount]]&gt;0,"Yes","No")</f>
        <v>No</v>
      </c>
      <c r="L1183" s="1" t="str">
        <f>IF(northwind_order_details[[#This Row],[Revenue]]&gt;1000,"High",IF(northwind_order_details[[#This Row],[Revenue]]&gt;300,"Medium","Low"))</f>
        <v>Medium</v>
      </c>
      <c r="M11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84" spans="1:13" x14ac:dyDescent="0.25">
      <c r="A1184">
        <v>10713</v>
      </c>
      <c r="B1184">
        <v>26</v>
      </c>
      <c r="C1184" s="6">
        <v>31.23</v>
      </c>
      <c r="D1184">
        <v>30</v>
      </c>
      <c r="E1184" s="6" t="s">
        <v>6</v>
      </c>
      <c r="F1184" t="str">
        <f>_xlfn.XLOOKUP(northwind_order_details[[#This Row],[order_id]],northwind_orders[order_id],northwind_orders[ship_country])</f>
        <v>USA</v>
      </c>
      <c r="G1184">
        <f>INDEX(northwind_orders[],MATCH(northwind_order_details[[#This Row],[order_id]], northwind_orders[order_id], 0), MATCH("employee_id", northwind_orders[#Headers], 0))</f>
        <v>1</v>
      </c>
      <c r="H1184">
        <f>northwind_order_details[[#This Row],[unit_price]]*northwind_order_details[[#This Row],[quantity]]</f>
        <v>936.9</v>
      </c>
      <c r="I1184" s="1">
        <f>northwind_order_details[[#This Row],[purchase amount]]*northwind_order_details[[#This Row],[discount]]</f>
        <v>0</v>
      </c>
      <c r="J1184" s="1">
        <f>northwind_order_details[[#This Row],[purchase amount]]-northwind_order_details[[#This Row],[discount amount]]</f>
        <v>936.9</v>
      </c>
      <c r="K1184" s="6" t="str">
        <f>IF(northwind_order_details[[#This Row],[discount amount]]&gt;0,"Yes","No")</f>
        <v>No</v>
      </c>
      <c r="L1184" s="1" t="str">
        <f>IF(northwind_order_details[[#This Row],[Revenue]]&gt;1000,"High",IF(northwind_order_details[[#This Row],[Revenue]]&gt;300,"Medium","Low"))</f>
        <v>Medium</v>
      </c>
      <c r="M11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85" spans="1:13" x14ac:dyDescent="0.25">
      <c r="A1185">
        <v>10713</v>
      </c>
      <c r="B1185">
        <v>45</v>
      </c>
      <c r="C1185" s="6">
        <v>9.5</v>
      </c>
      <c r="D1185">
        <v>110</v>
      </c>
      <c r="E1185" s="6" t="s">
        <v>6</v>
      </c>
      <c r="F1185" t="str">
        <f>_xlfn.XLOOKUP(northwind_order_details[[#This Row],[order_id]],northwind_orders[order_id],northwind_orders[ship_country])</f>
        <v>USA</v>
      </c>
      <c r="G1185">
        <f>INDEX(northwind_orders[],MATCH(northwind_order_details[[#This Row],[order_id]], northwind_orders[order_id], 0), MATCH("employee_id", northwind_orders[#Headers], 0))</f>
        <v>1</v>
      </c>
      <c r="H1185">
        <f>northwind_order_details[[#This Row],[unit_price]]*northwind_order_details[[#This Row],[quantity]]</f>
        <v>1045</v>
      </c>
      <c r="I1185" s="1">
        <f>northwind_order_details[[#This Row],[purchase amount]]*northwind_order_details[[#This Row],[discount]]</f>
        <v>0</v>
      </c>
      <c r="J1185" s="1">
        <f>northwind_order_details[[#This Row],[purchase amount]]-northwind_order_details[[#This Row],[discount amount]]</f>
        <v>1045</v>
      </c>
      <c r="K1185" s="6" t="str">
        <f>IF(northwind_order_details[[#This Row],[discount amount]]&gt;0,"Yes","No")</f>
        <v>No</v>
      </c>
      <c r="L1185" s="1" t="str">
        <f>IF(northwind_order_details[[#This Row],[Revenue]]&gt;1000,"High",IF(northwind_order_details[[#This Row],[Revenue]]&gt;300,"Medium","Low"))</f>
        <v>High</v>
      </c>
      <c r="M118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86" spans="1:13" x14ac:dyDescent="0.25">
      <c r="A1186">
        <v>10713</v>
      </c>
      <c r="B1186">
        <v>46</v>
      </c>
      <c r="C1186" s="6" t="s">
        <v>13</v>
      </c>
      <c r="D1186">
        <v>24</v>
      </c>
      <c r="E1186" s="6" t="s">
        <v>6</v>
      </c>
      <c r="F1186" t="str">
        <f>_xlfn.XLOOKUP(northwind_order_details[[#This Row],[order_id]],northwind_orders[order_id],northwind_orders[ship_country])</f>
        <v>USA</v>
      </c>
      <c r="G1186">
        <f>INDEX(northwind_orders[],MATCH(northwind_order_details[[#This Row],[order_id]], northwind_orders[order_id], 0), MATCH("employee_id", northwind_orders[#Headers], 0))</f>
        <v>1</v>
      </c>
      <c r="H1186">
        <f>northwind_order_details[[#This Row],[unit_price]]*northwind_order_details[[#This Row],[quantity]]</f>
        <v>288</v>
      </c>
      <c r="I1186" s="1">
        <f>northwind_order_details[[#This Row],[purchase amount]]*northwind_order_details[[#This Row],[discount]]</f>
        <v>0</v>
      </c>
      <c r="J1186" s="1">
        <f>northwind_order_details[[#This Row],[purchase amount]]-northwind_order_details[[#This Row],[discount amount]]</f>
        <v>288</v>
      </c>
      <c r="K1186" s="6" t="str">
        <f>IF(northwind_order_details[[#This Row],[discount amount]]&gt;0,"Yes","No")</f>
        <v>No</v>
      </c>
      <c r="L1186" s="1" t="str">
        <f>IF(northwind_order_details[[#This Row],[Revenue]]&gt;1000,"High",IF(northwind_order_details[[#This Row],[Revenue]]&gt;300,"Medium","Low"))</f>
        <v>Low</v>
      </c>
      <c r="M11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87" spans="1:13" x14ac:dyDescent="0.25">
      <c r="A1187">
        <v>10714</v>
      </c>
      <c r="B1187">
        <v>2</v>
      </c>
      <c r="C1187" s="6" t="s">
        <v>20</v>
      </c>
      <c r="D1187">
        <v>30</v>
      </c>
      <c r="E1187" s="6">
        <v>0.25</v>
      </c>
      <c r="F1187" t="str">
        <f>_xlfn.XLOOKUP(northwind_order_details[[#This Row],[order_id]],northwind_orders[order_id],northwind_orders[ship_country])</f>
        <v>USA</v>
      </c>
      <c r="G1187">
        <f>INDEX(northwind_orders[],MATCH(northwind_order_details[[#This Row],[order_id]], northwind_orders[order_id], 0), MATCH("employee_id", northwind_orders[#Headers], 0))</f>
        <v>5</v>
      </c>
      <c r="H1187">
        <f>northwind_order_details[[#This Row],[unit_price]]*northwind_order_details[[#This Row],[quantity]]</f>
        <v>570</v>
      </c>
      <c r="I1187" s="1">
        <f>northwind_order_details[[#This Row],[purchase amount]]*northwind_order_details[[#This Row],[discount]]</f>
        <v>142.5</v>
      </c>
      <c r="J1187" s="1">
        <f>northwind_order_details[[#This Row],[purchase amount]]-northwind_order_details[[#This Row],[discount amount]]</f>
        <v>427.5</v>
      </c>
      <c r="K1187" s="6" t="str">
        <f>IF(northwind_order_details[[#This Row],[discount amount]]&gt;0,"Yes","No")</f>
        <v>Yes</v>
      </c>
      <c r="L1187" s="1" t="str">
        <f>IF(northwind_order_details[[#This Row],[Revenue]]&gt;1000,"High",IF(northwind_order_details[[#This Row],[Revenue]]&gt;300,"Medium","Low"))</f>
        <v>Medium</v>
      </c>
      <c r="M11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88" spans="1:13" x14ac:dyDescent="0.25">
      <c r="A1188">
        <v>10714</v>
      </c>
      <c r="B1188">
        <v>17</v>
      </c>
      <c r="C1188" s="6" t="s">
        <v>35</v>
      </c>
      <c r="D1188">
        <v>27</v>
      </c>
      <c r="E1188" s="6">
        <v>0.25</v>
      </c>
      <c r="F1188" t="str">
        <f>_xlfn.XLOOKUP(northwind_order_details[[#This Row],[order_id]],northwind_orders[order_id],northwind_orders[ship_country])</f>
        <v>USA</v>
      </c>
      <c r="G1188">
        <f>INDEX(northwind_orders[],MATCH(northwind_order_details[[#This Row],[order_id]], northwind_orders[order_id], 0), MATCH("employee_id", northwind_orders[#Headers], 0))</f>
        <v>5</v>
      </c>
      <c r="H1188">
        <f>northwind_order_details[[#This Row],[unit_price]]*northwind_order_details[[#This Row],[quantity]]</f>
        <v>1053</v>
      </c>
      <c r="I1188" s="1">
        <f>northwind_order_details[[#This Row],[purchase amount]]*northwind_order_details[[#This Row],[discount]]</f>
        <v>263.25</v>
      </c>
      <c r="J1188" s="1">
        <f>northwind_order_details[[#This Row],[purchase amount]]-northwind_order_details[[#This Row],[discount amount]]</f>
        <v>789.75</v>
      </c>
      <c r="K1188" s="6" t="str">
        <f>IF(northwind_order_details[[#This Row],[discount amount]]&gt;0,"Yes","No")</f>
        <v>Yes</v>
      </c>
      <c r="L1188" s="1" t="str">
        <f>IF(northwind_order_details[[#This Row],[Revenue]]&gt;1000,"High",IF(northwind_order_details[[#This Row],[Revenue]]&gt;300,"Medium","Low"))</f>
        <v>Medium</v>
      </c>
      <c r="M11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89" spans="1:13" x14ac:dyDescent="0.25">
      <c r="A1189">
        <v>10714</v>
      </c>
      <c r="B1189">
        <v>47</v>
      </c>
      <c r="C1189" s="6">
        <v>9.5</v>
      </c>
      <c r="D1189">
        <v>50</v>
      </c>
      <c r="E1189" s="6">
        <v>0.25</v>
      </c>
      <c r="F1189" t="str">
        <f>_xlfn.XLOOKUP(northwind_order_details[[#This Row],[order_id]],northwind_orders[order_id],northwind_orders[ship_country])</f>
        <v>USA</v>
      </c>
      <c r="G1189">
        <f>INDEX(northwind_orders[],MATCH(northwind_order_details[[#This Row],[order_id]], northwind_orders[order_id], 0), MATCH("employee_id", northwind_orders[#Headers], 0))</f>
        <v>5</v>
      </c>
      <c r="H1189">
        <f>northwind_order_details[[#This Row],[unit_price]]*northwind_order_details[[#This Row],[quantity]]</f>
        <v>475</v>
      </c>
      <c r="I1189" s="1">
        <f>northwind_order_details[[#This Row],[purchase amount]]*northwind_order_details[[#This Row],[discount]]</f>
        <v>118.75</v>
      </c>
      <c r="J1189" s="1">
        <f>northwind_order_details[[#This Row],[purchase amount]]-northwind_order_details[[#This Row],[discount amount]]</f>
        <v>356.25</v>
      </c>
      <c r="K1189" s="6" t="str">
        <f>IF(northwind_order_details[[#This Row],[discount amount]]&gt;0,"Yes","No")</f>
        <v>Yes</v>
      </c>
      <c r="L1189" s="1" t="str">
        <f>IF(northwind_order_details[[#This Row],[Revenue]]&gt;1000,"High",IF(northwind_order_details[[#This Row],[Revenue]]&gt;300,"Medium","Low"))</f>
        <v>Medium</v>
      </c>
      <c r="M11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90" spans="1:13" x14ac:dyDescent="0.25">
      <c r="A1190">
        <v>10714</v>
      </c>
      <c r="B1190">
        <v>56</v>
      </c>
      <c r="C1190" s="6" t="s">
        <v>30</v>
      </c>
      <c r="D1190">
        <v>18</v>
      </c>
      <c r="E1190" s="6">
        <v>0.25</v>
      </c>
      <c r="F1190" t="str">
        <f>_xlfn.XLOOKUP(northwind_order_details[[#This Row],[order_id]],northwind_orders[order_id],northwind_orders[ship_country])</f>
        <v>USA</v>
      </c>
      <c r="G1190">
        <f>INDEX(northwind_orders[],MATCH(northwind_order_details[[#This Row],[order_id]], northwind_orders[order_id], 0), MATCH("employee_id", northwind_orders[#Headers], 0))</f>
        <v>5</v>
      </c>
      <c r="H1190">
        <f>northwind_order_details[[#This Row],[unit_price]]*northwind_order_details[[#This Row],[quantity]]</f>
        <v>684</v>
      </c>
      <c r="I1190" s="1">
        <f>northwind_order_details[[#This Row],[purchase amount]]*northwind_order_details[[#This Row],[discount]]</f>
        <v>171</v>
      </c>
      <c r="J1190" s="1">
        <f>northwind_order_details[[#This Row],[purchase amount]]-northwind_order_details[[#This Row],[discount amount]]</f>
        <v>513</v>
      </c>
      <c r="K1190" s="6" t="str">
        <f>IF(northwind_order_details[[#This Row],[discount amount]]&gt;0,"Yes","No")</f>
        <v>Yes</v>
      </c>
      <c r="L1190" s="1" t="str">
        <f>IF(northwind_order_details[[#This Row],[Revenue]]&gt;1000,"High",IF(northwind_order_details[[#This Row],[Revenue]]&gt;300,"Medium","Low"))</f>
        <v>Medium</v>
      </c>
      <c r="M11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91" spans="1:13" x14ac:dyDescent="0.25">
      <c r="A1191">
        <v>10714</v>
      </c>
      <c r="B1191">
        <v>58</v>
      </c>
      <c r="C1191" s="6">
        <v>13.25</v>
      </c>
      <c r="D1191">
        <v>12</v>
      </c>
      <c r="E1191" s="6">
        <v>0.25</v>
      </c>
      <c r="F1191" t="str">
        <f>_xlfn.XLOOKUP(northwind_order_details[[#This Row],[order_id]],northwind_orders[order_id],northwind_orders[ship_country])</f>
        <v>USA</v>
      </c>
      <c r="G1191">
        <f>INDEX(northwind_orders[],MATCH(northwind_order_details[[#This Row],[order_id]], northwind_orders[order_id], 0), MATCH("employee_id", northwind_orders[#Headers], 0))</f>
        <v>5</v>
      </c>
      <c r="H1191">
        <f>northwind_order_details[[#This Row],[unit_price]]*northwind_order_details[[#This Row],[quantity]]</f>
        <v>159</v>
      </c>
      <c r="I1191" s="1">
        <f>northwind_order_details[[#This Row],[purchase amount]]*northwind_order_details[[#This Row],[discount]]</f>
        <v>39.75</v>
      </c>
      <c r="J1191" s="1">
        <f>northwind_order_details[[#This Row],[purchase amount]]-northwind_order_details[[#This Row],[discount amount]]</f>
        <v>119.25</v>
      </c>
      <c r="K1191" s="6" t="str">
        <f>IF(northwind_order_details[[#This Row],[discount amount]]&gt;0,"Yes","No")</f>
        <v>Yes</v>
      </c>
      <c r="L1191" s="1" t="str">
        <f>IF(northwind_order_details[[#This Row],[Revenue]]&gt;1000,"High",IF(northwind_order_details[[#This Row],[Revenue]]&gt;300,"Medium","Low"))</f>
        <v>Low</v>
      </c>
      <c r="M11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92" spans="1:13" x14ac:dyDescent="0.25">
      <c r="A1192">
        <v>10715</v>
      </c>
      <c r="B1192">
        <v>10</v>
      </c>
      <c r="C1192" s="6" t="s">
        <v>34</v>
      </c>
      <c r="D1192">
        <v>21</v>
      </c>
      <c r="E1192" s="6" t="s">
        <v>6</v>
      </c>
      <c r="F1192" t="str">
        <f>_xlfn.XLOOKUP(northwind_order_details[[#This Row],[order_id]],northwind_orders[order_id],northwind_orders[ship_country])</f>
        <v>France</v>
      </c>
      <c r="G1192">
        <f>INDEX(northwind_orders[],MATCH(northwind_order_details[[#This Row],[order_id]], northwind_orders[order_id], 0), MATCH("employee_id", northwind_orders[#Headers], 0))</f>
        <v>3</v>
      </c>
      <c r="H1192">
        <f>northwind_order_details[[#This Row],[unit_price]]*northwind_order_details[[#This Row],[quantity]]</f>
        <v>651</v>
      </c>
      <c r="I1192" s="1">
        <f>northwind_order_details[[#This Row],[purchase amount]]*northwind_order_details[[#This Row],[discount]]</f>
        <v>0</v>
      </c>
      <c r="J1192" s="1">
        <f>northwind_order_details[[#This Row],[purchase amount]]-northwind_order_details[[#This Row],[discount amount]]</f>
        <v>651</v>
      </c>
      <c r="K1192" s="6" t="str">
        <f>IF(northwind_order_details[[#This Row],[discount amount]]&gt;0,"Yes","No")</f>
        <v>No</v>
      </c>
      <c r="L1192" s="1" t="str">
        <f>IF(northwind_order_details[[#This Row],[Revenue]]&gt;1000,"High",IF(northwind_order_details[[#This Row],[Revenue]]&gt;300,"Medium","Low"))</f>
        <v>Medium</v>
      </c>
      <c r="M11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93" spans="1:13" x14ac:dyDescent="0.25">
      <c r="A1193">
        <v>10715</v>
      </c>
      <c r="B1193">
        <v>71</v>
      </c>
      <c r="C1193" s="6">
        <v>21.5</v>
      </c>
      <c r="D1193">
        <v>30</v>
      </c>
      <c r="E1193" s="6" t="s">
        <v>6</v>
      </c>
      <c r="F1193" t="str">
        <f>_xlfn.XLOOKUP(northwind_order_details[[#This Row],[order_id]],northwind_orders[order_id],northwind_orders[ship_country])</f>
        <v>France</v>
      </c>
      <c r="G1193">
        <f>INDEX(northwind_orders[],MATCH(northwind_order_details[[#This Row],[order_id]], northwind_orders[order_id], 0), MATCH("employee_id", northwind_orders[#Headers], 0))</f>
        <v>3</v>
      </c>
      <c r="H1193">
        <f>northwind_order_details[[#This Row],[unit_price]]*northwind_order_details[[#This Row],[quantity]]</f>
        <v>645</v>
      </c>
      <c r="I1193" s="1">
        <f>northwind_order_details[[#This Row],[purchase amount]]*northwind_order_details[[#This Row],[discount]]</f>
        <v>0</v>
      </c>
      <c r="J1193" s="1">
        <f>northwind_order_details[[#This Row],[purchase amount]]-northwind_order_details[[#This Row],[discount amount]]</f>
        <v>645</v>
      </c>
      <c r="K1193" s="6" t="str">
        <f>IF(northwind_order_details[[#This Row],[discount amount]]&gt;0,"Yes","No")</f>
        <v>No</v>
      </c>
      <c r="L1193" s="1" t="str">
        <f>IF(northwind_order_details[[#This Row],[Revenue]]&gt;1000,"High",IF(northwind_order_details[[#This Row],[Revenue]]&gt;300,"Medium","Low"))</f>
        <v>Medium</v>
      </c>
      <c r="M11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94" spans="1:13" x14ac:dyDescent="0.25">
      <c r="A1194">
        <v>10716</v>
      </c>
      <c r="B1194">
        <v>21</v>
      </c>
      <c r="C1194" s="6" t="s">
        <v>8</v>
      </c>
      <c r="D1194">
        <v>5</v>
      </c>
      <c r="E1194" s="6" t="s">
        <v>6</v>
      </c>
      <c r="F1194" t="str">
        <f>_xlfn.XLOOKUP(northwind_order_details[[#This Row],[order_id]],northwind_orders[order_id],northwind_orders[ship_country])</f>
        <v>Argentina</v>
      </c>
      <c r="G1194">
        <f>INDEX(northwind_orders[],MATCH(northwind_order_details[[#This Row],[order_id]], northwind_orders[order_id], 0), MATCH("employee_id", northwind_orders[#Headers], 0))</f>
        <v>4</v>
      </c>
      <c r="H1194">
        <f>northwind_order_details[[#This Row],[unit_price]]*northwind_order_details[[#This Row],[quantity]]</f>
        <v>50</v>
      </c>
      <c r="I1194" s="1">
        <f>northwind_order_details[[#This Row],[purchase amount]]*northwind_order_details[[#This Row],[discount]]</f>
        <v>0</v>
      </c>
      <c r="J1194" s="1">
        <f>northwind_order_details[[#This Row],[purchase amount]]-northwind_order_details[[#This Row],[discount amount]]</f>
        <v>50</v>
      </c>
      <c r="K1194" s="6" t="str">
        <f>IF(northwind_order_details[[#This Row],[discount amount]]&gt;0,"Yes","No")</f>
        <v>No</v>
      </c>
      <c r="L1194" s="1" t="str">
        <f>IF(northwind_order_details[[#This Row],[Revenue]]&gt;1000,"High",IF(northwind_order_details[[#This Row],[Revenue]]&gt;300,"Medium","Low"))</f>
        <v>Low</v>
      </c>
      <c r="M11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95" spans="1:13" x14ac:dyDescent="0.25">
      <c r="A1195">
        <v>10716</v>
      </c>
      <c r="B1195">
        <v>51</v>
      </c>
      <c r="C1195" s="6" t="s">
        <v>39</v>
      </c>
      <c r="D1195">
        <v>7</v>
      </c>
      <c r="E1195" s="6" t="s">
        <v>6</v>
      </c>
      <c r="F1195" t="str">
        <f>_xlfn.XLOOKUP(northwind_order_details[[#This Row],[order_id]],northwind_orders[order_id],northwind_orders[ship_country])</f>
        <v>Argentina</v>
      </c>
      <c r="G1195">
        <f>INDEX(northwind_orders[],MATCH(northwind_order_details[[#This Row],[order_id]], northwind_orders[order_id], 0), MATCH("employee_id", northwind_orders[#Headers], 0))</f>
        <v>4</v>
      </c>
      <c r="H1195">
        <f>northwind_order_details[[#This Row],[unit_price]]*northwind_order_details[[#This Row],[quantity]]</f>
        <v>371</v>
      </c>
      <c r="I1195" s="1">
        <f>northwind_order_details[[#This Row],[purchase amount]]*northwind_order_details[[#This Row],[discount]]</f>
        <v>0</v>
      </c>
      <c r="J1195" s="1">
        <f>northwind_order_details[[#This Row],[purchase amount]]-northwind_order_details[[#This Row],[discount amount]]</f>
        <v>371</v>
      </c>
      <c r="K1195" s="6" t="str">
        <f>IF(northwind_order_details[[#This Row],[discount amount]]&gt;0,"Yes","No")</f>
        <v>No</v>
      </c>
      <c r="L1195" s="1" t="str">
        <f>IF(northwind_order_details[[#This Row],[Revenue]]&gt;1000,"High",IF(northwind_order_details[[#This Row],[Revenue]]&gt;300,"Medium","Low"))</f>
        <v>Medium</v>
      </c>
      <c r="M11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96" spans="1:13" x14ac:dyDescent="0.25">
      <c r="A1196">
        <v>10716</v>
      </c>
      <c r="B1196">
        <v>61</v>
      </c>
      <c r="C1196" s="6">
        <v>28.5</v>
      </c>
      <c r="D1196">
        <v>10</v>
      </c>
      <c r="E1196" s="6" t="s">
        <v>6</v>
      </c>
      <c r="F1196" t="str">
        <f>_xlfn.XLOOKUP(northwind_order_details[[#This Row],[order_id]],northwind_orders[order_id],northwind_orders[ship_country])</f>
        <v>Argentina</v>
      </c>
      <c r="G1196">
        <f>INDEX(northwind_orders[],MATCH(northwind_order_details[[#This Row],[order_id]], northwind_orders[order_id], 0), MATCH("employee_id", northwind_orders[#Headers], 0))</f>
        <v>4</v>
      </c>
      <c r="H1196">
        <f>northwind_order_details[[#This Row],[unit_price]]*northwind_order_details[[#This Row],[quantity]]</f>
        <v>285</v>
      </c>
      <c r="I1196" s="1">
        <f>northwind_order_details[[#This Row],[purchase amount]]*northwind_order_details[[#This Row],[discount]]</f>
        <v>0</v>
      </c>
      <c r="J1196" s="1">
        <f>northwind_order_details[[#This Row],[purchase amount]]-northwind_order_details[[#This Row],[discount amount]]</f>
        <v>285</v>
      </c>
      <c r="K1196" s="6" t="str">
        <f>IF(northwind_order_details[[#This Row],[discount amount]]&gt;0,"Yes","No")</f>
        <v>No</v>
      </c>
      <c r="L1196" s="1" t="str">
        <f>IF(northwind_order_details[[#This Row],[Revenue]]&gt;1000,"High",IF(northwind_order_details[[#This Row],[Revenue]]&gt;300,"Medium","Low"))</f>
        <v>Low</v>
      </c>
      <c r="M119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97" spans="1:13" x14ac:dyDescent="0.25">
      <c r="A1197">
        <v>10717</v>
      </c>
      <c r="B1197">
        <v>21</v>
      </c>
      <c r="C1197" s="6" t="s">
        <v>8</v>
      </c>
      <c r="D1197">
        <v>32</v>
      </c>
      <c r="E1197" s="6">
        <v>0.05</v>
      </c>
      <c r="F1197" t="str">
        <f>_xlfn.XLOOKUP(northwind_order_details[[#This Row],[order_id]],northwind_orders[order_id],northwind_orders[ship_country])</f>
        <v>Germany</v>
      </c>
      <c r="G1197">
        <f>INDEX(northwind_orders[],MATCH(northwind_order_details[[#This Row],[order_id]], northwind_orders[order_id], 0), MATCH("employee_id", northwind_orders[#Headers], 0))</f>
        <v>1</v>
      </c>
      <c r="H1197">
        <f>northwind_order_details[[#This Row],[unit_price]]*northwind_order_details[[#This Row],[quantity]]</f>
        <v>320</v>
      </c>
      <c r="I1197" s="1">
        <f>northwind_order_details[[#This Row],[purchase amount]]*northwind_order_details[[#This Row],[discount]]</f>
        <v>16</v>
      </c>
      <c r="J1197" s="1">
        <f>northwind_order_details[[#This Row],[purchase amount]]-northwind_order_details[[#This Row],[discount amount]]</f>
        <v>304</v>
      </c>
      <c r="K1197" s="6" t="str">
        <f>IF(northwind_order_details[[#This Row],[discount amount]]&gt;0,"Yes","No")</f>
        <v>Yes</v>
      </c>
      <c r="L1197" s="1" t="str">
        <f>IF(northwind_order_details[[#This Row],[Revenue]]&gt;1000,"High",IF(northwind_order_details[[#This Row],[Revenue]]&gt;300,"Medium","Low"))</f>
        <v>Medium</v>
      </c>
      <c r="M11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198" spans="1:13" x14ac:dyDescent="0.25">
      <c r="A1198">
        <v>10717</v>
      </c>
      <c r="B1198">
        <v>54</v>
      </c>
      <c r="C1198" s="6">
        <v>7.45</v>
      </c>
      <c r="D1198">
        <v>15</v>
      </c>
      <c r="E1198" s="6" t="s">
        <v>6</v>
      </c>
      <c r="F1198" t="str">
        <f>_xlfn.XLOOKUP(northwind_order_details[[#This Row],[order_id]],northwind_orders[order_id],northwind_orders[ship_country])</f>
        <v>Germany</v>
      </c>
      <c r="G1198">
        <f>INDEX(northwind_orders[],MATCH(northwind_order_details[[#This Row],[order_id]], northwind_orders[order_id], 0), MATCH("employee_id", northwind_orders[#Headers], 0))</f>
        <v>1</v>
      </c>
      <c r="H1198">
        <f>northwind_order_details[[#This Row],[unit_price]]*northwind_order_details[[#This Row],[quantity]]</f>
        <v>111.75</v>
      </c>
      <c r="I1198" s="1">
        <f>northwind_order_details[[#This Row],[purchase amount]]*northwind_order_details[[#This Row],[discount]]</f>
        <v>0</v>
      </c>
      <c r="J1198" s="1">
        <f>northwind_order_details[[#This Row],[purchase amount]]-northwind_order_details[[#This Row],[discount amount]]</f>
        <v>111.75</v>
      </c>
      <c r="K1198" s="6" t="str">
        <f>IF(northwind_order_details[[#This Row],[discount amount]]&gt;0,"Yes","No")</f>
        <v>No</v>
      </c>
      <c r="L1198" s="1" t="str">
        <f>IF(northwind_order_details[[#This Row],[Revenue]]&gt;1000,"High",IF(northwind_order_details[[#This Row],[Revenue]]&gt;300,"Medium","Low"))</f>
        <v>Low</v>
      </c>
      <c r="M11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199" spans="1:13" x14ac:dyDescent="0.25">
      <c r="A1199">
        <v>10717</v>
      </c>
      <c r="B1199">
        <v>69</v>
      </c>
      <c r="C1199" s="6" t="s">
        <v>38</v>
      </c>
      <c r="D1199">
        <v>25</v>
      </c>
      <c r="E1199" s="6">
        <v>0.05</v>
      </c>
      <c r="F1199" t="str">
        <f>_xlfn.XLOOKUP(northwind_order_details[[#This Row],[order_id]],northwind_orders[order_id],northwind_orders[ship_country])</f>
        <v>Germany</v>
      </c>
      <c r="G1199">
        <f>INDEX(northwind_orders[],MATCH(northwind_order_details[[#This Row],[order_id]], northwind_orders[order_id], 0), MATCH("employee_id", northwind_orders[#Headers], 0))</f>
        <v>1</v>
      </c>
      <c r="H1199">
        <f>northwind_order_details[[#This Row],[unit_price]]*northwind_order_details[[#This Row],[quantity]]</f>
        <v>900</v>
      </c>
      <c r="I1199" s="1">
        <f>northwind_order_details[[#This Row],[purchase amount]]*northwind_order_details[[#This Row],[discount]]</f>
        <v>45</v>
      </c>
      <c r="J1199" s="1">
        <f>northwind_order_details[[#This Row],[purchase amount]]-northwind_order_details[[#This Row],[discount amount]]</f>
        <v>855</v>
      </c>
      <c r="K1199" s="6" t="str">
        <f>IF(northwind_order_details[[#This Row],[discount amount]]&gt;0,"Yes","No")</f>
        <v>Yes</v>
      </c>
      <c r="L1199" s="1" t="str">
        <f>IF(northwind_order_details[[#This Row],[Revenue]]&gt;1000,"High",IF(northwind_order_details[[#This Row],[Revenue]]&gt;300,"Medium","Low"))</f>
        <v>Medium</v>
      </c>
      <c r="M11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00" spans="1:13" x14ac:dyDescent="0.25">
      <c r="A1200">
        <v>10718</v>
      </c>
      <c r="B1200">
        <v>12</v>
      </c>
      <c r="C1200" s="6" t="s">
        <v>30</v>
      </c>
      <c r="D1200">
        <v>36</v>
      </c>
      <c r="E1200" s="6" t="s">
        <v>6</v>
      </c>
      <c r="F1200" t="str">
        <f>_xlfn.XLOOKUP(northwind_order_details[[#This Row],[order_id]],northwind_orders[order_id],northwind_orders[ship_country])</f>
        <v>Germany</v>
      </c>
      <c r="G1200">
        <f>INDEX(northwind_orders[],MATCH(northwind_order_details[[#This Row],[order_id]], northwind_orders[order_id], 0), MATCH("employee_id", northwind_orders[#Headers], 0))</f>
        <v>1</v>
      </c>
      <c r="H1200">
        <f>northwind_order_details[[#This Row],[unit_price]]*northwind_order_details[[#This Row],[quantity]]</f>
        <v>1368</v>
      </c>
      <c r="I1200" s="1">
        <f>northwind_order_details[[#This Row],[purchase amount]]*northwind_order_details[[#This Row],[discount]]</f>
        <v>0</v>
      </c>
      <c r="J1200" s="1">
        <f>northwind_order_details[[#This Row],[purchase amount]]-northwind_order_details[[#This Row],[discount amount]]</f>
        <v>1368</v>
      </c>
      <c r="K1200" s="6" t="str">
        <f>IF(northwind_order_details[[#This Row],[discount amount]]&gt;0,"Yes","No")</f>
        <v>No</v>
      </c>
      <c r="L1200" s="1" t="str">
        <f>IF(northwind_order_details[[#This Row],[Revenue]]&gt;1000,"High",IF(northwind_order_details[[#This Row],[Revenue]]&gt;300,"Medium","Low"))</f>
        <v>High</v>
      </c>
      <c r="M12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01" spans="1:13" x14ac:dyDescent="0.25">
      <c r="A1201">
        <v>10718</v>
      </c>
      <c r="B1201">
        <v>16</v>
      </c>
      <c r="C1201" s="6">
        <v>17.45</v>
      </c>
      <c r="D1201">
        <v>20</v>
      </c>
      <c r="E1201" s="6" t="s">
        <v>6</v>
      </c>
      <c r="F1201" t="str">
        <f>_xlfn.XLOOKUP(northwind_order_details[[#This Row],[order_id]],northwind_orders[order_id],northwind_orders[ship_country])</f>
        <v>Germany</v>
      </c>
      <c r="G1201">
        <f>INDEX(northwind_orders[],MATCH(northwind_order_details[[#This Row],[order_id]], northwind_orders[order_id], 0), MATCH("employee_id", northwind_orders[#Headers], 0))</f>
        <v>1</v>
      </c>
      <c r="H1201">
        <f>northwind_order_details[[#This Row],[unit_price]]*northwind_order_details[[#This Row],[quantity]]</f>
        <v>349</v>
      </c>
      <c r="I1201" s="1">
        <f>northwind_order_details[[#This Row],[purchase amount]]*northwind_order_details[[#This Row],[discount]]</f>
        <v>0</v>
      </c>
      <c r="J1201" s="1">
        <f>northwind_order_details[[#This Row],[purchase amount]]-northwind_order_details[[#This Row],[discount amount]]</f>
        <v>349</v>
      </c>
      <c r="K1201" s="6" t="str">
        <f>IF(northwind_order_details[[#This Row],[discount amount]]&gt;0,"Yes","No")</f>
        <v>No</v>
      </c>
      <c r="L1201" s="1" t="str">
        <f>IF(northwind_order_details[[#This Row],[Revenue]]&gt;1000,"High",IF(northwind_order_details[[#This Row],[Revenue]]&gt;300,"Medium","Low"))</f>
        <v>Medium</v>
      </c>
      <c r="M120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02" spans="1:13" x14ac:dyDescent="0.25">
      <c r="A1202">
        <v>10718</v>
      </c>
      <c r="B1202">
        <v>36</v>
      </c>
      <c r="C1202" s="6" t="s">
        <v>20</v>
      </c>
      <c r="D1202">
        <v>40</v>
      </c>
      <c r="E1202" s="6" t="s">
        <v>6</v>
      </c>
      <c r="F1202" t="str">
        <f>_xlfn.XLOOKUP(northwind_order_details[[#This Row],[order_id]],northwind_orders[order_id],northwind_orders[ship_country])</f>
        <v>Germany</v>
      </c>
      <c r="G1202">
        <f>INDEX(northwind_orders[],MATCH(northwind_order_details[[#This Row],[order_id]], northwind_orders[order_id], 0), MATCH("employee_id", northwind_orders[#Headers], 0))</f>
        <v>1</v>
      </c>
      <c r="H1202">
        <f>northwind_order_details[[#This Row],[unit_price]]*northwind_order_details[[#This Row],[quantity]]</f>
        <v>760</v>
      </c>
      <c r="I1202" s="1">
        <f>northwind_order_details[[#This Row],[purchase amount]]*northwind_order_details[[#This Row],[discount]]</f>
        <v>0</v>
      </c>
      <c r="J1202" s="1">
        <f>northwind_order_details[[#This Row],[purchase amount]]-northwind_order_details[[#This Row],[discount amount]]</f>
        <v>760</v>
      </c>
      <c r="K1202" s="6" t="str">
        <f>IF(northwind_order_details[[#This Row],[discount amount]]&gt;0,"Yes","No")</f>
        <v>No</v>
      </c>
      <c r="L1202" s="1" t="str">
        <f>IF(northwind_order_details[[#This Row],[Revenue]]&gt;1000,"High",IF(northwind_order_details[[#This Row],[Revenue]]&gt;300,"Medium","Low"))</f>
        <v>Medium</v>
      </c>
      <c r="M12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03" spans="1:13" x14ac:dyDescent="0.25">
      <c r="A1203">
        <v>10718</v>
      </c>
      <c r="B1203">
        <v>62</v>
      </c>
      <c r="C1203" s="6">
        <v>49.3</v>
      </c>
      <c r="D1203">
        <v>20</v>
      </c>
      <c r="E1203" s="6" t="s">
        <v>6</v>
      </c>
      <c r="F1203" t="str">
        <f>_xlfn.XLOOKUP(northwind_order_details[[#This Row],[order_id]],northwind_orders[order_id],northwind_orders[ship_country])</f>
        <v>Germany</v>
      </c>
      <c r="G1203">
        <f>INDEX(northwind_orders[],MATCH(northwind_order_details[[#This Row],[order_id]], northwind_orders[order_id], 0), MATCH("employee_id", northwind_orders[#Headers], 0))</f>
        <v>1</v>
      </c>
      <c r="H1203">
        <f>northwind_order_details[[#This Row],[unit_price]]*northwind_order_details[[#This Row],[quantity]]</f>
        <v>986</v>
      </c>
      <c r="I1203" s="1">
        <f>northwind_order_details[[#This Row],[purchase amount]]*northwind_order_details[[#This Row],[discount]]</f>
        <v>0</v>
      </c>
      <c r="J1203" s="1">
        <f>northwind_order_details[[#This Row],[purchase amount]]-northwind_order_details[[#This Row],[discount amount]]</f>
        <v>986</v>
      </c>
      <c r="K1203" s="6" t="str">
        <f>IF(northwind_order_details[[#This Row],[discount amount]]&gt;0,"Yes","No")</f>
        <v>No</v>
      </c>
      <c r="L1203" s="1" t="str">
        <f>IF(northwind_order_details[[#This Row],[Revenue]]&gt;1000,"High",IF(northwind_order_details[[#This Row],[Revenue]]&gt;300,"Medium","Low"))</f>
        <v>Medium</v>
      </c>
      <c r="M120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04" spans="1:13" x14ac:dyDescent="0.25">
      <c r="A1204">
        <v>10719</v>
      </c>
      <c r="B1204">
        <v>18</v>
      </c>
      <c r="C1204" s="6">
        <v>62.5</v>
      </c>
      <c r="D1204">
        <v>12</v>
      </c>
      <c r="E1204" s="6">
        <v>0.25</v>
      </c>
      <c r="F1204" t="str">
        <f>_xlfn.XLOOKUP(northwind_order_details[[#This Row],[order_id]],northwind_orders[order_id],northwind_orders[ship_country])</f>
        <v>USA</v>
      </c>
      <c r="G1204">
        <f>INDEX(northwind_orders[],MATCH(northwind_order_details[[#This Row],[order_id]], northwind_orders[order_id], 0), MATCH("employee_id", northwind_orders[#Headers], 0))</f>
        <v>8</v>
      </c>
      <c r="H1204">
        <f>northwind_order_details[[#This Row],[unit_price]]*northwind_order_details[[#This Row],[quantity]]</f>
        <v>750</v>
      </c>
      <c r="I1204" s="1">
        <f>northwind_order_details[[#This Row],[purchase amount]]*northwind_order_details[[#This Row],[discount]]</f>
        <v>187.5</v>
      </c>
      <c r="J1204" s="1">
        <f>northwind_order_details[[#This Row],[purchase amount]]-northwind_order_details[[#This Row],[discount amount]]</f>
        <v>562.5</v>
      </c>
      <c r="K1204" s="6" t="str">
        <f>IF(northwind_order_details[[#This Row],[discount amount]]&gt;0,"Yes","No")</f>
        <v>Yes</v>
      </c>
      <c r="L1204" s="1" t="str">
        <f>IF(northwind_order_details[[#This Row],[Revenue]]&gt;1000,"High",IF(northwind_order_details[[#This Row],[Revenue]]&gt;300,"Medium","Low"))</f>
        <v>Medium</v>
      </c>
      <c r="M12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05" spans="1:13" x14ac:dyDescent="0.25">
      <c r="A1205">
        <v>10719</v>
      </c>
      <c r="B1205">
        <v>30</v>
      </c>
      <c r="C1205" s="6">
        <v>25.89</v>
      </c>
      <c r="D1205">
        <v>3</v>
      </c>
      <c r="E1205" s="6">
        <v>0.25</v>
      </c>
      <c r="F1205" t="str">
        <f>_xlfn.XLOOKUP(northwind_order_details[[#This Row],[order_id]],northwind_orders[order_id],northwind_orders[ship_country])</f>
        <v>USA</v>
      </c>
      <c r="G1205">
        <f>INDEX(northwind_orders[],MATCH(northwind_order_details[[#This Row],[order_id]], northwind_orders[order_id], 0), MATCH("employee_id", northwind_orders[#Headers], 0))</f>
        <v>8</v>
      </c>
      <c r="H1205">
        <f>northwind_order_details[[#This Row],[unit_price]]*northwind_order_details[[#This Row],[quantity]]</f>
        <v>77.67</v>
      </c>
      <c r="I1205" s="1">
        <f>northwind_order_details[[#This Row],[purchase amount]]*northwind_order_details[[#This Row],[discount]]</f>
        <v>19.4175</v>
      </c>
      <c r="J1205" s="1">
        <f>northwind_order_details[[#This Row],[purchase amount]]-northwind_order_details[[#This Row],[discount amount]]</f>
        <v>58.252499999999998</v>
      </c>
      <c r="K1205" s="6" t="str">
        <f>IF(northwind_order_details[[#This Row],[discount amount]]&gt;0,"Yes","No")</f>
        <v>Yes</v>
      </c>
      <c r="L1205" s="1" t="str">
        <f>IF(northwind_order_details[[#This Row],[Revenue]]&gt;1000,"High",IF(northwind_order_details[[#This Row],[Revenue]]&gt;300,"Medium","Low"))</f>
        <v>Low</v>
      </c>
      <c r="M120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06" spans="1:13" x14ac:dyDescent="0.25">
      <c r="A1206">
        <v>10719</v>
      </c>
      <c r="B1206">
        <v>54</v>
      </c>
      <c r="C1206" s="6">
        <v>7.45</v>
      </c>
      <c r="D1206">
        <v>40</v>
      </c>
      <c r="E1206" s="6">
        <v>0.25</v>
      </c>
      <c r="F1206" t="str">
        <f>_xlfn.XLOOKUP(northwind_order_details[[#This Row],[order_id]],northwind_orders[order_id],northwind_orders[ship_country])</f>
        <v>USA</v>
      </c>
      <c r="G1206">
        <f>INDEX(northwind_orders[],MATCH(northwind_order_details[[#This Row],[order_id]], northwind_orders[order_id], 0), MATCH("employee_id", northwind_orders[#Headers], 0))</f>
        <v>8</v>
      </c>
      <c r="H1206">
        <f>northwind_order_details[[#This Row],[unit_price]]*northwind_order_details[[#This Row],[quantity]]</f>
        <v>298</v>
      </c>
      <c r="I1206" s="1">
        <f>northwind_order_details[[#This Row],[purchase amount]]*northwind_order_details[[#This Row],[discount]]</f>
        <v>74.5</v>
      </c>
      <c r="J1206" s="1">
        <f>northwind_order_details[[#This Row],[purchase amount]]-northwind_order_details[[#This Row],[discount amount]]</f>
        <v>223.5</v>
      </c>
      <c r="K1206" s="6" t="str">
        <f>IF(northwind_order_details[[#This Row],[discount amount]]&gt;0,"Yes","No")</f>
        <v>Yes</v>
      </c>
      <c r="L1206" s="1" t="str">
        <f>IF(northwind_order_details[[#This Row],[Revenue]]&gt;1000,"High",IF(northwind_order_details[[#This Row],[Revenue]]&gt;300,"Medium","Low"))</f>
        <v>Low</v>
      </c>
      <c r="M120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07" spans="1:13" x14ac:dyDescent="0.25">
      <c r="A1207">
        <v>10720</v>
      </c>
      <c r="B1207">
        <v>35</v>
      </c>
      <c r="C1207" s="6" t="s">
        <v>24</v>
      </c>
      <c r="D1207">
        <v>21</v>
      </c>
      <c r="E1207" s="6" t="s">
        <v>6</v>
      </c>
      <c r="F1207" t="str">
        <f>_xlfn.XLOOKUP(northwind_order_details[[#This Row],[order_id]],northwind_orders[order_id],northwind_orders[ship_country])</f>
        <v>Brazil</v>
      </c>
      <c r="G1207">
        <f>INDEX(northwind_orders[],MATCH(northwind_order_details[[#This Row],[order_id]], northwind_orders[order_id], 0), MATCH("employee_id", northwind_orders[#Headers], 0))</f>
        <v>8</v>
      </c>
      <c r="H1207">
        <f>northwind_order_details[[#This Row],[unit_price]]*northwind_order_details[[#This Row],[quantity]]</f>
        <v>378</v>
      </c>
      <c r="I1207" s="1">
        <f>northwind_order_details[[#This Row],[purchase amount]]*northwind_order_details[[#This Row],[discount]]</f>
        <v>0</v>
      </c>
      <c r="J1207" s="1">
        <f>northwind_order_details[[#This Row],[purchase amount]]-northwind_order_details[[#This Row],[discount amount]]</f>
        <v>378</v>
      </c>
      <c r="K1207" s="6" t="str">
        <f>IF(northwind_order_details[[#This Row],[discount amount]]&gt;0,"Yes","No")</f>
        <v>No</v>
      </c>
      <c r="L1207" s="1" t="str">
        <f>IF(northwind_order_details[[#This Row],[Revenue]]&gt;1000,"High",IF(northwind_order_details[[#This Row],[Revenue]]&gt;300,"Medium","Low"))</f>
        <v>Medium</v>
      </c>
      <c r="M12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08" spans="1:13" x14ac:dyDescent="0.25">
      <c r="A1208">
        <v>10720</v>
      </c>
      <c r="B1208">
        <v>71</v>
      </c>
      <c r="C1208" s="6">
        <v>21.5</v>
      </c>
      <c r="D1208">
        <v>8</v>
      </c>
      <c r="E1208" s="6" t="s">
        <v>6</v>
      </c>
      <c r="F1208" t="str">
        <f>_xlfn.XLOOKUP(northwind_order_details[[#This Row],[order_id]],northwind_orders[order_id],northwind_orders[ship_country])</f>
        <v>Brazil</v>
      </c>
      <c r="G1208">
        <f>INDEX(northwind_orders[],MATCH(northwind_order_details[[#This Row],[order_id]], northwind_orders[order_id], 0), MATCH("employee_id", northwind_orders[#Headers], 0))</f>
        <v>8</v>
      </c>
      <c r="H1208">
        <f>northwind_order_details[[#This Row],[unit_price]]*northwind_order_details[[#This Row],[quantity]]</f>
        <v>172</v>
      </c>
      <c r="I1208" s="1">
        <f>northwind_order_details[[#This Row],[purchase amount]]*northwind_order_details[[#This Row],[discount]]</f>
        <v>0</v>
      </c>
      <c r="J1208" s="1">
        <f>northwind_order_details[[#This Row],[purchase amount]]-northwind_order_details[[#This Row],[discount amount]]</f>
        <v>172</v>
      </c>
      <c r="K1208" s="6" t="str">
        <f>IF(northwind_order_details[[#This Row],[discount amount]]&gt;0,"Yes","No")</f>
        <v>No</v>
      </c>
      <c r="L1208" s="1" t="str">
        <f>IF(northwind_order_details[[#This Row],[Revenue]]&gt;1000,"High",IF(northwind_order_details[[#This Row],[Revenue]]&gt;300,"Medium","Low"))</f>
        <v>Low</v>
      </c>
      <c r="M12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09" spans="1:13" x14ac:dyDescent="0.25">
      <c r="A1209">
        <v>10721</v>
      </c>
      <c r="B1209">
        <v>44</v>
      </c>
      <c r="C1209" s="6">
        <v>19.45</v>
      </c>
      <c r="D1209">
        <v>50</v>
      </c>
      <c r="E1209" s="6">
        <v>0.05</v>
      </c>
      <c r="F1209" t="str">
        <f>_xlfn.XLOOKUP(northwind_order_details[[#This Row],[order_id]],northwind_orders[order_id],northwind_orders[ship_country])</f>
        <v>Germany</v>
      </c>
      <c r="G1209">
        <f>INDEX(northwind_orders[],MATCH(northwind_order_details[[#This Row],[order_id]], northwind_orders[order_id], 0), MATCH("employee_id", northwind_orders[#Headers], 0))</f>
        <v>5</v>
      </c>
      <c r="H1209">
        <f>northwind_order_details[[#This Row],[unit_price]]*northwind_order_details[[#This Row],[quantity]]</f>
        <v>972.5</v>
      </c>
      <c r="I1209" s="1">
        <f>northwind_order_details[[#This Row],[purchase amount]]*northwind_order_details[[#This Row],[discount]]</f>
        <v>48.625</v>
      </c>
      <c r="J1209" s="1">
        <f>northwind_order_details[[#This Row],[purchase amount]]-northwind_order_details[[#This Row],[discount amount]]</f>
        <v>923.875</v>
      </c>
      <c r="K1209" s="6" t="str">
        <f>IF(northwind_order_details[[#This Row],[discount amount]]&gt;0,"Yes","No")</f>
        <v>Yes</v>
      </c>
      <c r="L1209" s="1" t="str">
        <f>IF(northwind_order_details[[#This Row],[Revenue]]&gt;1000,"High",IF(northwind_order_details[[#This Row],[Revenue]]&gt;300,"Medium","Low"))</f>
        <v>Medium</v>
      </c>
      <c r="M120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0" spans="1:13" x14ac:dyDescent="0.25">
      <c r="A1210">
        <v>10722</v>
      </c>
      <c r="B1210">
        <v>2</v>
      </c>
      <c r="C1210" s="6" t="s">
        <v>20</v>
      </c>
      <c r="D1210">
        <v>3</v>
      </c>
      <c r="E1210" s="6" t="s">
        <v>6</v>
      </c>
      <c r="F1210" t="str">
        <f>_xlfn.XLOOKUP(northwind_order_details[[#This Row],[order_id]],northwind_orders[order_id],northwind_orders[ship_country])</f>
        <v>USA</v>
      </c>
      <c r="G1210">
        <f>INDEX(northwind_orders[],MATCH(northwind_order_details[[#This Row],[order_id]], northwind_orders[order_id], 0), MATCH("employee_id", northwind_orders[#Headers], 0))</f>
        <v>8</v>
      </c>
      <c r="H1210">
        <f>northwind_order_details[[#This Row],[unit_price]]*northwind_order_details[[#This Row],[quantity]]</f>
        <v>57</v>
      </c>
      <c r="I1210" s="1">
        <f>northwind_order_details[[#This Row],[purchase amount]]*northwind_order_details[[#This Row],[discount]]</f>
        <v>0</v>
      </c>
      <c r="J1210" s="1">
        <f>northwind_order_details[[#This Row],[purchase amount]]-northwind_order_details[[#This Row],[discount amount]]</f>
        <v>57</v>
      </c>
      <c r="K1210" s="6" t="str">
        <f>IF(northwind_order_details[[#This Row],[discount amount]]&gt;0,"Yes","No")</f>
        <v>No</v>
      </c>
      <c r="L1210" s="1" t="str">
        <f>IF(northwind_order_details[[#This Row],[Revenue]]&gt;1000,"High",IF(northwind_order_details[[#This Row],[Revenue]]&gt;300,"Medium","Low"))</f>
        <v>Low</v>
      </c>
      <c r="M12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11" spans="1:13" x14ac:dyDescent="0.25">
      <c r="A1211">
        <v>10722</v>
      </c>
      <c r="B1211">
        <v>31</v>
      </c>
      <c r="C1211" s="6">
        <v>12.5</v>
      </c>
      <c r="D1211">
        <v>50</v>
      </c>
      <c r="E1211" s="6" t="s">
        <v>6</v>
      </c>
      <c r="F1211" t="str">
        <f>_xlfn.XLOOKUP(northwind_order_details[[#This Row],[order_id]],northwind_orders[order_id],northwind_orders[ship_country])</f>
        <v>USA</v>
      </c>
      <c r="G1211">
        <f>INDEX(northwind_orders[],MATCH(northwind_order_details[[#This Row],[order_id]], northwind_orders[order_id], 0), MATCH("employee_id", northwind_orders[#Headers], 0))</f>
        <v>8</v>
      </c>
      <c r="H1211">
        <f>northwind_order_details[[#This Row],[unit_price]]*northwind_order_details[[#This Row],[quantity]]</f>
        <v>625</v>
      </c>
      <c r="I1211" s="1">
        <f>northwind_order_details[[#This Row],[purchase amount]]*northwind_order_details[[#This Row],[discount]]</f>
        <v>0</v>
      </c>
      <c r="J1211" s="1">
        <f>northwind_order_details[[#This Row],[purchase amount]]-northwind_order_details[[#This Row],[discount amount]]</f>
        <v>625</v>
      </c>
      <c r="K1211" s="6" t="str">
        <f>IF(northwind_order_details[[#This Row],[discount amount]]&gt;0,"Yes","No")</f>
        <v>No</v>
      </c>
      <c r="L1211" s="1" t="str">
        <f>IF(northwind_order_details[[#This Row],[Revenue]]&gt;1000,"High",IF(northwind_order_details[[#This Row],[Revenue]]&gt;300,"Medium","Low"))</f>
        <v>Medium</v>
      </c>
      <c r="M12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2" spans="1:13" x14ac:dyDescent="0.25">
      <c r="A1212">
        <v>10722</v>
      </c>
      <c r="B1212">
        <v>68</v>
      </c>
      <c r="C1212" s="6">
        <v>12.5</v>
      </c>
      <c r="D1212">
        <v>45</v>
      </c>
      <c r="E1212" s="6" t="s">
        <v>6</v>
      </c>
      <c r="F1212" t="str">
        <f>_xlfn.XLOOKUP(northwind_order_details[[#This Row],[order_id]],northwind_orders[order_id],northwind_orders[ship_country])</f>
        <v>USA</v>
      </c>
      <c r="G1212">
        <f>INDEX(northwind_orders[],MATCH(northwind_order_details[[#This Row],[order_id]], northwind_orders[order_id], 0), MATCH("employee_id", northwind_orders[#Headers], 0))</f>
        <v>8</v>
      </c>
      <c r="H1212">
        <f>northwind_order_details[[#This Row],[unit_price]]*northwind_order_details[[#This Row],[quantity]]</f>
        <v>562.5</v>
      </c>
      <c r="I1212" s="1">
        <f>northwind_order_details[[#This Row],[purchase amount]]*northwind_order_details[[#This Row],[discount]]</f>
        <v>0</v>
      </c>
      <c r="J1212" s="1">
        <f>northwind_order_details[[#This Row],[purchase amount]]-northwind_order_details[[#This Row],[discount amount]]</f>
        <v>562.5</v>
      </c>
      <c r="K1212" s="6" t="str">
        <f>IF(northwind_order_details[[#This Row],[discount amount]]&gt;0,"Yes","No")</f>
        <v>No</v>
      </c>
      <c r="L1212" s="1" t="str">
        <f>IF(northwind_order_details[[#This Row],[Revenue]]&gt;1000,"High",IF(northwind_order_details[[#This Row],[Revenue]]&gt;300,"Medium","Low"))</f>
        <v>Medium</v>
      </c>
      <c r="M121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3" spans="1:13" x14ac:dyDescent="0.25">
      <c r="A1213">
        <v>10722</v>
      </c>
      <c r="B1213">
        <v>75</v>
      </c>
      <c r="C1213" s="6">
        <v>7.75</v>
      </c>
      <c r="D1213">
        <v>42</v>
      </c>
      <c r="E1213" s="6" t="s">
        <v>6</v>
      </c>
      <c r="F1213" t="str">
        <f>_xlfn.XLOOKUP(northwind_order_details[[#This Row],[order_id]],northwind_orders[order_id],northwind_orders[ship_country])</f>
        <v>USA</v>
      </c>
      <c r="G1213">
        <f>INDEX(northwind_orders[],MATCH(northwind_order_details[[#This Row],[order_id]], northwind_orders[order_id], 0), MATCH("employee_id", northwind_orders[#Headers], 0))</f>
        <v>8</v>
      </c>
      <c r="H1213">
        <f>northwind_order_details[[#This Row],[unit_price]]*northwind_order_details[[#This Row],[quantity]]</f>
        <v>325.5</v>
      </c>
      <c r="I1213" s="1">
        <f>northwind_order_details[[#This Row],[purchase amount]]*northwind_order_details[[#This Row],[discount]]</f>
        <v>0</v>
      </c>
      <c r="J1213" s="1">
        <f>northwind_order_details[[#This Row],[purchase amount]]-northwind_order_details[[#This Row],[discount amount]]</f>
        <v>325.5</v>
      </c>
      <c r="K1213" s="6" t="str">
        <f>IF(northwind_order_details[[#This Row],[discount amount]]&gt;0,"Yes","No")</f>
        <v>No</v>
      </c>
      <c r="L1213" s="1" t="str">
        <f>IF(northwind_order_details[[#This Row],[Revenue]]&gt;1000,"High",IF(northwind_order_details[[#This Row],[Revenue]]&gt;300,"Medium","Low"))</f>
        <v>Medium</v>
      </c>
      <c r="M12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4" spans="1:13" x14ac:dyDescent="0.25">
      <c r="A1214">
        <v>10723</v>
      </c>
      <c r="B1214">
        <v>26</v>
      </c>
      <c r="C1214" s="6">
        <v>31.23</v>
      </c>
      <c r="D1214">
        <v>15</v>
      </c>
      <c r="E1214" s="6" t="s">
        <v>6</v>
      </c>
      <c r="F1214" t="str">
        <f>_xlfn.XLOOKUP(northwind_order_details[[#This Row],[order_id]],northwind_orders[order_id],northwind_orders[ship_country])</f>
        <v>USA</v>
      </c>
      <c r="G1214">
        <f>INDEX(northwind_orders[],MATCH(northwind_order_details[[#This Row],[order_id]], northwind_orders[order_id], 0), MATCH("employee_id", northwind_orders[#Headers], 0))</f>
        <v>3</v>
      </c>
      <c r="H1214">
        <f>northwind_order_details[[#This Row],[unit_price]]*northwind_order_details[[#This Row],[quantity]]</f>
        <v>468.45</v>
      </c>
      <c r="I1214" s="1">
        <f>northwind_order_details[[#This Row],[purchase amount]]*northwind_order_details[[#This Row],[discount]]</f>
        <v>0</v>
      </c>
      <c r="J1214" s="1">
        <f>northwind_order_details[[#This Row],[purchase amount]]-northwind_order_details[[#This Row],[discount amount]]</f>
        <v>468.45</v>
      </c>
      <c r="K1214" s="6" t="str">
        <f>IF(northwind_order_details[[#This Row],[discount amount]]&gt;0,"Yes","No")</f>
        <v>No</v>
      </c>
      <c r="L1214" s="1" t="str">
        <f>IF(northwind_order_details[[#This Row],[Revenue]]&gt;1000,"High",IF(northwind_order_details[[#This Row],[Revenue]]&gt;300,"Medium","Low"))</f>
        <v>Medium</v>
      </c>
      <c r="M121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5" spans="1:13" x14ac:dyDescent="0.25">
      <c r="A1215">
        <v>10724</v>
      </c>
      <c r="B1215">
        <v>10</v>
      </c>
      <c r="C1215" s="6" t="s">
        <v>34</v>
      </c>
      <c r="D1215">
        <v>16</v>
      </c>
      <c r="E1215" s="6" t="s">
        <v>6</v>
      </c>
      <c r="F1215" t="str">
        <f>_xlfn.XLOOKUP(northwind_order_details[[#This Row],[order_id]],northwind_orders[order_id],northwind_orders[ship_country])</f>
        <v>Canada</v>
      </c>
      <c r="G1215">
        <f>INDEX(northwind_orders[],MATCH(northwind_order_details[[#This Row],[order_id]], northwind_orders[order_id], 0), MATCH("employee_id", northwind_orders[#Headers], 0))</f>
        <v>8</v>
      </c>
      <c r="H1215">
        <f>northwind_order_details[[#This Row],[unit_price]]*northwind_order_details[[#This Row],[quantity]]</f>
        <v>496</v>
      </c>
      <c r="I1215" s="1">
        <f>northwind_order_details[[#This Row],[purchase amount]]*northwind_order_details[[#This Row],[discount]]</f>
        <v>0</v>
      </c>
      <c r="J1215" s="1">
        <f>northwind_order_details[[#This Row],[purchase amount]]-northwind_order_details[[#This Row],[discount amount]]</f>
        <v>496</v>
      </c>
      <c r="K1215" s="6" t="str">
        <f>IF(northwind_order_details[[#This Row],[discount amount]]&gt;0,"Yes","No")</f>
        <v>No</v>
      </c>
      <c r="L1215" s="1" t="str">
        <f>IF(northwind_order_details[[#This Row],[Revenue]]&gt;1000,"High",IF(northwind_order_details[[#This Row],[Revenue]]&gt;300,"Medium","Low"))</f>
        <v>Medium</v>
      </c>
      <c r="M12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16" spans="1:13" x14ac:dyDescent="0.25">
      <c r="A1216">
        <v>10724</v>
      </c>
      <c r="B1216">
        <v>61</v>
      </c>
      <c r="C1216" s="6">
        <v>28.5</v>
      </c>
      <c r="D1216">
        <v>5</v>
      </c>
      <c r="E1216" s="6" t="s">
        <v>6</v>
      </c>
      <c r="F1216" t="str">
        <f>_xlfn.XLOOKUP(northwind_order_details[[#This Row],[order_id]],northwind_orders[order_id],northwind_orders[ship_country])</f>
        <v>Canada</v>
      </c>
      <c r="G1216">
        <f>INDEX(northwind_orders[],MATCH(northwind_order_details[[#This Row],[order_id]], northwind_orders[order_id], 0), MATCH("employee_id", northwind_orders[#Headers], 0))</f>
        <v>8</v>
      </c>
      <c r="H1216">
        <f>northwind_order_details[[#This Row],[unit_price]]*northwind_order_details[[#This Row],[quantity]]</f>
        <v>142.5</v>
      </c>
      <c r="I1216" s="1">
        <f>northwind_order_details[[#This Row],[purchase amount]]*northwind_order_details[[#This Row],[discount]]</f>
        <v>0</v>
      </c>
      <c r="J1216" s="1">
        <f>northwind_order_details[[#This Row],[purchase amount]]-northwind_order_details[[#This Row],[discount amount]]</f>
        <v>142.5</v>
      </c>
      <c r="K1216" s="6" t="str">
        <f>IF(northwind_order_details[[#This Row],[discount amount]]&gt;0,"Yes","No")</f>
        <v>No</v>
      </c>
      <c r="L1216" s="1" t="str">
        <f>IF(northwind_order_details[[#This Row],[Revenue]]&gt;1000,"High",IF(northwind_order_details[[#This Row],[Revenue]]&gt;300,"Medium","Low"))</f>
        <v>Low</v>
      </c>
      <c r="M121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7" spans="1:13" x14ac:dyDescent="0.25">
      <c r="A1217">
        <v>10725</v>
      </c>
      <c r="B1217">
        <v>41</v>
      </c>
      <c r="C1217" s="6">
        <v>9.65</v>
      </c>
      <c r="D1217">
        <v>12</v>
      </c>
      <c r="E1217" s="6" t="s">
        <v>6</v>
      </c>
      <c r="F1217" t="str">
        <f>_xlfn.XLOOKUP(northwind_order_details[[#This Row],[order_id]],northwind_orders[order_id],northwind_orders[ship_country])</f>
        <v>Brazil</v>
      </c>
      <c r="G1217">
        <f>INDEX(northwind_orders[],MATCH(northwind_order_details[[#This Row],[order_id]], northwind_orders[order_id], 0), MATCH("employee_id", northwind_orders[#Headers], 0))</f>
        <v>4</v>
      </c>
      <c r="H1217">
        <f>northwind_order_details[[#This Row],[unit_price]]*northwind_order_details[[#This Row],[quantity]]</f>
        <v>115.80000000000001</v>
      </c>
      <c r="I1217" s="1">
        <f>northwind_order_details[[#This Row],[purchase amount]]*northwind_order_details[[#This Row],[discount]]</f>
        <v>0</v>
      </c>
      <c r="J1217" s="1">
        <f>northwind_order_details[[#This Row],[purchase amount]]-northwind_order_details[[#This Row],[discount amount]]</f>
        <v>115.80000000000001</v>
      </c>
      <c r="K1217" s="6" t="str">
        <f>IF(northwind_order_details[[#This Row],[discount amount]]&gt;0,"Yes","No")</f>
        <v>No</v>
      </c>
      <c r="L1217" s="1" t="str">
        <f>IF(northwind_order_details[[#This Row],[Revenue]]&gt;1000,"High",IF(northwind_order_details[[#This Row],[Revenue]]&gt;300,"Medium","Low"))</f>
        <v>Low</v>
      </c>
      <c r="M121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18" spans="1:13" x14ac:dyDescent="0.25">
      <c r="A1218">
        <v>10725</v>
      </c>
      <c r="B1218">
        <v>52</v>
      </c>
      <c r="C1218" s="6" t="s">
        <v>32</v>
      </c>
      <c r="D1218">
        <v>4</v>
      </c>
      <c r="E1218" s="6" t="s">
        <v>6</v>
      </c>
      <c r="F1218" t="str">
        <f>_xlfn.XLOOKUP(northwind_order_details[[#This Row],[order_id]],northwind_orders[order_id],northwind_orders[ship_country])</f>
        <v>Brazil</v>
      </c>
      <c r="G1218">
        <f>INDEX(northwind_orders[],MATCH(northwind_order_details[[#This Row],[order_id]], northwind_orders[order_id], 0), MATCH("employee_id", northwind_orders[#Headers], 0))</f>
        <v>4</v>
      </c>
      <c r="H1218">
        <f>northwind_order_details[[#This Row],[unit_price]]*northwind_order_details[[#This Row],[quantity]]</f>
        <v>28</v>
      </c>
      <c r="I1218" s="1">
        <f>northwind_order_details[[#This Row],[purchase amount]]*northwind_order_details[[#This Row],[discount]]</f>
        <v>0</v>
      </c>
      <c r="J1218" s="1">
        <f>northwind_order_details[[#This Row],[purchase amount]]-northwind_order_details[[#This Row],[discount amount]]</f>
        <v>28</v>
      </c>
      <c r="K1218" s="6" t="str">
        <f>IF(northwind_order_details[[#This Row],[discount amount]]&gt;0,"Yes","No")</f>
        <v>No</v>
      </c>
      <c r="L1218" s="1" t="str">
        <f>IF(northwind_order_details[[#This Row],[Revenue]]&gt;1000,"High",IF(northwind_order_details[[#This Row],[Revenue]]&gt;300,"Medium","Low"))</f>
        <v>Low</v>
      </c>
      <c r="M12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19" spans="1:13" x14ac:dyDescent="0.25">
      <c r="A1219">
        <v>10725</v>
      </c>
      <c r="B1219">
        <v>55</v>
      </c>
      <c r="C1219" s="6" t="s">
        <v>14</v>
      </c>
      <c r="D1219">
        <v>6</v>
      </c>
      <c r="E1219" s="6" t="s">
        <v>6</v>
      </c>
      <c r="F1219" t="str">
        <f>_xlfn.XLOOKUP(northwind_order_details[[#This Row],[order_id]],northwind_orders[order_id],northwind_orders[ship_country])</f>
        <v>Brazil</v>
      </c>
      <c r="G1219">
        <f>INDEX(northwind_orders[],MATCH(northwind_order_details[[#This Row],[order_id]], northwind_orders[order_id], 0), MATCH("employee_id", northwind_orders[#Headers], 0))</f>
        <v>4</v>
      </c>
      <c r="H1219">
        <f>northwind_order_details[[#This Row],[unit_price]]*northwind_order_details[[#This Row],[quantity]]</f>
        <v>144</v>
      </c>
      <c r="I1219" s="1">
        <f>northwind_order_details[[#This Row],[purchase amount]]*northwind_order_details[[#This Row],[discount]]</f>
        <v>0</v>
      </c>
      <c r="J1219" s="1">
        <f>northwind_order_details[[#This Row],[purchase amount]]-northwind_order_details[[#This Row],[discount amount]]</f>
        <v>144</v>
      </c>
      <c r="K1219" s="6" t="str">
        <f>IF(northwind_order_details[[#This Row],[discount amount]]&gt;0,"Yes","No")</f>
        <v>No</v>
      </c>
      <c r="L1219" s="1" t="str">
        <f>IF(northwind_order_details[[#This Row],[Revenue]]&gt;1000,"High",IF(northwind_order_details[[#This Row],[Revenue]]&gt;300,"Medium","Low"))</f>
        <v>Low</v>
      </c>
      <c r="M12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0" spans="1:13" x14ac:dyDescent="0.25">
      <c r="A1220">
        <v>10726</v>
      </c>
      <c r="B1220">
        <v>4</v>
      </c>
      <c r="C1220" s="6" t="s">
        <v>25</v>
      </c>
      <c r="D1220">
        <v>25</v>
      </c>
      <c r="E1220" s="6" t="s">
        <v>6</v>
      </c>
      <c r="F1220" t="str">
        <f>_xlfn.XLOOKUP(northwind_order_details[[#This Row],[order_id]],northwind_orders[order_id],northwind_orders[ship_country])</f>
        <v>UK</v>
      </c>
      <c r="G1220">
        <f>INDEX(northwind_orders[],MATCH(northwind_order_details[[#This Row],[order_id]], northwind_orders[order_id], 0), MATCH("employee_id", northwind_orders[#Headers], 0))</f>
        <v>4</v>
      </c>
      <c r="H1220">
        <f>northwind_order_details[[#This Row],[unit_price]]*northwind_order_details[[#This Row],[quantity]]</f>
        <v>550</v>
      </c>
      <c r="I1220" s="1">
        <f>northwind_order_details[[#This Row],[purchase amount]]*northwind_order_details[[#This Row],[discount]]</f>
        <v>0</v>
      </c>
      <c r="J1220" s="1">
        <f>northwind_order_details[[#This Row],[purchase amount]]-northwind_order_details[[#This Row],[discount amount]]</f>
        <v>550</v>
      </c>
      <c r="K1220" s="6" t="str">
        <f>IF(northwind_order_details[[#This Row],[discount amount]]&gt;0,"Yes","No")</f>
        <v>No</v>
      </c>
      <c r="L1220" s="1" t="str">
        <f>IF(northwind_order_details[[#This Row],[Revenue]]&gt;1000,"High",IF(northwind_order_details[[#This Row],[Revenue]]&gt;300,"Medium","Low"))</f>
        <v>Medium</v>
      </c>
      <c r="M12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1" spans="1:13" x14ac:dyDescent="0.25">
      <c r="A1221">
        <v>10726</v>
      </c>
      <c r="B1221">
        <v>11</v>
      </c>
      <c r="C1221" s="6" t="s">
        <v>37</v>
      </c>
      <c r="D1221">
        <v>5</v>
      </c>
      <c r="E1221" s="6" t="s">
        <v>6</v>
      </c>
      <c r="F1221" t="str">
        <f>_xlfn.XLOOKUP(northwind_order_details[[#This Row],[order_id]],northwind_orders[order_id],northwind_orders[ship_country])</f>
        <v>UK</v>
      </c>
      <c r="G1221">
        <f>INDEX(northwind_orders[],MATCH(northwind_order_details[[#This Row],[order_id]], northwind_orders[order_id], 0), MATCH("employee_id", northwind_orders[#Headers], 0))</f>
        <v>4</v>
      </c>
      <c r="H1221">
        <f>northwind_order_details[[#This Row],[unit_price]]*northwind_order_details[[#This Row],[quantity]]</f>
        <v>105</v>
      </c>
      <c r="I1221" s="1">
        <f>northwind_order_details[[#This Row],[purchase amount]]*northwind_order_details[[#This Row],[discount]]</f>
        <v>0</v>
      </c>
      <c r="J1221" s="1">
        <f>northwind_order_details[[#This Row],[purchase amount]]-northwind_order_details[[#This Row],[discount amount]]</f>
        <v>105</v>
      </c>
      <c r="K1221" s="6" t="str">
        <f>IF(northwind_order_details[[#This Row],[discount amount]]&gt;0,"Yes","No")</f>
        <v>No</v>
      </c>
      <c r="L1221" s="1" t="str">
        <f>IF(northwind_order_details[[#This Row],[Revenue]]&gt;1000,"High",IF(northwind_order_details[[#This Row],[Revenue]]&gt;300,"Medium","Low"))</f>
        <v>Low</v>
      </c>
      <c r="M12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2" spans="1:13" x14ac:dyDescent="0.25">
      <c r="A1222">
        <v>10727</v>
      </c>
      <c r="B1222">
        <v>17</v>
      </c>
      <c r="C1222" s="6" t="s">
        <v>35</v>
      </c>
      <c r="D1222">
        <v>20</v>
      </c>
      <c r="E1222" s="6">
        <v>0.05</v>
      </c>
      <c r="F1222" t="str">
        <f>_xlfn.XLOOKUP(northwind_order_details[[#This Row],[order_id]],northwind_orders[order_id],northwind_orders[ship_country])</f>
        <v>Italy</v>
      </c>
      <c r="G1222">
        <f>INDEX(northwind_orders[],MATCH(northwind_order_details[[#This Row],[order_id]], northwind_orders[order_id], 0), MATCH("employee_id", northwind_orders[#Headers], 0))</f>
        <v>2</v>
      </c>
      <c r="H1222">
        <f>northwind_order_details[[#This Row],[unit_price]]*northwind_order_details[[#This Row],[quantity]]</f>
        <v>780</v>
      </c>
      <c r="I1222" s="1">
        <f>northwind_order_details[[#This Row],[purchase amount]]*northwind_order_details[[#This Row],[discount]]</f>
        <v>39</v>
      </c>
      <c r="J1222" s="1">
        <f>northwind_order_details[[#This Row],[purchase amount]]-northwind_order_details[[#This Row],[discount amount]]</f>
        <v>741</v>
      </c>
      <c r="K1222" s="6" t="str">
        <f>IF(northwind_order_details[[#This Row],[discount amount]]&gt;0,"Yes","No")</f>
        <v>Yes</v>
      </c>
      <c r="L1222" s="1" t="str">
        <f>IF(northwind_order_details[[#This Row],[Revenue]]&gt;1000,"High",IF(northwind_order_details[[#This Row],[Revenue]]&gt;300,"Medium","Low"))</f>
        <v>Medium</v>
      </c>
      <c r="M12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3" spans="1:13" x14ac:dyDescent="0.25">
      <c r="A1223">
        <v>10727</v>
      </c>
      <c r="B1223">
        <v>56</v>
      </c>
      <c r="C1223" s="6" t="s">
        <v>30</v>
      </c>
      <c r="D1223">
        <v>10</v>
      </c>
      <c r="E1223" s="6">
        <v>0.05</v>
      </c>
      <c r="F1223" t="str">
        <f>_xlfn.XLOOKUP(northwind_order_details[[#This Row],[order_id]],northwind_orders[order_id],northwind_orders[ship_country])</f>
        <v>Italy</v>
      </c>
      <c r="G1223">
        <f>INDEX(northwind_orders[],MATCH(northwind_order_details[[#This Row],[order_id]], northwind_orders[order_id], 0), MATCH("employee_id", northwind_orders[#Headers], 0))</f>
        <v>2</v>
      </c>
      <c r="H1223">
        <f>northwind_order_details[[#This Row],[unit_price]]*northwind_order_details[[#This Row],[quantity]]</f>
        <v>380</v>
      </c>
      <c r="I1223" s="1">
        <f>northwind_order_details[[#This Row],[purchase amount]]*northwind_order_details[[#This Row],[discount]]</f>
        <v>19</v>
      </c>
      <c r="J1223" s="1">
        <f>northwind_order_details[[#This Row],[purchase amount]]-northwind_order_details[[#This Row],[discount amount]]</f>
        <v>361</v>
      </c>
      <c r="K1223" s="6" t="str">
        <f>IF(northwind_order_details[[#This Row],[discount amount]]&gt;0,"Yes","No")</f>
        <v>Yes</v>
      </c>
      <c r="L1223" s="1" t="str">
        <f>IF(northwind_order_details[[#This Row],[Revenue]]&gt;1000,"High",IF(northwind_order_details[[#This Row],[Revenue]]&gt;300,"Medium","Low"))</f>
        <v>Medium</v>
      </c>
      <c r="M12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4" spans="1:13" x14ac:dyDescent="0.25">
      <c r="A1224">
        <v>10727</v>
      </c>
      <c r="B1224">
        <v>59</v>
      </c>
      <c r="C1224" s="6" t="s">
        <v>33</v>
      </c>
      <c r="D1224">
        <v>10</v>
      </c>
      <c r="E1224" s="6">
        <v>0.05</v>
      </c>
      <c r="F1224" t="str">
        <f>_xlfn.XLOOKUP(northwind_order_details[[#This Row],[order_id]],northwind_orders[order_id],northwind_orders[ship_country])</f>
        <v>Italy</v>
      </c>
      <c r="G1224">
        <f>INDEX(northwind_orders[],MATCH(northwind_order_details[[#This Row],[order_id]], northwind_orders[order_id], 0), MATCH("employee_id", northwind_orders[#Headers], 0))</f>
        <v>2</v>
      </c>
      <c r="H1224">
        <f>northwind_order_details[[#This Row],[unit_price]]*northwind_order_details[[#This Row],[quantity]]</f>
        <v>550</v>
      </c>
      <c r="I1224" s="1">
        <f>northwind_order_details[[#This Row],[purchase amount]]*northwind_order_details[[#This Row],[discount]]</f>
        <v>27.5</v>
      </c>
      <c r="J1224" s="1">
        <f>northwind_order_details[[#This Row],[purchase amount]]-northwind_order_details[[#This Row],[discount amount]]</f>
        <v>522.5</v>
      </c>
      <c r="K1224" s="6" t="str">
        <f>IF(northwind_order_details[[#This Row],[discount amount]]&gt;0,"Yes","No")</f>
        <v>Yes</v>
      </c>
      <c r="L1224" s="1" t="str">
        <f>IF(northwind_order_details[[#This Row],[Revenue]]&gt;1000,"High",IF(northwind_order_details[[#This Row],[Revenue]]&gt;300,"Medium","Low"))</f>
        <v>Medium</v>
      </c>
      <c r="M12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5" spans="1:13" x14ac:dyDescent="0.25">
      <c r="A1225">
        <v>10728</v>
      </c>
      <c r="B1225">
        <v>30</v>
      </c>
      <c r="C1225" s="6">
        <v>25.89</v>
      </c>
      <c r="D1225">
        <v>15</v>
      </c>
      <c r="E1225" s="6" t="s">
        <v>6</v>
      </c>
      <c r="F1225" t="str">
        <f>_xlfn.XLOOKUP(northwind_order_details[[#This Row],[order_id]],northwind_orders[order_id],northwind_orders[ship_country])</f>
        <v>Brazil</v>
      </c>
      <c r="G1225">
        <f>INDEX(northwind_orders[],MATCH(northwind_order_details[[#This Row],[order_id]], northwind_orders[order_id], 0), MATCH("employee_id", northwind_orders[#Headers], 0))</f>
        <v>4</v>
      </c>
      <c r="H1225">
        <f>northwind_order_details[[#This Row],[unit_price]]*northwind_order_details[[#This Row],[quantity]]</f>
        <v>388.35</v>
      </c>
      <c r="I1225" s="1">
        <f>northwind_order_details[[#This Row],[purchase amount]]*northwind_order_details[[#This Row],[discount]]</f>
        <v>0</v>
      </c>
      <c r="J1225" s="1">
        <f>northwind_order_details[[#This Row],[purchase amount]]-northwind_order_details[[#This Row],[discount amount]]</f>
        <v>388.35</v>
      </c>
      <c r="K1225" s="6" t="str">
        <f>IF(northwind_order_details[[#This Row],[discount amount]]&gt;0,"Yes","No")</f>
        <v>No</v>
      </c>
      <c r="L1225" s="1" t="str">
        <f>IF(northwind_order_details[[#This Row],[Revenue]]&gt;1000,"High",IF(northwind_order_details[[#This Row],[Revenue]]&gt;300,"Medium","Low"))</f>
        <v>Medium</v>
      </c>
      <c r="M12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26" spans="1:13" x14ac:dyDescent="0.25">
      <c r="A1226">
        <v>10728</v>
      </c>
      <c r="B1226">
        <v>40</v>
      </c>
      <c r="C1226" s="6">
        <v>18.399999999999999</v>
      </c>
      <c r="D1226">
        <v>6</v>
      </c>
      <c r="E1226" s="6" t="s">
        <v>6</v>
      </c>
      <c r="F1226" t="str">
        <f>_xlfn.XLOOKUP(northwind_order_details[[#This Row],[order_id]],northwind_orders[order_id],northwind_orders[ship_country])</f>
        <v>Brazil</v>
      </c>
      <c r="G1226">
        <f>INDEX(northwind_orders[],MATCH(northwind_order_details[[#This Row],[order_id]], northwind_orders[order_id], 0), MATCH("employee_id", northwind_orders[#Headers], 0))</f>
        <v>4</v>
      </c>
      <c r="H1226">
        <f>northwind_order_details[[#This Row],[unit_price]]*northwind_order_details[[#This Row],[quantity]]</f>
        <v>110.39999999999999</v>
      </c>
      <c r="I1226" s="1">
        <f>northwind_order_details[[#This Row],[purchase amount]]*northwind_order_details[[#This Row],[discount]]</f>
        <v>0</v>
      </c>
      <c r="J1226" s="1">
        <f>northwind_order_details[[#This Row],[purchase amount]]-northwind_order_details[[#This Row],[discount amount]]</f>
        <v>110.39999999999999</v>
      </c>
      <c r="K1226" s="6" t="str">
        <f>IF(northwind_order_details[[#This Row],[discount amount]]&gt;0,"Yes","No")</f>
        <v>No</v>
      </c>
      <c r="L1226" s="1" t="str">
        <f>IF(northwind_order_details[[#This Row],[Revenue]]&gt;1000,"High",IF(northwind_order_details[[#This Row],[Revenue]]&gt;300,"Medium","Low"))</f>
        <v>Low</v>
      </c>
      <c r="M12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27" spans="1:13" x14ac:dyDescent="0.25">
      <c r="A1227">
        <v>10728</v>
      </c>
      <c r="B1227">
        <v>55</v>
      </c>
      <c r="C1227" s="6" t="s">
        <v>14</v>
      </c>
      <c r="D1227">
        <v>12</v>
      </c>
      <c r="E1227" s="6" t="s">
        <v>6</v>
      </c>
      <c r="F1227" t="str">
        <f>_xlfn.XLOOKUP(northwind_order_details[[#This Row],[order_id]],northwind_orders[order_id],northwind_orders[ship_country])</f>
        <v>Brazil</v>
      </c>
      <c r="G1227">
        <f>INDEX(northwind_orders[],MATCH(northwind_order_details[[#This Row],[order_id]], northwind_orders[order_id], 0), MATCH("employee_id", northwind_orders[#Headers], 0))</f>
        <v>4</v>
      </c>
      <c r="H1227">
        <f>northwind_order_details[[#This Row],[unit_price]]*northwind_order_details[[#This Row],[quantity]]</f>
        <v>288</v>
      </c>
      <c r="I1227" s="1">
        <f>northwind_order_details[[#This Row],[purchase amount]]*northwind_order_details[[#This Row],[discount]]</f>
        <v>0</v>
      </c>
      <c r="J1227" s="1">
        <f>northwind_order_details[[#This Row],[purchase amount]]-northwind_order_details[[#This Row],[discount amount]]</f>
        <v>288</v>
      </c>
      <c r="K1227" s="6" t="str">
        <f>IF(northwind_order_details[[#This Row],[discount amount]]&gt;0,"Yes","No")</f>
        <v>No</v>
      </c>
      <c r="L1227" s="1" t="str">
        <f>IF(northwind_order_details[[#This Row],[Revenue]]&gt;1000,"High",IF(northwind_order_details[[#This Row],[Revenue]]&gt;300,"Medium","Low"))</f>
        <v>Low</v>
      </c>
      <c r="M12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8" spans="1:13" x14ac:dyDescent="0.25">
      <c r="A1228">
        <v>10728</v>
      </c>
      <c r="B1228">
        <v>60</v>
      </c>
      <c r="C1228" s="6" t="s">
        <v>28</v>
      </c>
      <c r="D1228">
        <v>15</v>
      </c>
      <c r="E1228" s="6" t="s">
        <v>6</v>
      </c>
      <c r="F1228" t="str">
        <f>_xlfn.XLOOKUP(northwind_order_details[[#This Row],[order_id]],northwind_orders[order_id],northwind_orders[ship_country])</f>
        <v>Brazil</v>
      </c>
      <c r="G1228">
        <f>INDEX(northwind_orders[],MATCH(northwind_order_details[[#This Row],[order_id]], northwind_orders[order_id], 0), MATCH("employee_id", northwind_orders[#Headers], 0))</f>
        <v>4</v>
      </c>
      <c r="H1228">
        <f>northwind_order_details[[#This Row],[unit_price]]*northwind_order_details[[#This Row],[quantity]]</f>
        <v>510</v>
      </c>
      <c r="I1228" s="1">
        <f>northwind_order_details[[#This Row],[purchase amount]]*northwind_order_details[[#This Row],[discount]]</f>
        <v>0</v>
      </c>
      <c r="J1228" s="1">
        <f>northwind_order_details[[#This Row],[purchase amount]]-northwind_order_details[[#This Row],[discount amount]]</f>
        <v>510</v>
      </c>
      <c r="K1228" s="6" t="str">
        <f>IF(northwind_order_details[[#This Row],[discount amount]]&gt;0,"Yes","No")</f>
        <v>No</v>
      </c>
      <c r="L1228" s="1" t="str">
        <f>IF(northwind_order_details[[#This Row],[Revenue]]&gt;1000,"High",IF(northwind_order_details[[#This Row],[Revenue]]&gt;300,"Medium","Low"))</f>
        <v>Medium</v>
      </c>
      <c r="M12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29" spans="1:13" x14ac:dyDescent="0.25">
      <c r="A1229">
        <v>10729</v>
      </c>
      <c r="B1229">
        <v>1</v>
      </c>
      <c r="C1229" s="6" t="s">
        <v>24</v>
      </c>
      <c r="D1229">
        <v>50</v>
      </c>
      <c r="E1229" s="6" t="s">
        <v>6</v>
      </c>
      <c r="F1229" t="str">
        <f>_xlfn.XLOOKUP(northwind_order_details[[#This Row],[order_id]],northwind_orders[order_id],northwind_orders[ship_country])</f>
        <v>Venezuela</v>
      </c>
      <c r="G1229">
        <f>INDEX(northwind_orders[],MATCH(northwind_order_details[[#This Row],[order_id]], northwind_orders[order_id], 0), MATCH("employee_id", northwind_orders[#Headers], 0))</f>
        <v>8</v>
      </c>
      <c r="H1229">
        <f>northwind_order_details[[#This Row],[unit_price]]*northwind_order_details[[#This Row],[quantity]]</f>
        <v>900</v>
      </c>
      <c r="I1229" s="1">
        <f>northwind_order_details[[#This Row],[purchase amount]]*northwind_order_details[[#This Row],[discount]]</f>
        <v>0</v>
      </c>
      <c r="J1229" s="1">
        <f>northwind_order_details[[#This Row],[purchase amount]]-northwind_order_details[[#This Row],[discount amount]]</f>
        <v>900</v>
      </c>
      <c r="K1229" s="6" t="str">
        <f>IF(northwind_order_details[[#This Row],[discount amount]]&gt;0,"Yes","No")</f>
        <v>No</v>
      </c>
      <c r="L1229" s="1" t="str">
        <f>IF(northwind_order_details[[#This Row],[Revenue]]&gt;1000,"High",IF(northwind_order_details[[#This Row],[Revenue]]&gt;300,"Medium","Low"))</f>
        <v>Medium</v>
      </c>
      <c r="M12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30" spans="1:13" x14ac:dyDescent="0.25">
      <c r="A1230">
        <v>10729</v>
      </c>
      <c r="B1230">
        <v>21</v>
      </c>
      <c r="C1230" s="6" t="s">
        <v>8</v>
      </c>
      <c r="D1230">
        <v>30</v>
      </c>
      <c r="E1230" s="6" t="s">
        <v>6</v>
      </c>
      <c r="F1230" t="str">
        <f>_xlfn.XLOOKUP(northwind_order_details[[#This Row],[order_id]],northwind_orders[order_id],northwind_orders[ship_country])</f>
        <v>Venezuela</v>
      </c>
      <c r="G1230">
        <f>INDEX(northwind_orders[],MATCH(northwind_order_details[[#This Row],[order_id]], northwind_orders[order_id], 0), MATCH("employee_id", northwind_orders[#Headers], 0))</f>
        <v>8</v>
      </c>
      <c r="H1230">
        <f>northwind_order_details[[#This Row],[unit_price]]*northwind_order_details[[#This Row],[quantity]]</f>
        <v>300</v>
      </c>
      <c r="I1230" s="1">
        <f>northwind_order_details[[#This Row],[purchase amount]]*northwind_order_details[[#This Row],[discount]]</f>
        <v>0</v>
      </c>
      <c r="J1230" s="1">
        <f>northwind_order_details[[#This Row],[purchase amount]]-northwind_order_details[[#This Row],[discount amount]]</f>
        <v>300</v>
      </c>
      <c r="K1230" s="6" t="str">
        <f>IF(northwind_order_details[[#This Row],[discount amount]]&gt;0,"Yes","No")</f>
        <v>No</v>
      </c>
      <c r="L1230" s="1" t="str">
        <f>IF(northwind_order_details[[#This Row],[Revenue]]&gt;1000,"High",IF(northwind_order_details[[#This Row],[Revenue]]&gt;300,"Medium","Low"))</f>
        <v>Low</v>
      </c>
      <c r="M12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31" spans="1:13" x14ac:dyDescent="0.25">
      <c r="A1231">
        <v>10729</v>
      </c>
      <c r="B1231">
        <v>50</v>
      </c>
      <c r="C1231" s="6">
        <v>16.25</v>
      </c>
      <c r="D1231">
        <v>40</v>
      </c>
      <c r="E1231" s="6" t="s">
        <v>6</v>
      </c>
      <c r="F1231" t="str">
        <f>_xlfn.XLOOKUP(northwind_order_details[[#This Row],[order_id]],northwind_orders[order_id],northwind_orders[ship_country])</f>
        <v>Venezuela</v>
      </c>
      <c r="G1231">
        <f>INDEX(northwind_orders[],MATCH(northwind_order_details[[#This Row],[order_id]], northwind_orders[order_id], 0), MATCH("employee_id", northwind_orders[#Headers], 0))</f>
        <v>8</v>
      </c>
      <c r="H1231">
        <f>northwind_order_details[[#This Row],[unit_price]]*northwind_order_details[[#This Row],[quantity]]</f>
        <v>650</v>
      </c>
      <c r="I1231" s="1">
        <f>northwind_order_details[[#This Row],[purchase amount]]*northwind_order_details[[#This Row],[discount]]</f>
        <v>0</v>
      </c>
      <c r="J1231" s="1">
        <f>northwind_order_details[[#This Row],[purchase amount]]-northwind_order_details[[#This Row],[discount amount]]</f>
        <v>650</v>
      </c>
      <c r="K1231" s="6" t="str">
        <f>IF(northwind_order_details[[#This Row],[discount amount]]&gt;0,"Yes","No")</f>
        <v>No</v>
      </c>
      <c r="L1231" s="1" t="str">
        <f>IF(northwind_order_details[[#This Row],[Revenue]]&gt;1000,"High",IF(northwind_order_details[[#This Row],[Revenue]]&gt;300,"Medium","Low"))</f>
        <v>Medium</v>
      </c>
      <c r="M123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32" spans="1:13" x14ac:dyDescent="0.25">
      <c r="A1232">
        <v>10730</v>
      </c>
      <c r="B1232">
        <v>16</v>
      </c>
      <c r="C1232" s="6">
        <v>17.45</v>
      </c>
      <c r="D1232">
        <v>15</v>
      </c>
      <c r="E1232" s="6">
        <v>0.05</v>
      </c>
      <c r="F1232" t="str">
        <f>_xlfn.XLOOKUP(northwind_order_details[[#This Row],[order_id]],northwind_orders[order_id],northwind_orders[ship_country])</f>
        <v>France</v>
      </c>
      <c r="G1232">
        <f>INDEX(northwind_orders[],MATCH(northwind_order_details[[#This Row],[order_id]], northwind_orders[order_id], 0), MATCH("employee_id", northwind_orders[#Headers], 0))</f>
        <v>5</v>
      </c>
      <c r="H1232">
        <f>northwind_order_details[[#This Row],[unit_price]]*northwind_order_details[[#This Row],[quantity]]</f>
        <v>261.75</v>
      </c>
      <c r="I1232" s="1">
        <f>northwind_order_details[[#This Row],[purchase amount]]*northwind_order_details[[#This Row],[discount]]</f>
        <v>13.0875</v>
      </c>
      <c r="J1232" s="1">
        <f>northwind_order_details[[#This Row],[purchase amount]]-northwind_order_details[[#This Row],[discount amount]]</f>
        <v>248.66249999999999</v>
      </c>
      <c r="K1232" s="6" t="str">
        <f>IF(northwind_order_details[[#This Row],[discount amount]]&gt;0,"Yes","No")</f>
        <v>Yes</v>
      </c>
      <c r="L1232" s="1" t="str">
        <f>IF(northwind_order_details[[#This Row],[Revenue]]&gt;1000,"High",IF(northwind_order_details[[#This Row],[Revenue]]&gt;300,"Medium","Low"))</f>
        <v>Low</v>
      </c>
      <c r="M12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33" spans="1:13" x14ac:dyDescent="0.25">
      <c r="A1233">
        <v>10730</v>
      </c>
      <c r="B1233">
        <v>31</v>
      </c>
      <c r="C1233" s="6">
        <v>12.5</v>
      </c>
      <c r="D1233">
        <v>3</v>
      </c>
      <c r="E1233" s="6">
        <v>0.05</v>
      </c>
      <c r="F1233" t="str">
        <f>_xlfn.XLOOKUP(northwind_order_details[[#This Row],[order_id]],northwind_orders[order_id],northwind_orders[ship_country])</f>
        <v>France</v>
      </c>
      <c r="G1233">
        <f>INDEX(northwind_orders[],MATCH(northwind_order_details[[#This Row],[order_id]], northwind_orders[order_id], 0), MATCH("employee_id", northwind_orders[#Headers], 0))</f>
        <v>5</v>
      </c>
      <c r="H1233">
        <f>northwind_order_details[[#This Row],[unit_price]]*northwind_order_details[[#This Row],[quantity]]</f>
        <v>37.5</v>
      </c>
      <c r="I1233" s="1">
        <f>northwind_order_details[[#This Row],[purchase amount]]*northwind_order_details[[#This Row],[discount]]</f>
        <v>1.875</v>
      </c>
      <c r="J1233" s="1">
        <f>northwind_order_details[[#This Row],[purchase amount]]-northwind_order_details[[#This Row],[discount amount]]</f>
        <v>35.625</v>
      </c>
      <c r="K1233" s="6" t="str">
        <f>IF(northwind_order_details[[#This Row],[discount amount]]&gt;0,"Yes","No")</f>
        <v>Yes</v>
      </c>
      <c r="L1233" s="1" t="str">
        <f>IF(northwind_order_details[[#This Row],[Revenue]]&gt;1000,"High",IF(northwind_order_details[[#This Row],[Revenue]]&gt;300,"Medium","Low"))</f>
        <v>Low</v>
      </c>
      <c r="M123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34" spans="1:13" x14ac:dyDescent="0.25">
      <c r="A1234">
        <v>10730</v>
      </c>
      <c r="B1234">
        <v>65</v>
      </c>
      <c r="C1234" s="6">
        <v>21.05</v>
      </c>
      <c r="D1234">
        <v>10</v>
      </c>
      <c r="E1234" s="6">
        <v>0.05</v>
      </c>
      <c r="F1234" t="str">
        <f>_xlfn.XLOOKUP(northwind_order_details[[#This Row],[order_id]],northwind_orders[order_id],northwind_orders[ship_country])</f>
        <v>France</v>
      </c>
      <c r="G1234">
        <f>INDEX(northwind_orders[],MATCH(northwind_order_details[[#This Row],[order_id]], northwind_orders[order_id], 0), MATCH("employee_id", northwind_orders[#Headers], 0))</f>
        <v>5</v>
      </c>
      <c r="H1234">
        <f>northwind_order_details[[#This Row],[unit_price]]*northwind_order_details[[#This Row],[quantity]]</f>
        <v>210.5</v>
      </c>
      <c r="I1234" s="1">
        <f>northwind_order_details[[#This Row],[purchase amount]]*northwind_order_details[[#This Row],[discount]]</f>
        <v>10.525</v>
      </c>
      <c r="J1234" s="1">
        <f>northwind_order_details[[#This Row],[purchase amount]]-northwind_order_details[[#This Row],[discount amount]]</f>
        <v>199.97499999999999</v>
      </c>
      <c r="K1234" s="6" t="str">
        <f>IF(northwind_order_details[[#This Row],[discount amount]]&gt;0,"Yes","No")</f>
        <v>Yes</v>
      </c>
      <c r="L1234" s="1" t="str">
        <f>IF(northwind_order_details[[#This Row],[Revenue]]&gt;1000,"High",IF(northwind_order_details[[#This Row],[Revenue]]&gt;300,"Medium","Low"))</f>
        <v>Low</v>
      </c>
      <c r="M123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35" spans="1:13" x14ac:dyDescent="0.25">
      <c r="A1235">
        <v>10731</v>
      </c>
      <c r="B1235">
        <v>21</v>
      </c>
      <c r="C1235" s="6" t="s">
        <v>8</v>
      </c>
      <c r="D1235">
        <v>40</v>
      </c>
      <c r="E1235" s="6">
        <v>0.05</v>
      </c>
      <c r="F1235" t="str">
        <f>_xlfn.XLOOKUP(northwind_order_details[[#This Row],[order_id]],northwind_orders[order_id],northwind_orders[ship_country])</f>
        <v>Switzerland</v>
      </c>
      <c r="G1235">
        <f>INDEX(northwind_orders[],MATCH(northwind_order_details[[#This Row],[order_id]], northwind_orders[order_id], 0), MATCH("employee_id", northwind_orders[#Headers], 0))</f>
        <v>7</v>
      </c>
      <c r="H1235">
        <f>northwind_order_details[[#This Row],[unit_price]]*northwind_order_details[[#This Row],[quantity]]</f>
        <v>400</v>
      </c>
      <c r="I1235" s="1">
        <f>northwind_order_details[[#This Row],[purchase amount]]*northwind_order_details[[#This Row],[discount]]</f>
        <v>20</v>
      </c>
      <c r="J1235" s="1">
        <f>northwind_order_details[[#This Row],[purchase amount]]-northwind_order_details[[#This Row],[discount amount]]</f>
        <v>380</v>
      </c>
      <c r="K1235" s="6" t="str">
        <f>IF(northwind_order_details[[#This Row],[discount amount]]&gt;0,"Yes","No")</f>
        <v>Yes</v>
      </c>
      <c r="L1235" s="1" t="str">
        <f>IF(northwind_order_details[[#This Row],[Revenue]]&gt;1000,"High",IF(northwind_order_details[[#This Row],[Revenue]]&gt;300,"Medium","Low"))</f>
        <v>Medium</v>
      </c>
      <c r="M12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36" spans="1:13" x14ac:dyDescent="0.25">
      <c r="A1236">
        <v>10731</v>
      </c>
      <c r="B1236">
        <v>51</v>
      </c>
      <c r="C1236" s="6" t="s">
        <v>39</v>
      </c>
      <c r="D1236">
        <v>30</v>
      </c>
      <c r="E1236" s="6">
        <v>0.05</v>
      </c>
      <c r="F1236" t="str">
        <f>_xlfn.XLOOKUP(northwind_order_details[[#This Row],[order_id]],northwind_orders[order_id],northwind_orders[ship_country])</f>
        <v>Switzerland</v>
      </c>
      <c r="G1236">
        <f>INDEX(northwind_orders[],MATCH(northwind_order_details[[#This Row],[order_id]], northwind_orders[order_id], 0), MATCH("employee_id", northwind_orders[#Headers], 0))</f>
        <v>7</v>
      </c>
      <c r="H1236">
        <f>northwind_order_details[[#This Row],[unit_price]]*northwind_order_details[[#This Row],[quantity]]</f>
        <v>1590</v>
      </c>
      <c r="I1236" s="1">
        <f>northwind_order_details[[#This Row],[purchase amount]]*northwind_order_details[[#This Row],[discount]]</f>
        <v>79.5</v>
      </c>
      <c r="J1236" s="1">
        <f>northwind_order_details[[#This Row],[purchase amount]]-northwind_order_details[[#This Row],[discount amount]]</f>
        <v>1510.5</v>
      </c>
      <c r="K1236" s="6" t="str">
        <f>IF(northwind_order_details[[#This Row],[discount amount]]&gt;0,"Yes","No")</f>
        <v>Yes</v>
      </c>
      <c r="L1236" s="1" t="str">
        <f>IF(northwind_order_details[[#This Row],[Revenue]]&gt;1000,"High",IF(northwind_order_details[[#This Row],[Revenue]]&gt;300,"Medium","Low"))</f>
        <v>High</v>
      </c>
      <c r="M12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37" spans="1:13" x14ac:dyDescent="0.25">
      <c r="A1237">
        <v>10732</v>
      </c>
      <c r="B1237">
        <v>76</v>
      </c>
      <c r="C1237" s="6" t="s">
        <v>24</v>
      </c>
      <c r="D1237">
        <v>20</v>
      </c>
      <c r="E1237" s="6" t="s">
        <v>6</v>
      </c>
      <c r="F1237" t="str">
        <f>_xlfn.XLOOKUP(northwind_order_details[[#This Row],[order_id]],northwind_orders[order_id],northwind_orders[ship_country])</f>
        <v>France</v>
      </c>
      <c r="G1237">
        <f>INDEX(northwind_orders[],MATCH(northwind_order_details[[#This Row],[order_id]], northwind_orders[order_id], 0), MATCH("employee_id", northwind_orders[#Headers], 0))</f>
        <v>3</v>
      </c>
      <c r="H1237">
        <f>northwind_order_details[[#This Row],[unit_price]]*northwind_order_details[[#This Row],[quantity]]</f>
        <v>360</v>
      </c>
      <c r="I1237" s="1">
        <f>northwind_order_details[[#This Row],[purchase amount]]*northwind_order_details[[#This Row],[discount]]</f>
        <v>0</v>
      </c>
      <c r="J1237" s="1">
        <f>northwind_order_details[[#This Row],[purchase amount]]-northwind_order_details[[#This Row],[discount amount]]</f>
        <v>360</v>
      </c>
      <c r="K1237" s="6" t="str">
        <f>IF(northwind_order_details[[#This Row],[discount amount]]&gt;0,"Yes","No")</f>
        <v>No</v>
      </c>
      <c r="L1237" s="1" t="str">
        <f>IF(northwind_order_details[[#This Row],[Revenue]]&gt;1000,"High",IF(northwind_order_details[[#This Row],[Revenue]]&gt;300,"Medium","Low"))</f>
        <v>Medium</v>
      </c>
      <c r="M12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38" spans="1:13" x14ac:dyDescent="0.25">
      <c r="A1238">
        <v>10733</v>
      </c>
      <c r="B1238">
        <v>14</v>
      </c>
      <c r="C1238" s="6">
        <v>23.25</v>
      </c>
      <c r="D1238">
        <v>16</v>
      </c>
      <c r="E1238" s="6" t="s">
        <v>6</v>
      </c>
      <c r="F1238" t="str">
        <f>_xlfn.XLOOKUP(northwind_order_details[[#This Row],[order_id]],northwind_orders[order_id],northwind_orders[ship_country])</f>
        <v>Sweden</v>
      </c>
      <c r="G1238">
        <f>INDEX(northwind_orders[],MATCH(northwind_order_details[[#This Row],[order_id]], northwind_orders[order_id], 0), MATCH("employee_id", northwind_orders[#Headers], 0))</f>
        <v>1</v>
      </c>
      <c r="H1238">
        <f>northwind_order_details[[#This Row],[unit_price]]*northwind_order_details[[#This Row],[quantity]]</f>
        <v>372</v>
      </c>
      <c r="I1238" s="1">
        <f>northwind_order_details[[#This Row],[purchase amount]]*northwind_order_details[[#This Row],[discount]]</f>
        <v>0</v>
      </c>
      <c r="J1238" s="1">
        <f>northwind_order_details[[#This Row],[purchase amount]]-northwind_order_details[[#This Row],[discount amount]]</f>
        <v>372</v>
      </c>
      <c r="K1238" s="6" t="str">
        <f>IF(northwind_order_details[[#This Row],[discount amount]]&gt;0,"Yes","No")</f>
        <v>No</v>
      </c>
      <c r="L1238" s="1" t="str">
        <f>IF(northwind_order_details[[#This Row],[Revenue]]&gt;1000,"High",IF(northwind_order_details[[#This Row],[Revenue]]&gt;300,"Medium","Low"))</f>
        <v>Medium</v>
      </c>
      <c r="M123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39" spans="1:13" x14ac:dyDescent="0.25">
      <c r="A1239">
        <v>10733</v>
      </c>
      <c r="B1239">
        <v>28</v>
      </c>
      <c r="C1239" s="6">
        <v>45.6</v>
      </c>
      <c r="D1239">
        <v>20</v>
      </c>
      <c r="E1239" s="6" t="s">
        <v>6</v>
      </c>
      <c r="F1239" t="str">
        <f>_xlfn.XLOOKUP(northwind_order_details[[#This Row],[order_id]],northwind_orders[order_id],northwind_orders[ship_country])</f>
        <v>Sweden</v>
      </c>
      <c r="G1239">
        <f>INDEX(northwind_orders[],MATCH(northwind_order_details[[#This Row],[order_id]], northwind_orders[order_id], 0), MATCH("employee_id", northwind_orders[#Headers], 0))</f>
        <v>1</v>
      </c>
      <c r="H1239">
        <f>northwind_order_details[[#This Row],[unit_price]]*northwind_order_details[[#This Row],[quantity]]</f>
        <v>912</v>
      </c>
      <c r="I1239" s="1">
        <f>northwind_order_details[[#This Row],[purchase amount]]*northwind_order_details[[#This Row],[discount]]</f>
        <v>0</v>
      </c>
      <c r="J1239" s="1">
        <f>northwind_order_details[[#This Row],[purchase amount]]-northwind_order_details[[#This Row],[discount amount]]</f>
        <v>912</v>
      </c>
      <c r="K1239" s="6" t="str">
        <f>IF(northwind_order_details[[#This Row],[discount amount]]&gt;0,"Yes","No")</f>
        <v>No</v>
      </c>
      <c r="L1239" s="1" t="str">
        <f>IF(northwind_order_details[[#This Row],[Revenue]]&gt;1000,"High",IF(northwind_order_details[[#This Row],[Revenue]]&gt;300,"Medium","Low"))</f>
        <v>Medium</v>
      </c>
      <c r="M12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40" spans="1:13" x14ac:dyDescent="0.25">
      <c r="A1240">
        <v>10733</v>
      </c>
      <c r="B1240">
        <v>52</v>
      </c>
      <c r="C1240" s="6" t="s">
        <v>32</v>
      </c>
      <c r="D1240">
        <v>25</v>
      </c>
      <c r="E1240" s="6" t="s">
        <v>6</v>
      </c>
      <c r="F1240" t="str">
        <f>_xlfn.XLOOKUP(northwind_order_details[[#This Row],[order_id]],northwind_orders[order_id],northwind_orders[ship_country])</f>
        <v>Sweden</v>
      </c>
      <c r="G1240">
        <f>INDEX(northwind_orders[],MATCH(northwind_order_details[[#This Row],[order_id]], northwind_orders[order_id], 0), MATCH("employee_id", northwind_orders[#Headers], 0))</f>
        <v>1</v>
      </c>
      <c r="H1240">
        <f>northwind_order_details[[#This Row],[unit_price]]*northwind_order_details[[#This Row],[quantity]]</f>
        <v>175</v>
      </c>
      <c r="I1240" s="1">
        <f>northwind_order_details[[#This Row],[purchase amount]]*northwind_order_details[[#This Row],[discount]]</f>
        <v>0</v>
      </c>
      <c r="J1240" s="1">
        <f>northwind_order_details[[#This Row],[purchase amount]]-northwind_order_details[[#This Row],[discount amount]]</f>
        <v>175</v>
      </c>
      <c r="K1240" s="6" t="str">
        <f>IF(northwind_order_details[[#This Row],[discount amount]]&gt;0,"Yes","No")</f>
        <v>No</v>
      </c>
      <c r="L1240" s="1" t="str">
        <f>IF(northwind_order_details[[#This Row],[Revenue]]&gt;1000,"High",IF(northwind_order_details[[#This Row],[Revenue]]&gt;300,"Medium","Low"))</f>
        <v>Low</v>
      </c>
      <c r="M12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41" spans="1:13" x14ac:dyDescent="0.25">
      <c r="A1241">
        <v>10734</v>
      </c>
      <c r="B1241">
        <v>6</v>
      </c>
      <c r="C1241" s="6" t="s">
        <v>41</v>
      </c>
      <c r="D1241">
        <v>30</v>
      </c>
      <c r="E1241" s="6" t="s">
        <v>6</v>
      </c>
      <c r="F1241" t="str">
        <f>_xlfn.XLOOKUP(northwind_order_details[[#This Row],[order_id]],northwind_orders[order_id],northwind_orders[ship_country])</f>
        <v>Brazil</v>
      </c>
      <c r="G1241">
        <f>INDEX(northwind_orders[],MATCH(northwind_order_details[[#This Row],[order_id]], northwind_orders[order_id], 0), MATCH("employee_id", northwind_orders[#Headers], 0))</f>
        <v>2</v>
      </c>
      <c r="H1241">
        <f>northwind_order_details[[#This Row],[unit_price]]*northwind_order_details[[#This Row],[quantity]]</f>
        <v>750</v>
      </c>
      <c r="I1241" s="1">
        <f>northwind_order_details[[#This Row],[purchase amount]]*northwind_order_details[[#This Row],[discount]]</f>
        <v>0</v>
      </c>
      <c r="J1241" s="1">
        <f>northwind_order_details[[#This Row],[purchase amount]]-northwind_order_details[[#This Row],[discount amount]]</f>
        <v>750</v>
      </c>
      <c r="K1241" s="6" t="str">
        <f>IF(northwind_order_details[[#This Row],[discount amount]]&gt;0,"Yes","No")</f>
        <v>No</v>
      </c>
      <c r="L1241" s="1" t="str">
        <f>IF(northwind_order_details[[#This Row],[Revenue]]&gt;1000,"High",IF(northwind_order_details[[#This Row],[Revenue]]&gt;300,"Medium","Low"))</f>
        <v>Medium</v>
      </c>
      <c r="M12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42" spans="1:13" x14ac:dyDescent="0.25">
      <c r="A1242">
        <v>10734</v>
      </c>
      <c r="B1242">
        <v>30</v>
      </c>
      <c r="C1242" s="6">
        <v>25.89</v>
      </c>
      <c r="D1242">
        <v>15</v>
      </c>
      <c r="E1242" s="6" t="s">
        <v>6</v>
      </c>
      <c r="F1242" t="str">
        <f>_xlfn.XLOOKUP(northwind_order_details[[#This Row],[order_id]],northwind_orders[order_id],northwind_orders[ship_country])</f>
        <v>Brazil</v>
      </c>
      <c r="G1242">
        <f>INDEX(northwind_orders[],MATCH(northwind_order_details[[#This Row],[order_id]], northwind_orders[order_id], 0), MATCH("employee_id", northwind_orders[#Headers], 0))</f>
        <v>2</v>
      </c>
      <c r="H1242">
        <f>northwind_order_details[[#This Row],[unit_price]]*northwind_order_details[[#This Row],[quantity]]</f>
        <v>388.35</v>
      </c>
      <c r="I1242" s="1">
        <f>northwind_order_details[[#This Row],[purchase amount]]*northwind_order_details[[#This Row],[discount]]</f>
        <v>0</v>
      </c>
      <c r="J1242" s="1">
        <f>northwind_order_details[[#This Row],[purchase amount]]-northwind_order_details[[#This Row],[discount amount]]</f>
        <v>388.35</v>
      </c>
      <c r="K1242" s="6" t="str">
        <f>IF(northwind_order_details[[#This Row],[discount amount]]&gt;0,"Yes","No")</f>
        <v>No</v>
      </c>
      <c r="L1242" s="1" t="str">
        <f>IF(northwind_order_details[[#This Row],[Revenue]]&gt;1000,"High",IF(northwind_order_details[[#This Row],[Revenue]]&gt;300,"Medium","Low"))</f>
        <v>Medium</v>
      </c>
      <c r="M124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43" spans="1:13" x14ac:dyDescent="0.25">
      <c r="A1243">
        <v>10734</v>
      </c>
      <c r="B1243">
        <v>76</v>
      </c>
      <c r="C1243" s="6" t="s">
        <v>24</v>
      </c>
      <c r="D1243">
        <v>20</v>
      </c>
      <c r="E1243" s="6" t="s">
        <v>6</v>
      </c>
      <c r="F1243" t="str">
        <f>_xlfn.XLOOKUP(northwind_order_details[[#This Row],[order_id]],northwind_orders[order_id],northwind_orders[ship_country])</f>
        <v>Brazil</v>
      </c>
      <c r="G1243">
        <f>INDEX(northwind_orders[],MATCH(northwind_order_details[[#This Row],[order_id]], northwind_orders[order_id], 0), MATCH("employee_id", northwind_orders[#Headers], 0))</f>
        <v>2</v>
      </c>
      <c r="H1243">
        <f>northwind_order_details[[#This Row],[unit_price]]*northwind_order_details[[#This Row],[quantity]]</f>
        <v>360</v>
      </c>
      <c r="I1243" s="1">
        <f>northwind_order_details[[#This Row],[purchase amount]]*northwind_order_details[[#This Row],[discount]]</f>
        <v>0</v>
      </c>
      <c r="J1243" s="1">
        <f>northwind_order_details[[#This Row],[purchase amount]]-northwind_order_details[[#This Row],[discount amount]]</f>
        <v>360</v>
      </c>
      <c r="K1243" s="6" t="str">
        <f>IF(northwind_order_details[[#This Row],[discount amount]]&gt;0,"Yes","No")</f>
        <v>No</v>
      </c>
      <c r="L1243" s="1" t="str">
        <f>IF(northwind_order_details[[#This Row],[Revenue]]&gt;1000,"High",IF(northwind_order_details[[#This Row],[Revenue]]&gt;300,"Medium","Low"))</f>
        <v>Medium</v>
      </c>
      <c r="M12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44" spans="1:13" x14ac:dyDescent="0.25">
      <c r="A1244">
        <v>10735</v>
      </c>
      <c r="B1244">
        <v>61</v>
      </c>
      <c r="C1244" s="6">
        <v>28.5</v>
      </c>
      <c r="D1244">
        <v>20</v>
      </c>
      <c r="E1244" s="6">
        <v>0.1</v>
      </c>
      <c r="F1244" t="str">
        <f>_xlfn.XLOOKUP(northwind_order_details[[#This Row],[order_id]],northwind_orders[order_id],northwind_orders[ship_country])</f>
        <v>USA</v>
      </c>
      <c r="G1244">
        <f>INDEX(northwind_orders[],MATCH(northwind_order_details[[#This Row],[order_id]], northwind_orders[order_id], 0), MATCH("employee_id", northwind_orders[#Headers], 0))</f>
        <v>6</v>
      </c>
      <c r="H1244">
        <f>northwind_order_details[[#This Row],[unit_price]]*northwind_order_details[[#This Row],[quantity]]</f>
        <v>570</v>
      </c>
      <c r="I1244" s="1">
        <f>northwind_order_details[[#This Row],[purchase amount]]*northwind_order_details[[#This Row],[discount]]</f>
        <v>57</v>
      </c>
      <c r="J1244" s="1">
        <f>northwind_order_details[[#This Row],[purchase amount]]-northwind_order_details[[#This Row],[discount amount]]</f>
        <v>513</v>
      </c>
      <c r="K1244" s="6" t="str">
        <f>IF(northwind_order_details[[#This Row],[discount amount]]&gt;0,"Yes","No")</f>
        <v>Yes</v>
      </c>
      <c r="L1244" s="1" t="str">
        <f>IF(northwind_order_details[[#This Row],[Revenue]]&gt;1000,"High",IF(northwind_order_details[[#This Row],[Revenue]]&gt;300,"Medium","Low"))</f>
        <v>Medium</v>
      </c>
      <c r="M12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45" spans="1:13" x14ac:dyDescent="0.25">
      <c r="A1245">
        <v>10735</v>
      </c>
      <c r="B1245">
        <v>77</v>
      </c>
      <c r="C1245" s="6" t="s">
        <v>19</v>
      </c>
      <c r="D1245">
        <v>2</v>
      </c>
      <c r="E1245" s="6">
        <v>0.1</v>
      </c>
      <c r="F1245" t="str">
        <f>_xlfn.XLOOKUP(northwind_order_details[[#This Row],[order_id]],northwind_orders[order_id],northwind_orders[ship_country])</f>
        <v>USA</v>
      </c>
      <c r="G1245">
        <f>INDEX(northwind_orders[],MATCH(northwind_order_details[[#This Row],[order_id]], northwind_orders[order_id], 0), MATCH("employee_id", northwind_orders[#Headers], 0))</f>
        <v>6</v>
      </c>
      <c r="H1245">
        <f>northwind_order_details[[#This Row],[unit_price]]*northwind_order_details[[#This Row],[quantity]]</f>
        <v>26</v>
      </c>
      <c r="I1245" s="1">
        <f>northwind_order_details[[#This Row],[purchase amount]]*northwind_order_details[[#This Row],[discount]]</f>
        <v>2.6</v>
      </c>
      <c r="J1245" s="1">
        <f>northwind_order_details[[#This Row],[purchase amount]]-northwind_order_details[[#This Row],[discount amount]]</f>
        <v>23.4</v>
      </c>
      <c r="K1245" s="6" t="str">
        <f>IF(northwind_order_details[[#This Row],[discount amount]]&gt;0,"Yes","No")</f>
        <v>Yes</v>
      </c>
      <c r="L1245" s="1" t="str">
        <f>IF(northwind_order_details[[#This Row],[Revenue]]&gt;1000,"High",IF(northwind_order_details[[#This Row],[Revenue]]&gt;300,"Medium","Low"))</f>
        <v>Low</v>
      </c>
      <c r="M12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46" spans="1:13" x14ac:dyDescent="0.25">
      <c r="A1246">
        <v>10737</v>
      </c>
      <c r="B1246">
        <v>13</v>
      </c>
      <c r="C1246" s="6" t="s">
        <v>23</v>
      </c>
      <c r="D1246">
        <v>4</v>
      </c>
      <c r="E1246" s="6" t="s">
        <v>6</v>
      </c>
      <c r="F1246" t="str">
        <f>_xlfn.XLOOKUP(northwind_order_details[[#This Row],[order_id]],northwind_orders[order_id],northwind_orders[ship_country])</f>
        <v>France</v>
      </c>
      <c r="G1246">
        <f>INDEX(northwind_orders[],MATCH(northwind_order_details[[#This Row],[order_id]], northwind_orders[order_id], 0), MATCH("employee_id", northwind_orders[#Headers], 0))</f>
        <v>2</v>
      </c>
      <c r="H1246">
        <f>northwind_order_details[[#This Row],[unit_price]]*northwind_order_details[[#This Row],[quantity]]</f>
        <v>24</v>
      </c>
      <c r="I1246" s="1">
        <f>northwind_order_details[[#This Row],[purchase amount]]*northwind_order_details[[#This Row],[discount]]</f>
        <v>0</v>
      </c>
      <c r="J1246" s="1">
        <f>northwind_order_details[[#This Row],[purchase amount]]-northwind_order_details[[#This Row],[discount amount]]</f>
        <v>24</v>
      </c>
      <c r="K1246" s="6" t="str">
        <f>IF(northwind_order_details[[#This Row],[discount amount]]&gt;0,"Yes","No")</f>
        <v>No</v>
      </c>
      <c r="L1246" s="1" t="str">
        <f>IF(northwind_order_details[[#This Row],[Revenue]]&gt;1000,"High",IF(northwind_order_details[[#This Row],[Revenue]]&gt;300,"Medium","Low"))</f>
        <v>Low</v>
      </c>
      <c r="M12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47" spans="1:13" x14ac:dyDescent="0.25">
      <c r="A1247">
        <v>10737</v>
      </c>
      <c r="B1247">
        <v>41</v>
      </c>
      <c r="C1247" s="6">
        <v>9.65</v>
      </c>
      <c r="D1247">
        <v>12</v>
      </c>
      <c r="E1247" s="6" t="s">
        <v>6</v>
      </c>
      <c r="F1247" t="str">
        <f>_xlfn.XLOOKUP(northwind_order_details[[#This Row],[order_id]],northwind_orders[order_id],northwind_orders[ship_country])</f>
        <v>France</v>
      </c>
      <c r="G1247">
        <f>INDEX(northwind_orders[],MATCH(northwind_order_details[[#This Row],[order_id]], northwind_orders[order_id], 0), MATCH("employee_id", northwind_orders[#Headers], 0))</f>
        <v>2</v>
      </c>
      <c r="H1247">
        <f>northwind_order_details[[#This Row],[unit_price]]*northwind_order_details[[#This Row],[quantity]]</f>
        <v>115.80000000000001</v>
      </c>
      <c r="I1247" s="1">
        <f>northwind_order_details[[#This Row],[purchase amount]]*northwind_order_details[[#This Row],[discount]]</f>
        <v>0</v>
      </c>
      <c r="J1247" s="1">
        <f>northwind_order_details[[#This Row],[purchase amount]]-northwind_order_details[[#This Row],[discount amount]]</f>
        <v>115.80000000000001</v>
      </c>
      <c r="K1247" s="6" t="str">
        <f>IF(northwind_order_details[[#This Row],[discount amount]]&gt;0,"Yes","No")</f>
        <v>No</v>
      </c>
      <c r="L1247" s="1" t="str">
        <f>IF(northwind_order_details[[#This Row],[Revenue]]&gt;1000,"High",IF(northwind_order_details[[#This Row],[Revenue]]&gt;300,"Medium","Low"))</f>
        <v>Low</v>
      </c>
      <c r="M12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48" spans="1:13" x14ac:dyDescent="0.25">
      <c r="A1248">
        <v>10738</v>
      </c>
      <c r="B1248">
        <v>16</v>
      </c>
      <c r="C1248" s="6">
        <v>17.45</v>
      </c>
      <c r="D1248">
        <v>3</v>
      </c>
      <c r="E1248" s="6" t="s">
        <v>6</v>
      </c>
      <c r="F1248" t="str">
        <f>_xlfn.XLOOKUP(northwind_order_details[[#This Row],[order_id]],northwind_orders[order_id],northwind_orders[ship_country])</f>
        <v>France</v>
      </c>
      <c r="G1248">
        <f>INDEX(northwind_orders[],MATCH(northwind_order_details[[#This Row],[order_id]], northwind_orders[order_id], 0), MATCH("employee_id", northwind_orders[#Headers], 0))</f>
        <v>2</v>
      </c>
      <c r="H1248">
        <f>northwind_order_details[[#This Row],[unit_price]]*northwind_order_details[[#This Row],[quantity]]</f>
        <v>52.349999999999994</v>
      </c>
      <c r="I1248" s="1">
        <f>northwind_order_details[[#This Row],[purchase amount]]*northwind_order_details[[#This Row],[discount]]</f>
        <v>0</v>
      </c>
      <c r="J1248" s="1">
        <f>northwind_order_details[[#This Row],[purchase amount]]-northwind_order_details[[#This Row],[discount amount]]</f>
        <v>52.349999999999994</v>
      </c>
      <c r="K1248" s="6" t="str">
        <f>IF(northwind_order_details[[#This Row],[discount amount]]&gt;0,"Yes","No")</f>
        <v>No</v>
      </c>
      <c r="L1248" s="1" t="str">
        <f>IF(northwind_order_details[[#This Row],[Revenue]]&gt;1000,"High",IF(northwind_order_details[[#This Row],[Revenue]]&gt;300,"Medium","Low"))</f>
        <v>Low</v>
      </c>
      <c r="M124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49" spans="1:13" x14ac:dyDescent="0.25">
      <c r="A1249">
        <v>10739</v>
      </c>
      <c r="B1249">
        <v>36</v>
      </c>
      <c r="C1249" s="6" t="s">
        <v>20</v>
      </c>
      <c r="D1249">
        <v>6</v>
      </c>
      <c r="E1249" s="6" t="s">
        <v>6</v>
      </c>
      <c r="F1249" t="str">
        <f>_xlfn.XLOOKUP(northwind_order_details[[#This Row],[order_id]],northwind_orders[order_id],northwind_orders[ship_country])</f>
        <v>France</v>
      </c>
      <c r="G1249">
        <f>INDEX(northwind_orders[],MATCH(northwind_order_details[[#This Row],[order_id]], northwind_orders[order_id], 0), MATCH("employee_id", northwind_orders[#Headers], 0))</f>
        <v>3</v>
      </c>
      <c r="H1249">
        <f>northwind_order_details[[#This Row],[unit_price]]*northwind_order_details[[#This Row],[quantity]]</f>
        <v>114</v>
      </c>
      <c r="I1249" s="1">
        <f>northwind_order_details[[#This Row],[purchase amount]]*northwind_order_details[[#This Row],[discount]]</f>
        <v>0</v>
      </c>
      <c r="J1249" s="1">
        <f>northwind_order_details[[#This Row],[purchase amount]]-northwind_order_details[[#This Row],[discount amount]]</f>
        <v>114</v>
      </c>
      <c r="K1249" s="6" t="str">
        <f>IF(northwind_order_details[[#This Row],[discount amount]]&gt;0,"Yes","No")</f>
        <v>No</v>
      </c>
      <c r="L1249" s="1" t="str">
        <f>IF(northwind_order_details[[#This Row],[Revenue]]&gt;1000,"High",IF(northwind_order_details[[#This Row],[Revenue]]&gt;300,"Medium","Low"))</f>
        <v>Low</v>
      </c>
      <c r="M12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0" spans="1:13" x14ac:dyDescent="0.25">
      <c r="A1250">
        <v>10739</v>
      </c>
      <c r="B1250">
        <v>52</v>
      </c>
      <c r="C1250" s="6" t="s">
        <v>32</v>
      </c>
      <c r="D1250">
        <v>18</v>
      </c>
      <c r="E1250" s="6" t="s">
        <v>6</v>
      </c>
      <c r="F1250" t="str">
        <f>_xlfn.XLOOKUP(northwind_order_details[[#This Row],[order_id]],northwind_orders[order_id],northwind_orders[ship_country])</f>
        <v>France</v>
      </c>
      <c r="G1250">
        <f>INDEX(northwind_orders[],MATCH(northwind_order_details[[#This Row],[order_id]], northwind_orders[order_id], 0), MATCH("employee_id", northwind_orders[#Headers], 0))</f>
        <v>3</v>
      </c>
      <c r="H1250">
        <f>northwind_order_details[[#This Row],[unit_price]]*northwind_order_details[[#This Row],[quantity]]</f>
        <v>126</v>
      </c>
      <c r="I1250" s="1">
        <f>northwind_order_details[[#This Row],[purchase amount]]*northwind_order_details[[#This Row],[discount]]</f>
        <v>0</v>
      </c>
      <c r="J1250" s="1">
        <f>northwind_order_details[[#This Row],[purchase amount]]-northwind_order_details[[#This Row],[discount amount]]</f>
        <v>126</v>
      </c>
      <c r="K1250" s="6" t="str">
        <f>IF(northwind_order_details[[#This Row],[discount amount]]&gt;0,"Yes","No")</f>
        <v>No</v>
      </c>
      <c r="L1250" s="1" t="str">
        <f>IF(northwind_order_details[[#This Row],[Revenue]]&gt;1000,"High",IF(northwind_order_details[[#This Row],[Revenue]]&gt;300,"Medium","Low"))</f>
        <v>Low</v>
      </c>
      <c r="M12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1" spans="1:13" x14ac:dyDescent="0.25">
      <c r="A1251">
        <v>10740</v>
      </c>
      <c r="B1251">
        <v>28</v>
      </c>
      <c r="C1251" s="6">
        <v>45.6</v>
      </c>
      <c r="D1251">
        <v>5</v>
      </c>
      <c r="E1251" s="6">
        <v>0.2</v>
      </c>
      <c r="F1251" t="str">
        <f>_xlfn.XLOOKUP(northwind_order_details[[#This Row],[order_id]],northwind_orders[order_id],northwind_orders[ship_country])</f>
        <v>USA</v>
      </c>
      <c r="G1251">
        <f>INDEX(northwind_orders[],MATCH(northwind_order_details[[#This Row],[order_id]], northwind_orders[order_id], 0), MATCH("employee_id", northwind_orders[#Headers], 0))</f>
        <v>4</v>
      </c>
      <c r="H1251">
        <f>northwind_order_details[[#This Row],[unit_price]]*northwind_order_details[[#This Row],[quantity]]</f>
        <v>228</v>
      </c>
      <c r="I1251" s="1">
        <f>northwind_order_details[[#This Row],[purchase amount]]*northwind_order_details[[#This Row],[discount]]</f>
        <v>45.6</v>
      </c>
      <c r="J1251" s="1">
        <f>northwind_order_details[[#This Row],[purchase amount]]-northwind_order_details[[#This Row],[discount amount]]</f>
        <v>182.4</v>
      </c>
      <c r="K1251" s="6" t="str">
        <f>IF(northwind_order_details[[#This Row],[discount amount]]&gt;0,"Yes","No")</f>
        <v>Yes</v>
      </c>
      <c r="L1251" s="1" t="str">
        <f>IF(northwind_order_details[[#This Row],[Revenue]]&gt;1000,"High",IF(northwind_order_details[[#This Row],[Revenue]]&gt;300,"Medium","Low"))</f>
        <v>Low</v>
      </c>
      <c r="M12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52" spans="1:13" x14ac:dyDescent="0.25">
      <c r="A1252">
        <v>10740</v>
      </c>
      <c r="B1252">
        <v>35</v>
      </c>
      <c r="C1252" s="6" t="s">
        <v>24</v>
      </c>
      <c r="D1252">
        <v>35</v>
      </c>
      <c r="E1252" s="6">
        <v>0.2</v>
      </c>
      <c r="F1252" t="str">
        <f>_xlfn.XLOOKUP(northwind_order_details[[#This Row],[order_id]],northwind_orders[order_id],northwind_orders[ship_country])</f>
        <v>USA</v>
      </c>
      <c r="G1252">
        <f>INDEX(northwind_orders[],MATCH(northwind_order_details[[#This Row],[order_id]], northwind_orders[order_id], 0), MATCH("employee_id", northwind_orders[#Headers], 0))</f>
        <v>4</v>
      </c>
      <c r="H1252">
        <f>northwind_order_details[[#This Row],[unit_price]]*northwind_order_details[[#This Row],[quantity]]</f>
        <v>630</v>
      </c>
      <c r="I1252" s="1">
        <f>northwind_order_details[[#This Row],[purchase amount]]*northwind_order_details[[#This Row],[discount]]</f>
        <v>126</v>
      </c>
      <c r="J1252" s="1">
        <f>northwind_order_details[[#This Row],[purchase amount]]-northwind_order_details[[#This Row],[discount amount]]</f>
        <v>504</v>
      </c>
      <c r="K1252" s="6" t="str">
        <f>IF(northwind_order_details[[#This Row],[discount amount]]&gt;0,"Yes","No")</f>
        <v>Yes</v>
      </c>
      <c r="L1252" s="1" t="str">
        <f>IF(northwind_order_details[[#This Row],[Revenue]]&gt;1000,"High",IF(northwind_order_details[[#This Row],[Revenue]]&gt;300,"Medium","Low"))</f>
        <v>Medium</v>
      </c>
      <c r="M12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3" spans="1:13" x14ac:dyDescent="0.25">
      <c r="A1253">
        <v>10740</v>
      </c>
      <c r="B1253">
        <v>45</v>
      </c>
      <c r="C1253" s="6">
        <v>9.5</v>
      </c>
      <c r="D1253">
        <v>40</v>
      </c>
      <c r="E1253" s="6">
        <v>0.2</v>
      </c>
      <c r="F1253" t="str">
        <f>_xlfn.XLOOKUP(northwind_order_details[[#This Row],[order_id]],northwind_orders[order_id],northwind_orders[ship_country])</f>
        <v>USA</v>
      </c>
      <c r="G1253">
        <f>INDEX(northwind_orders[],MATCH(northwind_order_details[[#This Row],[order_id]], northwind_orders[order_id], 0), MATCH("employee_id", northwind_orders[#Headers], 0))</f>
        <v>4</v>
      </c>
      <c r="H1253">
        <f>northwind_order_details[[#This Row],[unit_price]]*northwind_order_details[[#This Row],[quantity]]</f>
        <v>380</v>
      </c>
      <c r="I1253" s="1">
        <f>northwind_order_details[[#This Row],[purchase amount]]*northwind_order_details[[#This Row],[discount]]</f>
        <v>76</v>
      </c>
      <c r="J1253" s="1">
        <f>northwind_order_details[[#This Row],[purchase amount]]-northwind_order_details[[#This Row],[discount amount]]</f>
        <v>304</v>
      </c>
      <c r="K1253" s="6" t="str">
        <f>IF(northwind_order_details[[#This Row],[discount amount]]&gt;0,"Yes","No")</f>
        <v>Yes</v>
      </c>
      <c r="L1253" s="1" t="str">
        <f>IF(northwind_order_details[[#This Row],[Revenue]]&gt;1000,"High",IF(northwind_order_details[[#This Row],[Revenue]]&gt;300,"Medium","Low"))</f>
        <v>Medium</v>
      </c>
      <c r="M12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54" spans="1:13" x14ac:dyDescent="0.25">
      <c r="A1254">
        <v>10740</v>
      </c>
      <c r="B1254">
        <v>56</v>
      </c>
      <c r="C1254" s="6" t="s">
        <v>30</v>
      </c>
      <c r="D1254">
        <v>14</v>
      </c>
      <c r="E1254" s="6">
        <v>0.2</v>
      </c>
      <c r="F1254" t="str">
        <f>_xlfn.XLOOKUP(northwind_order_details[[#This Row],[order_id]],northwind_orders[order_id],northwind_orders[ship_country])</f>
        <v>USA</v>
      </c>
      <c r="G1254">
        <f>INDEX(northwind_orders[],MATCH(northwind_order_details[[#This Row],[order_id]], northwind_orders[order_id], 0), MATCH("employee_id", northwind_orders[#Headers], 0))</f>
        <v>4</v>
      </c>
      <c r="H1254">
        <f>northwind_order_details[[#This Row],[unit_price]]*northwind_order_details[[#This Row],[quantity]]</f>
        <v>532</v>
      </c>
      <c r="I1254" s="1">
        <f>northwind_order_details[[#This Row],[purchase amount]]*northwind_order_details[[#This Row],[discount]]</f>
        <v>106.4</v>
      </c>
      <c r="J1254" s="1">
        <f>northwind_order_details[[#This Row],[purchase amount]]-northwind_order_details[[#This Row],[discount amount]]</f>
        <v>425.6</v>
      </c>
      <c r="K1254" s="6" t="str">
        <f>IF(northwind_order_details[[#This Row],[discount amount]]&gt;0,"Yes","No")</f>
        <v>Yes</v>
      </c>
      <c r="L1254" s="1" t="str">
        <f>IF(northwind_order_details[[#This Row],[Revenue]]&gt;1000,"High",IF(northwind_order_details[[#This Row],[Revenue]]&gt;300,"Medium","Low"))</f>
        <v>Medium</v>
      </c>
      <c r="M12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5" spans="1:13" x14ac:dyDescent="0.25">
      <c r="A1255">
        <v>10741</v>
      </c>
      <c r="B1255">
        <v>2</v>
      </c>
      <c r="C1255" s="6" t="s">
        <v>20</v>
      </c>
      <c r="D1255">
        <v>15</v>
      </c>
      <c r="E1255" s="6">
        <v>0.2</v>
      </c>
      <c r="F1255" t="str">
        <f>_xlfn.XLOOKUP(northwind_order_details[[#This Row],[order_id]],northwind_orders[order_id],northwind_orders[ship_country])</f>
        <v>UK</v>
      </c>
      <c r="G1255">
        <f>INDEX(northwind_orders[],MATCH(northwind_order_details[[#This Row],[order_id]], northwind_orders[order_id], 0), MATCH("employee_id", northwind_orders[#Headers], 0))</f>
        <v>4</v>
      </c>
      <c r="H1255">
        <f>northwind_order_details[[#This Row],[unit_price]]*northwind_order_details[[#This Row],[quantity]]</f>
        <v>285</v>
      </c>
      <c r="I1255" s="1">
        <f>northwind_order_details[[#This Row],[purchase amount]]*northwind_order_details[[#This Row],[discount]]</f>
        <v>57</v>
      </c>
      <c r="J1255" s="1">
        <f>northwind_order_details[[#This Row],[purchase amount]]-northwind_order_details[[#This Row],[discount amount]]</f>
        <v>228</v>
      </c>
      <c r="K1255" s="6" t="str">
        <f>IF(northwind_order_details[[#This Row],[discount amount]]&gt;0,"Yes","No")</f>
        <v>Yes</v>
      </c>
      <c r="L1255" s="1" t="str">
        <f>IF(northwind_order_details[[#This Row],[Revenue]]&gt;1000,"High",IF(northwind_order_details[[#This Row],[Revenue]]&gt;300,"Medium","Low"))</f>
        <v>Low</v>
      </c>
      <c r="M12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6" spans="1:13" x14ac:dyDescent="0.25">
      <c r="A1256">
        <v>10742</v>
      </c>
      <c r="B1256">
        <v>3</v>
      </c>
      <c r="C1256" s="6" t="s">
        <v>8</v>
      </c>
      <c r="D1256">
        <v>20</v>
      </c>
      <c r="E1256" s="6" t="s">
        <v>6</v>
      </c>
      <c r="F1256" t="str">
        <f>_xlfn.XLOOKUP(northwind_order_details[[#This Row],[order_id]],northwind_orders[order_id],northwind_orders[ship_country])</f>
        <v>Canada</v>
      </c>
      <c r="G1256">
        <f>INDEX(northwind_orders[],MATCH(northwind_order_details[[#This Row],[order_id]], northwind_orders[order_id], 0), MATCH("employee_id", northwind_orders[#Headers], 0))</f>
        <v>3</v>
      </c>
      <c r="H1256">
        <f>northwind_order_details[[#This Row],[unit_price]]*northwind_order_details[[#This Row],[quantity]]</f>
        <v>200</v>
      </c>
      <c r="I1256" s="1">
        <f>northwind_order_details[[#This Row],[purchase amount]]*northwind_order_details[[#This Row],[discount]]</f>
        <v>0</v>
      </c>
      <c r="J1256" s="1">
        <f>northwind_order_details[[#This Row],[purchase amount]]-northwind_order_details[[#This Row],[discount amount]]</f>
        <v>200</v>
      </c>
      <c r="K1256" s="6" t="str">
        <f>IF(northwind_order_details[[#This Row],[discount amount]]&gt;0,"Yes","No")</f>
        <v>No</v>
      </c>
      <c r="L1256" s="1" t="str">
        <f>IF(northwind_order_details[[#This Row],[Revenue]]&gt;1000,"High",IF(northwind_order_details[[#This Row],[Revenue]]&gt;300,"Medium","Low"))</f>
        <v>Low</v>
      </c>
      <c r="M12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7" spans="1:13" x14ac:dyDescent="0.25">
      <c r="A1257">
        <v>10742</v>
      </c>
      <c r="B1257">
        <v>60</v>
      </c>
      <c r="C1257" s="6" t="s">
        <v>28</v>
      </c>
      <c r="D1257">
        <v>50</v>
      </c>
      <c r="E1257" s="6" t="s">
        <v>6</v>
      </c>
      <c r="F1257" t="str">
        <f>_xlfn.XLOOKUP(northwind_order_details[[#This Row],[order_id]],northwind_orders[order_id],northwind_orders[ship_country])</f>
        <v>Canada</v>
      </c>
      <c r="G1257">
        <f>INDEX(northwind_orders[],MATCH(northwind_order_details[[#This Row],[order_id]], northwind_orders[order_id], 0), MATCH("employee_id", northwind_orders[#Headers], 0))</f>
        <v>3</v>
      </c>
      <c r="H1257">
        <f>northwind_order_details[[#This Row],[unit_price]]*northwind_order_details[[#This Row],[quantity]]</f>
        <v>1700</v>
      </c>
      <c r="I1257" s="1">
        <f>northwind_order_details[[#This Row],[purchase amount]]*northwind_order_details[[#This Row],[discount]]</f>
        <v>0</v>
      </c>
      <c r="J1257" s="1">
        <f>northwind_order_details[[#This Row],[purchase amount]]-northwind_order_details[[#This Row],[discount amount]]</f>
        <v>1700</v>
      </c>
      <c r="K1257" s="6" t="str">
        <f>IF(northwind_order_details[[#This Row],[discount amount]]&gt;0,"Yes","No")</f>
        <v>No</v>
      </c>
      <c r="L1257" s="1" t="str">
        <f>IF(northwind_order_details[[#This Row],[Revenue]]&gt;1000,"High",IF(northwind_order_details[[#This Row],[Revenue]]&gt;300,"Medium","Low"))</f>
        <v>High</v>
      </c>
      <c r="M12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58" spans="1:13" x14ac:dyDescent="0.25">
      <c r="A1258">
        <v>10742</v>
      </c>
      <c r="B1258">
        <v>72</v>
      </c>
      <c r="C1258" s="6">
        <v>34.799999999999997</v>
      </c>
      <c r="D1258">
        <v>35</v>
      </c>
      <c r="E1258" s="6" t="s">
        <v>6</v>
      </c>
      <c r="F1258" t="str">
        <f>_xlfn.XLOOKUP(northwind_order_details[[#This Row],[order_id]],northwind_orders[order_id],northwind_orders[ship_country])</f>
        <v>Canada</v>
      </c>
      <c r="G1258">
        <f>INDEX(northwind_orders[],MATCH(northwind_order_details[[#This Row],[order_id]], northwind_orders[order_id], 0), MATCH("employee_id", northwind_orders[#Headers], 0))</f>
        <v>3</v>
      </c>
      <c r="H1258">
        <f>northwind_order_details[[#This Row],[unit_price]]*northwind_order_details[[#This Row],[quantity]]</f>
        <v>1218</v>
      </c>
      <c r="I1258" s="1">
        <f>northwind_order_details[[#This Row],[purchase amount]]*northwind_order_details[[#This Row],[discount]]</f>
        <v>0</v>
      </c>
      <c r="J1258" s="1">
        <f>northwind_order_details[[#This Row],[purchase amount]]-northwind_order_details[[#This Row],[discount amount]]</f>
        <v>1218</v>
      </c>
      <c r="K1258" s="6" t="str">
        <f>IF(northwind_order_details[[#This Row],[discount amount]]&gt;0,"Yes","No")</f>
        <v>No</v>
      </c>
      <c r="L1258" s="1" t="str">
        <f>IF(northwind_order_details[[#This Row],[Revenue]]&gt;1000,"High",IF(northwind_order_details[[#This Row],[Revenue]]&gt;300,"Medium","Low"))</f>
        <v>High</v>
      </c>
      <c r="M125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59" spans="1:13" x14ac:dyDescent="0.25">
      <c r="A1259">
        <v>10743</v>
      </c>
      <c r="B1259">
        <v>46</v>
      </c>
      <c r="C1259" s="6" t="s">
        <v>13</v>
      </c>
      <c r="D1259">
        <v>28</v>
      </c>
      <c r="E1259" s="6">
        <v>0.05</v>
      </c>
      <c r="F1259" t="str">
        <f>_xlfn.XLOOKUP(northwind_order_details[[#This Row],[order_id]],northwind_orders[order_id],northwind_orders[ship_country])</f>
        <v>UK</v>
      </c>
      <c r="G1259">
        <f>INDEX(northwind_orders[],MATCH(northwind_order_details[[#This Row],[order_id]], northwind_orders[order_id], 0), MATCH("employee_id", northwind_orders[#Headers], 0))</f>
        <v>1</v>
      </c>
      <c r="H1259">
        <f>northwind_order_details[[#This Row],[unit_price]]*northwind_order_details[[#This Row],[quantity]]</f>
        <v>336</v>
      </c>
      <c r="I1259" s="1">
        <f>northwind_order_details[[#This Row],[purchase amount]]*northwind_order_details[[#This Row],[discount]]</f>
        <v>16.8</v>
      </c>
      <c r="J1259" s="1">
        <f>northwind_order_details[[#This Row],[purchase amount]]-northwind_order_details[[#This Row],[discount amount]]</f>
        <v>319.2</v>
      </c>
      <c r="K1259" s="6" t="str">
        <f>IF(northwind_order_details[[#This Row],[discount amount]]&gt;0,"Yes","No")</f>
        <v>Yes</v>
      </c>
      <c r="L1259" s="1" t="str">
        <f>IF(northwind_order_details[[#This Row],[Revenue]]&gt;1000,"High",IF(northwind_order_details[[#This Row],[Revenue]]&gt;300,"Medium","Low"))</f>
        <v>Medium</v>
      </c>
      <c r="M12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60" spans="1:13" x14ac:dyDescent="0.25">
      <c r="A1260">
        <v>10744</v>
      </c>
      <c r="B1260">
        <v>40</v>
      </c>
      <c r="C1260" s="6">
        <v>18.399999999999999</v>
      </c>
      <c r="D1260">
        <v>50</v>
      </c>
      <c r="E1260" s="6">
        <v>0.2</v>
      </c>
      <c r="F1260" t="str">
        <f>_xlfn.XLOOKUP(northwind_order_details[[#This Row],[order_id]],northwind_orders[order_id],northwind_orders[ship_country])</f>
        <v>Denmark</v>
      </c>
      <c r="G1260">
        <f>INDEX(northwind_orders[],MATCH(northwind_order_details[[#This Row],[order_id]], northwind_orders[order_id], 0), MATCH("employee_id", northwind_orders[#Headers], 0))</f>
        <v>6</v>
      </c>
      <c r="H1260">
        <f>northwind_order_details[[#This Row],[unit_price]]*northwind_order_details[[#This Row],[quantity]]</f>
        <v>919.99999999999989</v>
      </c>
      <c r="I1260" s="1">
        <f>northwind_order_details[[#This Row],[purchase amount]]*northwind_order_details[[#This Row],[discount]]</f>
        <v>184</v>
      </c>
      <c r="J1260" s="1">
        <f>northwind_order_details[[#This Row],[purchase amount]]-northwind_order_details[[#This Row],[discount amount]]</f>
        <v>735.99999999999989</v>
      </c>
      <c r="K1260" s="6" t="str">
        <f>IF(northwind_order_details[[#This Row],[discount amount]]&gt;0,"Yes","No")</f>
        <v>Yes</v>
      </c>
      <c r="L1260" s="1" t="str">
        <f>IF(northwind_order_details[[#This Row],[Revenue]]&gt;1000,"High",IF(northwind_order_details[[#This Row],[Revenue]]&gt;300,"Medium","Low"))</f>
        <v>Medium</v>
      </c>
      <c r="M126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61" spans="1:13" x14ac:dyDescent="0.25">
      <c r="A1261">
        <v>10745</v>
      </c>
      <c r="B1261">
        <v>18</v>
      </c>
      <c r="C1261" s="6">
        <v>62.5</v>
      </c>
      <c r="D1261">
        <v>24</v>
      </c>
      <c r="E1261" s="6" t="s">
        <v>6</v>
      </c>
      <c r="F1261" t="str">
        <f>_xlfn.XLOOKUP(northwind_order_details[[#This Row],[order_id]],northwind_orders[order_id],northwind_orders[ship_country])</f>
        <v>Germany</v>
      </c>
      <c r="G1261">
        <f>INDEX(northwind_orders[],MATCH(northwind_order_details[[#This Row],[order_id]], northwind_orders[order_id], 0), MATCH("employee_id", northwind_orders[#Headers], 0))</f>
        <v>9</v>
      </c>
      <c r="H1261">
        <f>northwind_order_details[[#This Row],[unit_price]]*northwind_order_details[[#This Row],[quantity]]</f>
        <v>1500</v>
      </c>
      <c r="I1261" s="1">
        <f>northwind_order_details[[#This Row],[purchase amount]]*northwind_order_details[[#This Row],[discount]]</f>
        <v>0</v>
      </c>
      <c r="J1261" s="1">
        <f>northwind_order_details[[#This Row],[purchase amount]]-northwind_order_details[[#This Row],[discount amount]]</f>
        <v>1500</v>
      </c>
      <c r="K1261" s="6" t="str">
        <f>IF(northwind_order_details[[#This Row],[discount amount]]&gt;0,"Yes","No")</f>
        <v>No</v>
      </c>
      <c r="L1261" s="1" t="str">
        <f>IF(northwind_order_details[[#This Row],[Revenue]]&gt;1000,"High",IF(northwind_order_details[[#This Row],[Revenue]]&gt;300,"Medium","Low"))</f>
        <v>High</v>
      </c>
      <c r="M12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62" spans="1:13" x14ac:dyDescent="0.25">
      <c r="A1262">
        <v>10745</v>
      </c>
      <c r="B1262">
        <v>44</v>
      </c>
      <c r="C1262" s="6">
        <v>19.45</v>
      </c>
      <c r="D1262">
        <v>16</v>
      </c>
      <c r="E1262" s="6" t="s">
        <v>6</v>
      </c>
      <c r="F1262" t="str">
        <f>_xlfn.XLOOKUP(northwind_order_details[[#This Row],[order_id]],northwind_orders[order_id],northwind_orders[ship_country])</f>
        <v>Germany</v>
      </c>
      <c r="G1262">
        <f>INDEX(northwind_orders[],MATCH(northwind_order_details[[#This Row],[order_id]], northwind_orders[order_id], 0), MATCH("employee_id", northwind_orders[#Headers], 0))</f>
        <v>9</v>
      </c>
      <c r="H1262">
        <f>northwind_order_details[[#This Row],[unit_price]]*northwind_order_details[[#This Row],[quantity]]</f>
        <v>311.2</v>
      </c>
      <c r="I1262" s="1">
        <f>northwind_order_details[[#This Row],[purchase amount]]*northwind_order_details[[#This Row],[discount]]</f>
        <v>0</v>
      </c>
      <c r="J1262" s="1">
        <f>northwind_order_details[[#This Row],[purchase amount]]-northwind_order_details[[#This Row],[discount amount]]</f>
        <v>311.2</v>
      </c>
      <c r="K1262" s="6" t="str">
        <f>IF(northwind_order_details[[#This Row],[discount amount]]&gt;0,"Yes","No")</f>
        <v>No</v>
      </c>
      <c r="L1262" s="1" t="str">
        <f>IF(northwind_order_details[[#This Row],[Revenue]]&gt;1000,"High",IF(northwind_order_details[[#This Row],[Revenue]]&gt;300,"Medium","Low"))</f>
        <v>Medium</v>
      </c>
      <c r="M12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63" spans="1:13" x14ac:dyDescent="0.25">
      <c r="A1263">
        <v>10745</v>
      </c>
      <c r="B1263">
        <v>59</v>
      </c>
      <c r="C1263" s="6" t="s">
        <v>33</v>
      </c>
      <c r="D1263">
        <v>45</v>
      </c>
      <c r="E1263" s="6" t="s">
        <v>6</v>
      </c>
      <c r="F1263" t="str">
        <f>_xlfn.XLOOKUP(northwind_order_details[[#This Row],[order_id]],northwind_orders[order_id],northwind_orders[ship_country])</f>
        <v>Germany</v>
      </c>
      <c r="G1263">
        <f>INDEX(northwind_orders[],MATCH(northwind_order_details[[#This Row],[order_id]], northwind_orders[order_id], 0), MATCH("employee_id", northwind_orders[#Headers], 0))</f>
        <v>9</v>
      </c>
      <c r="H1263">
        <f>northwind_order_details[[#This Row],[unit_price]]*northwind_order_details[[#This Row],[quantity]]</f>
        <v>2475</v>
      </c>
      <c r="I1263" s="1">
        <f>northwind_order_details[[#This Row],[purchase amount]]*northwind_order_details[[#This Row],[discount]]</f>
        <v>0</v>
      </c>
      <c r="J1263" s="1">
        <f>northwind_order_details[[#This Row],[purchase amount]]-northwind_order_details[[#This Row],[discount amount]]</f>
        <v>2475</v>
      </c>
      <c r="K1263" s="6" t="str">
        <f>IF(northwind_order_details[[#This Row],[discount amount]]&gt;0,"Yes","No")</f>
        <v>No</v>
      </c>
      <c r="L1263" s="1" t="str">
        <f>IF(northwind_order_details[[#This Row],[Revenue]]&gt;1000,"High",IF(northwind_order_details[[#This Row],[Revenue]]&gt;300,"Medium","Low"))</f>
        <v>High</v>
      </c>
      <c r="M12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64" spans="1:13" x14ac:dyDescent="0.25">
      <c r="A1264">
        <v>10745</v>
      </c>
      <c r="B1264">
        <v>72</v>
      </c>
      <c r="C1264" s="6">
        <v>34.799999999999997</v>
      </c>
      <c r="D1264">
        <v>7</v>
      </c>
      <c r="E1264" s="6" t="s">
        <v>6</v>
      </c>
      <c r="F1264" t="str">
        <f>_xlfn.XLOOKUP(northwind_order_details[[#This Row],[order_id]],northwind_orders[order_id],northwind_orders[ship_country])</f>
        <v>Germany</v>
      </c>
      <c r="G1264">
        <f>INDEX(northwind_orders[],MATCH(northwind_order_details[[#This Row],[order_id]], northwind_orders[order_id], 0), MATCH("employee_id", northwind_orders[#Headers], 0))</f>
        <v>9</v>
      </c>
      <c r="H1264">
        <f>northwind_order_details[[#This Row],[unit_price]]*northwind_order_details[[#This Row],[quantity]]</f>
        <v>243.59999999999997</v>
      </c>
      <c r="I1264" s="1">
        <f>northwind_order_details[[#This Row],[purchase amount]]*northwind_order_details[[#This Row],[discount]]</f>
        <v>0</v>
      </c>
      <c r="J1264" s="1">
        <f>northwind_order_details[[#This Row],[purchase amount]]-northwind_order_details[[#This Row],[discount amount]]</f>
        <v>243.59999999999997</v>
      </c>
      <c r="K1264" s="6" t="str">
        <f>IF(northwind_order_details[[#This Row],[discount amount]]&gt;0,"Yes","No")</f>
        <v>No</v>
      </c>
      <c r="L1264" s="1" t="str">
        <f>IF(northwind_order_details[[#This Row],[Revenue]]&gt;1000,"High",IF(northwind_order_details[[#This Row],[Revenue]]&gt;300,"Medium","Low"))</f>
        <v>Low</v>
      </c>
      <c r="M12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65" spans="1:13" x14ac:dyDescent="0.25">
      <c r="A1265">
        <v>10746</v>
      </c>
      <c r="B1265">
        <v>13</v>
      </c>
      <c r="C1265" s="6" t="s">
        <v>23</v>
      </c>
      <c r="D1265">
        <v>6</v>
      </c>
      <c r="E1265" s="6" t="s">
        <v>6</v>
      </c>
      <c r="F1265" t="str">
        <f>_xlfn.XLOOKUP(northwind_order_details[[#This Row],[order_id]],northwind_orders[order_id],northwind_orders[ship_country])</f>
        <v>Switzerland</v>
      </c>
      <c r="G1265">
        <f>INDEX(northwind_orders[],MATCH(northwind_order_details[[#This Row],[order_id]], northwind_orders[order_id], 0), MATCH("employee_id", northwind_orders[#Headers], 0))</f>
        <v>1</v>
      </c>
      <c r="H1265">
        <f>northwind_order_details[[#This Row],[unit_price]]*northwind_order_details[[#This Row],[quantity]]</f>
        <v>36</v>
      </c>
      <c r="I1265" s="1">
        <f>northwind_order_details[[#This Row],[purchase amount]]*northwind_order_details[[#This Row],[discount]]</f>
        <v>0</v>
      </c>
      <c r="J1265" s="1">
        <f>northwind_order_details[[#This Row],[purchase amount]]-northwind_order_details[[#This Row],[discount amount]]</f>
        <v>36</v>
      </c>
      <c r="K1265" s="6" t="str">
        <f>IF(northwind_order_details[[#This Row],[discount amount]]&gt;0,"Yes","No")</f>
        <v>No</v>
      </c>
      <c r="L1265" s="1" t="str">
        <f>IF(northwind_order_details[[#This Row],[Revenue]]&gt;1000,"High",IF(northwind_order_details[[#This Row],[Revenue]]&gt;300,"Medium","Low"))</f>
        <v>Low</v>
      </c>
      <c r="M12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66" spans="1:13" x14ac:dyDescent="0.25">
      <c r="A1266">
        <v>10746</v>
      </c>
      <c r="B1266">
        <v>42</v>
      </c>
      <c r="C1266" s="6" t="s">
        <v>5</v>
      </c>
      <c r="D1266">
        <v>28</v>
      </c>
      <c r="E1266" s="6" t="s">
        <v>6</v>
      </c>
      <c r="F1266" t="str">
        <f>_xlfn.XLOOKUP(northwind_order_details[[#This Row],[order_id]],northwind_orders[order_id],northwind_orders[ship_country])</f>
        <v>Switzerland</v>
      </c>
      <c r="G1266">
        <f>INDEX(northwind_orders[],MATCH(northwind_order_details[[#This Row],[order_id]], northwind_orders[order_id], 0), MATCH("employee_id", northwind_orders[#Headers], 0))</f>
        <v>1</v>
      </c>
      <c r="H1266">
        <f>northwind_order_details[[#This Row],[unit_price]]*northwind_order_details[[#This Row],[quantity]]</f>
        <v>392</v>
      </c>
      <c r="I1266" s="1">
        <f>northwind_order_details[[#This Row],[purchase amount]]*northwind_order_details[[#This Row],[discount]]</f>
        <v>0</v>
      </c>
      <c r="J1266" s="1">
        <f>northwind_order_details[[#This Row],[purchase amount]]-northwind_order_details[[#This Row],[discount amount]]</f>
        <v>392</v>
      </c>
      <c r="K1266" s="6" t="str">
        <f>IF(northwind_order_details[[#This Row],[discount amount]]&gt;0,"Yes","No")</f>
        <v>No</v>
      </c>
      <c r="L1266" s="1" t="str">
        <f>IF(northwind_order_details[[#This Row],[Revenue]]&gt;1000,"High",IF(northwind_order_details[[#This Row],[Revenue]]&gt;300,"Medium","Low"))</f>
        <v>Medium</v>
      </c>
      <c r="M12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67" spans="1:13" x14ac:dyDescent="0.25">
      <c r="A1267">
        <v>10746</v>
      </c>
      <c r="B1267">
        <v>62</v>
      </c>
      <c r="C1267" s="6">
        <v>49.3</v>
      </c>
      <c r="D1267">
        <v>9</v>
      </c>
      <c r="E1267" s="6" t="s">
        <v>6</v>
      </c>
      <c r="F1267" t="str">
        <f>_xlfn.XLOOKUP(northwind_order_details[[#This Row],[order_id]],northwind_orders[order_id],northwind_orders[ship_country])</f>
        <v>Switzerland</v>
      </c>
      <c r="G1267">
        <f>INDEX(northwind_orders[],MATCH(northwind_order_details[[#This Row],[order_id]], northwind_orders[order_id], 0), MATCH("employee_id", northwind_orders[#Headers], 0))</f>
        <v>1</v>
      </c>
      <c r="H1267">
        <f>northwind_order_details[[#This Row],[unit_price]]*northwind_order_details[[#This Row],[quantity]]</f>
        <v>443.7</v>
      </c>
      <c r="I1267" s="1">
        <f>northwind_order_details[[#This Row],[purchase amount]]*northwind_order_details[[#This Row],[discount]]</f>
        <v>0</v>
      </c>
      <c r="J1267" s="1">
        <f>northwind_order_details[[#This Row],[purchase amount]]-northwind_order_details[[#This Row],[discount amount]]</f>
        <v>443.7</v>
      </c>
      <c r="K1267" s="6" t="str">
        <f>IF(northwind_order_details[[#This Row],[discount amount]]&gt;0,"Yes","No")</f>
        <v>No</v>
      </c>
      <c r="L1267" s="1" t="str">
        <f>IF(northwind_order_details[[#This Row],[Revenue]]&gt;1000,"High",IF(northwind_order_details[[#This Row],[Revenue]]&gt;300,"Medium","Low"))</f>
        <v>Medium</v>
      </c>
      <c r="M12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68" spans="1:13" x14ac:dyDescent="0.25">
      <c r="A1268">
        <v>10746</v>
      </c>
      <c r="B1268">
        <v>69</v>
      </c>
      <c r="C1268" s="6" t="s">
        <v>38</v>
      </c>
      <c r="D1268">
        <v>40</v>
      </c>
      <c r="E1268" s="6" t="s">
        <v>6</v>
      </c>
      <c r="F1268" t="str">
        <f>_xlfn.XLOOKUP(northwind_order_details[[#This Row],[order_id]],northwind_orders[order_id],northwind_orders[ship_country])</f>
        <v>Switzerland</v>
      </c>
      <c r="G1268">
        <f>INDEX(northwind_orders[],MATCH(northwind_order_details[[#This Row],[order_id]], northwind_orders[order_id], 0), MATCH("employee_id", northwind_orders[#Headers], 0))</f>
        <v>1</v>
      </c>
      <c r="H1268">
        <f>northwind_order_details[[#This Row],[unit_price]]*northwind_order_details[[#This Row],[quantity]]</f>
        <v>1440</v>
      </c>
      <c r="I1268" s="1">
        <f>northwind_order_details[[#This Row],[purchase amount]]*northwind_order_details[[#This Row],[discount]]</f>
        <v>0</v>
      </c>
      <c r="J1268" s="1">
        <f>northwind_order_details[[#This Row],[purchase amount]]-northwind_order_details[[#This Row],[discount amount]]</f>
        <v>1440</v>
      </c>
      <c r="K1268" s="6" t="str">
        <f>IF(northwind_order_details[[#This Row],[discount amount]]&gt;0,"Yes","No")</f>
        <v>No</v>
      </c>
      <c r="L1268" s="1" t="str">
        <f>IF(northwind_order_details[[#This Row],[Revenue]]&gt;1000,"High",IF(northwind_order_details[[#This Row],[Revenue]]&gt;300,"Medium","Low"))</f>
        <v>High</v>
      </c>
      <c r="M12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69" spans="1:13" x14ac:dyDescent="0.25">
      <c r="A1269">
        <v>10747</v>
      </c>
      <c r="B1269">
        <v>31</v>
      </c>
      <c r="C1269" s="6">
        <v>12.5</v>
      </c>
      <c r="D1269">
        <v>8</v>
      </c>
      <c r="E1269" s="6" t="s">
        <v>6</v>
      </c>
      <c r="F1269" t="str">
        <f>_xlfn.XLOOKUP(northwind_order_details[[#This Row],[order_id]],northwind_orders[order_id],northwind_orders[ship_country])</f>
        <v>Austria</v>
      </c>
      <c r="G1269">
        <f>INDEX(northwind_orders[],MATCH(northwind_order_details[[#This Row],[order_id]], northwind_orders[order_id], 0), MATCH("employee_id", northwind_orders[#Headers], 0))</f>
        <v>6</v>
      </c>
      <c r="H1269">
        <f>northwind_order_details[[#This Row],[unit_price]]*northwind_order_details[[#This Row],[quantity]]</f>
        <v>100</v>
      </c>
      <c r="I1269" s="1">
        <f>northwind_order_details[[#This Row],[purchase amount]]*northwind_order_details[[#This Row],[discount]]</f>
        <v>0</v>
      </c>
      <c r="J1269" s="1">
        <f>northwind_order_details[[#This Row],[purchase amount]]-northwind_order_details[[#This Row],[discount amount]]</f>
        <v>100</v>
      </c>
      <c r="K1269" s="6" t="str">
        <f>IF(northwind_order_details[[#This Row],[discount amount]]&gt;0,"Yes","No")</f>
        <v>No</v>
      </c>
      <c r="L1269" s="1" t="str">
        <f>IF(northwind_order_details[[#This Row],[Revenue]]&gt;1000,"High",IF(northwind_order_details[[#This Row],[Revenue]]&gt;300,"Medium","Low"))</f>
        <v>Low</v>
      </c>
      <c r="M12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70" spans="1:13" x14ac:dyDescent="0.25">
      <c r="A1270">
        <v>10747</v>
      </c>
      <c r="B1270">
        <v>41</v>
      </c>
      <c r="C1270" s="6">
        <v>9.65</v>
      </c>
      <c r="D1270">
        <v>35</v>
      </c>
      <c r="E1270" s="6" t="s">
        <v>6</v>
      </c>
      <c r="F1270" t="str">
        <f>_xlfn.XLOOKUP(northwind_order_details[[#This Row],[order_id]],northwind_orders[order_id],northwind_orders[ship_country])</f>
        <v>Austria</v>
      </c>
      <c r="G1270">
        <f>INDEX(northwind_orders[],MATCH(northwind_order_details[[#This Row],[order_id]], northwind_orders[order_id], 0), MATCH("employee_id", northwind_orders[#Headers], 0))</f>
        <v>6</v>
      </c>
      <c r="H1270">
        <f>northwind_order_details[[#This Row],[unit_price]]*northwind_order_details[[#This Row],[quantity]]</f>
        <v>337.75</v>
      </c>
      <c r="I1270" s="1">
        <f>northwind_order_details[[#This Row],[purchase amount]]*northwind_order_details[[#This Row],[discount]]</f>
        <v>0</v>
      </c>
      <c r="J1270" s="1">
        <f>northwind_order_details[[#This Row],[purchase amount]]-northwind_order_details[[#This Row],[discount amount]]</f>
        <v>337.75</v>
      </c>
      <c r="K1270" s="6" t="str">
        <f>IF(northwind_order_details[[#This Row],[discount amount]]&gt;0,"Yes","No")</f>
        <v>No</v>
      </c>
      <c r="L1270" s="1" t="str">
        <f>IF(northwind_order_details[[#This Row],[Revenue]]&gt;1000,"High",IF(northwind_order_details[[#This Row],[Revenue]]&gt;300,"Medium","Low"))</f>
        <v>Medium</v>
      </c>
      <c r="M12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71" spans="1:13" x14ac:dyDescent="0.25">
      <c r="A1271">
        <v>10747</v>
      </c>
      <c r="B1271">
        <v>63</v>
      </c>
      <c r="C1271" s="6">
        <v>43.9</v>
      </c>
      <c r="D1271">
        <v>9</v>
      </c>
      <c r="E1271" s="6" t="s">
        <v>6</v>
      </c>
      <c r="F1271" t="str">
        <f>_xlfn.XLOOKUP(northwind_order_details[[#This Row],[order_id]],northwind_orders[order_id],northwind_orders[ship_country])</f>
        <v>Austria</v>
      </c>
      <c r="G1271">
        <f>INDEX(northwind_orders[],MATCH(northwind_order_details[[#This Row],[order_id]], northwind_orders[order_id], 0), MATCH("employee_id", northwind_orders[#Headers], 0))</f>
        <v>6</v>
      </c>
      <c r="H1271">
        <f>northwind_order_details[[#This Row],[unit_price]]*northwind_order_details[[#This Row],[quantity]]</f>
        <v>395.09999999999997</v>
      </c>
      <c r="I1271" s="1">
        <f>northwind_order_details[[#This Row],[purchase amount]]*northwind_order_details[[#This Row],[discount]]</f>
        <v>0</v>
      </c>
      <c r="J1271" s="1">
        <f>northwind_order_details[[#This Row],[purchase amount]]-northwind_order_details[[#This Row],[discount amount]]</f>
        <v>395.09999999999997</v>
      </c>
      <c r="K1271" s="6" t="str">
        <f>IF(northwind_order_details[[#This Row],[discount amount]]&gt;0,"Yes","No")</f>
        <v>No</v>
      </c>
      <c r="L1271" s="1" t="str">
        <f>IF(northwind_order_details[[#This Row],[Revenue]]&gt;1000,"High",IF(northwind_order_details[[#This Row],[Revenue]]&gt;300,"Medium","Low"))</f>
        <v>Medium</v>
      </c>
      <c r="M127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72" spans="1:13" x14ac:dyDescent="0.25">
      <c r="A1272">
        <v>10747</v>
      </c>
      <c r="B1272">
        <v>69</v>
      </c>
      <c r="C1272" s="6" t="s">
        <v>38</v>
      </c>
      <c r="D1272">
        <v>30</v>
      </c>
      <c r="E1272" s="6" t="s">
        <v>6</v>
      </c>
      <c r="F1272" t="str">
        <f>_xlfn.XLOOKUP(northwind_order_details[[#This Row],[order_id]],northwind_orders[order_id],northwind_orders[ship_country])</f>
        <v>Austria</v>
      </c>
      <c r="G1272">
        <f>INDEX(northwind_orders[],MATCH(northwind_order_details[[#This Row],[order_id]], northwind_orders[order_id], 0), MATCH("employee_id", northwind_orders[#Headers], 0))</f>
        <v>6</v>
      </c>
      <c r="H1272">
        <f>northwind_order_details[[#This Row],[unit_price]]*northwind_order_details[[#This Row],[quantity]]</f>
        <v>1080</v>
      </c>
      <c r="I1272" s="1">
        <f>northwind_order_details[[#This Row],[purchase amount]]*northwind_order_details[[#This Row],[discount]]</f>
        <v>0</v>
      </c>
      <c r="J1272" s="1">
        <f>northwind_order_details[[#This Row],[purchase amount]]-northwind_order_details[[#This Row],[discount amount]]</f>
        <v>1080</v>
      </c>
      <c r="K1272" s="6" t="str">
        <f>IF(northwind_order_details[[#This Row],[discount amount]]&gt;0,"Yes","No")</f>
        <v>No</v>
      </c>
      <c r="L1272" s="1" t="str">
        <f>IF(northwind_order_details[[#This Row],[Revenue]]&gt;1000,"High",IF(northwind_order_details[[#This Row],[Revenue]]&gt;300,"Medium","Low"))</f>
        <v>High</v>
      </c>
      <c r="M12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3" spans="1:13" x14ac:dyDescent="0.25">
      <c r="A1273">
        <v>10748</v>
      </c>
      <c r="B1273">
        <v>23</v>
      </c>
      <c r="C1273" s="6" t="s">
        <v>40</v>
      </c>
      <c r="D1273">
        <v>44</v>
      </c>
      <c r="E1273" s="6" t="s">
        <v>6</v>
      </c>
      <c r="F1273" t="str">
        <f>_xlfn.XLOOKUP(northwind_order_details[[#This Row],[order_id]],northwind_orders[order_id],northwind_orders[ship_country])</f>
        <v>USA</v>
      </c>
      <c r="G1273">
        <f>INDEX(northwind_orders[],MATCH(northwind_order_details[[#This Row],[order_id]], northwind_orders[order_id], 0), MATCH("employee_id", northwind_orders[#Headers], 0))</f>
        <v>3</v>
      </c>
      <c r="H1273">
        <f>northwind_order_details[[#This Row],[unit_price]]*northwind_order_details[[#This Row],[quantity]]</f>
        <v>396</v>
      </c>
      <c r="I1273" s="1">
        <f>northwind_order_details[[#This Row],[purchase amount]]*northwind_order_details[[#This Row],[discount]]</f>
        <v>0</v>
      </c>
      <c r="J1273" s="1">
        <f>northwind_order_details[[#This Row],[purchase amount]]-northwind_order_details[[#This Row],[discount amount]]</f>
        <v>396</v>
      </c>
      <c r="K1273" s="6" t="str">
        <f>IF(northwind_order_details[[#This Row],[discount amount]]&gt;0,"Yes","No")</f>
        <v>No</v>
      </c>
      <c r="L1273" s="1" t="str">
        <f>IF(northwind_order_details[[#This Row],[Revenue]]&gt;1000,"High",IF(northwind_order_details[[#This Row],[Revenue]]&gt;300,"Medium","Low"))</f>
        <v>Medium</v>
      </c>
      <c r="M12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4" spans="1:13" x14ac:dyDescent="0.25">
      <c r="A1274">
        <v>10748</v>
      </c>
      <c r="B1274">
        <v>40</v>
      </c>
      <c r="C1274" s="6">
        <v>18.399999999999999</v>
      </c>
      <c r="D1274">
        <v>40</v>
      </c>
      <c r="E1274" s="6" t="s">
        <v>6</v>
      </c>
      <c r="F1274" t="str">
        <f>_xlfn.XLOOKUP(northwind_order_details[[#This Row],[order_id]],northwind_orders[order_id],northwind_orders[ship_country])</f>
        <v>USA</v>
      </c>
      <c r="G1274">
        <f>INDEX(northwind_orders[],MATCH(northwind_order_details[[#This Row],[order_id]], northwind_orders[order_id], 0), MATCH("employee_id", northwind_orders[#Headers], 0))</f>
        <v>3</v>
      </c>
      <c r="H1274">
        <f>northwind_order_details[[#This Row],[unit_price]]*northwind_order_details[[#This Row],[quantity]]</f>
        <v>736</v>
      </c>
      <c r="I1274" s="1">
        <f>northwind_order_details[[#This Row],[purchase amount]]*northwind_order_details[[#This Row],[discount]]</f>
        <v>0</v>
      </c>
      <c r="J1274" s="1">
        <f>northwind_order_details[[#This Row],[purchase amount]]-northwind_order_details[[#This Row],[discount amount]]</f>
        <v>736</v>
      </c>
      <c r="K1274" s="6" t="str">
        <f>IF(northwind_order_details[[#This Row],[discount amount]]&gt;0,"Yes","No")</f>
        <v>No</v>
      </c>
      <c r="L1274" s="1" t="str">
        <f>IF(northwind_order_details[[#This Row],[Revenue]]&gt;1000,"High",IF(northwind_order_details[[#This Row],[Revenue]]&gt;300,"Medium","Low"))</f>
        <v>Medium</v>
      </c>
      <c r="M12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75" spans="1:13" x14ac:dyDescent="0.25">
      <c r="A1275">
        <v>10748</v>
      </c>
      <c r="B1275">
        <v>56</v>
      </c>
      <c r="C1275" s="6" t="s">
        <v>30</v>
      </c>
      <c r="D1275">
        <v>28</v>
      </c>
      <c r="E1275" s="6" t="s">
        <v>6</v>
      </c>
      <c r="F1275" t="str">
        <f>_xlfn.XLOOKUP(northwind_order_details[[#This Row],[order_id]],northwind_orders[order_id],northwind_orders[ship_country])</f>
        <v>USA</v>
      </c>
      <c r="G1275">
        <f>INDEX(northwind_orders[],MATCH(northwind_order_details[[#This Row],[order_id]], northwind_orders[order_id], 0), MATCH("employee_id", northwind_orders[#Headers], 0))</f>
        <v>3</v>
      </c>
      <c r="H1275">
        <f>northwind_order_details[[#This Row],[unit_price]]*northwind_order_details[[#This Row],[quantity]]</f>
        <v>1064</v>
      </c>
      <c r="I1275" s="1">
        <f>northwind_order_details[[#This Row],[purchase amount]]*northwind_order_details[[#This Row],[discount]]</f>
        <v>0</v>
      </c>
      <c r="J1275" s="1">
        <f>northwind_order_details[[#This Row],[purchase amount]]-northwind_order_details[[#This Row],[discount amount]]</f>
        <v>1064</v>
      </c>
      <c r="K1275" s="6" t="str">
        <f>IF(northwind_order_details[[#This Row],[discount amount]]&gt;0,"Yes","No")</f>
        <v>No</v>
      </c>
      <c r="L1275" s="1" t="str">
        <f>IF(northwind_order_details[[#This Row],[Revenue]]&gt;1000,"High",IF(northwind_order_details[[#This Row],[Revenue]]&gt;300,"Medium","Low"))</f>
        <v>High</v>
      </c>
      <c r="M12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6" spans="1:13" x14ac:dyDescent="0.25">
      <c r="A1276">
        <v>10749</v>
      </c>
      <c r="B1276">
        <v>56</v>
      </c>
      <c r="C1276" s="6" t="s">
        <v>30</v>
      </c>
      <c r="D1276">
        <v>15</v>
      </c>
      <c r="E1276" s="6" t="s">
        <v>6</v>
      </c>
      <c r="F1276" t="str">
        <f>_xlfn.XLOOKUP(northwind_order_details[[#This Row],[order_id]],northwind_orders[order_id],northwind_orders[ship_country])</f>
        <v>UK</v>
      </c>
      <c r="G1276">
        <f>INDEX(northwind_orders[],MATCH(northwind_order_details[[#This Row],[order_id]], northwind_orders[order_id], 0), MATCH("employee_id", northwind_orders[#Headers], 0))</f>
        <v>4</v>
      </c>
      <c r="H1276">
        <f>northwind_order_details[[#This Row],[unit_price]]*northwind_order_details[[#This Row],[quantity]]</f>
        <v>570</v>
      </c>
      <c r="I1276" s="1">
        <f>northwind_order_details[[#This Row],[purchase amount]]*northwind_order_details[[#This Row],[discount]]</f>
        <v>0</v>
      </c>
      <c r="J1276" s="1">
        <f>northwind_order_details[[#This Row],[purchase amount]]-northwind_order_details[[#This Row],[discount amount]]</f>
        <v>570</v>
      </c>
      <c r="K1276" s="6" t="str">
        <f>IF(northwind_order_details[[#This Row],[discount amount]]&gt;0,"Yes","No")</f>
        <v>No</v>
      </c>
      <c r="L1276" s="1" t="str">
        <f>IF(northwind_order_details[[#This Row],[Revenue]]&gt;1000,"High",IF(northwind_order_details[[#This Row],[Revenue]]&gt;300,"Medium","Low"))</f>
        <v>Medium</v>
      </c>
      <c r="M12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7" spans="1:13" x14ac:dyDescent="0.25">
      <c r="A1277">
        <v>10749</v>
      </c>
      <c r="B1277">
        <v>59</v>
      </c>
      <c r="C1277" s="6" t="s">
        <v>33</v>
      </c>
      <c r="D1277">
        <v>6</v>
      </c>
      <c r="E1277" s="6" t="s">
        <v>6</v>
      </c>
      <c r="F1277" t="str">
        <f>_xlfn.XLOOKUP(northwind_order_details[[#This Row],[order_id]],northwind_orders[order_id],northwind_orders[ship_country])</f>
        <v>UK</v>
      </c>
      <c r="G1277">
        <f>INDEX(northwind_orders[],MATCH(northwind_order_details[[#This Row],[order_id]], northwind_orders[order_id], 0), MATCH("employee_id", northwind_orders[#Headers], 0))</f>
        <v>4</v>
      </c>
      <c r="H1277">
        <f>northwind_order_details[[#This Row],[unit_price]]*northwind_order_details[[#This Row],[quantity]]</f>
        <v>330</v>
      </c>
      <c r="I1277" s="1">
        <f>northwind_order_details[[#This Row],[purchase amount]]*northwind_order_details[[#This Row],[discount]]</f>
        <v>0</v>
      </c>
      <c r="J1277" s="1">
        <f>northwind_order_details[[#This Row],[purchase amount]]-northwind_order_details[[#This Row],[discount amount]]</f>
        <v>330</v>
      </c>
      <c r="K1277" s="6" t="str">
        <f>IF(northwind_order_details[[#This Row],[discount amount]]&gt;0,"Yes","No")</f>
        <v>No</v>
      </c>
      <c r="L1277" s="1" t="str">
        <f>IF(northwind_order_details[[#This Row],[Revenue]]&gt;1000,"High",IF(northwind_order_details[[#This Row],[Revenue]]&gt;300,"Medium","Low"))</f>
        <v>Medium</v>
      </c>
      <c r="M12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8" spans="1:13" x14ac:dyDescent="0.25">
      <c r="A1278">
        <v>10749</v>
      </c>
      <c r="B1278">
        <v>76</v>
      </c>
      <c r="C1278" s="6" t="s">
        <v>24</v>
      </c>
      <c r="D1278">
        <v>10</v>
      </c>
      <c r="E1278" s="6" t="s">
        <v>6</v>
      </c>
      <c r="F1278" t="str">
        <f>_xlfn.XLOOKUP(northwind_order_details[[#This Row],[order_id]],northwind_orders[order_id],northwind_orders[ship_country])</f>
        <v>UK</v>
      </c>
      <c r="G1278">
        <f>INDEX(northwind_orders[],MATCH(northwind_order_details[[#This Row],[order_id]], northwind_orders[order_id], 0), MATCH("employee_id", northwind_orders[#Headers], 0))</f>
        <v>4</v>
      </c>
      <c r="H1278">
        <f>northwind_order_details[[#This Row],[unit_price]]*northwind_order_details[[#This Row],[quantity]]</f>
        <v>180</v>
      </c>
      <c r="I1278" s="1">
        <f>northwind_order_details[[#This Row],[purchase amount]]*northwind_order_details[[#This Row],[discount]]</f>
        <v>0</v>
      </c>
      <c r="J1278" s="1">
        <f>northwind_order_details[[#This Row],[purchase amount]]-northwind_order_details[[#This Row],[discount amount]]</f>
        <v>180</v>
      </c>
      <c r="K1278" s="6" t="str">
        <f>IF(northwind_order_details[[#This Row],[discount amount]]&gt;0,"Yes","No")</f>
        <v>No</v>
      </c>
      <c r="L1278" s="1" t="str">
        <f>IF(northwind_order_details[[#This Row],[Revenue]]&gt;1000,"High",IF(northwind_order_details[[#This Row],[Revenue]]&gt;300,"Medium","Low"))</f>
        <v>Low</v>
      </c>
      <c r="M12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79" spans="1:13" x14ac:dyDescent="0.25">
      <c r="A1279">
        <v>10750</v>
      </c>
      <c r="B1279">
        <v>14</v>
      </c>
      <c r="C1279" s="6">
        <v>23.25</v>
      </c>
      <c r="D1279">
        <v>5</v>
      </c>
      <c r="E1279" s="6">
        <v>0.15</v>
      </c>
      <c r="F1279" t="str">
        <f>_xlfn.XLOOKUP(northwind_order_details[[#This Row],[order_id]],northwind_orders[order_id],northwind_orders[ship_country])</f>
        <v>Finland</v>
      </c>
      <c r="G1279">
        <f>INDEX(northwind_orders[],MATCH(northwind_order_details[[#This Row],[order_id]], northwind_orders[order_id], 0), MATCH("employee_id", northwind_orders[#Headers], 0))</f>
        <v>9</v>
      </c>
      <c r="H1279">
        <f>northwind_order_details[[#This Row],[unit_price]]*northwind_order_details[[#This Row],[quantity]]</f>
        <v>116.25</v>
      </c>
      <c r="I1279" s="1">
        <f>northwind_order_details[[#This Row],[purchase amount]]*northwind_order_details[[#This Row],[discount]]</f>
        <v>17.4375</v>
      </c>
      <c r="J1279" s="1">
        <f>northwind_order_details[[#This Row],[purchase amount]]-northwind_order_details[[#This Row],[discount amount]]</f>
        <v>98.8125</v>
      </c>
      <c r="K1279" s="6" t="str">
        <f>IF(northwind_order_details[[#This Row],[discount amount]]&gt;0,"Yes","No")</f>
        <v>Yes</v>
      </c>
      <c r="L1279" s="1" t="str">
        <f>IF(northwind_order_details[[#This Row],[Revenue]]&gt;1000,"High",IF(northwind_order_details[[#This Row],[Revenue]]&gt;300,"Medium","Low"))</f>
        <v>Low</v>
      </c>
      <c r="M12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80" spans="1:13" x14ac:dyDescent="0.25">
      <c r="A1280">
        <v>10750</v>
      </c>
      <c r="B1280">
        <v>45</v>
      </c>
      <c r="C1280" s="6">
        <v>9.5</v>
      </c>
      <c r="D1280">
        <v>40</v>
      </c>
      <c r="E1280" s="6">
        <v>0.15</v>
      </c>
      <c r="F1280" t="str">
        <f>_xlfn.XLOOKUP(northwind_order_details[[#This Row],[order_id]],northwind_orders[order_id],northwind_orders[ship_country])</f>
        <v>Finland</v>
      </c>
      <c r="G1280">
        <f>INDEX(northwind_orders[],MATCH(northwind_order_details[[#This Row],[order_id]], northwind_orders[order_id], 0), MATCH("employee_id", northwind_orders[#Headers], 0))</f>
        <v>9</v>
      </c>
      <c r="H1280">
        <f>northwind_order_details[[#This Row],[unit_price]]*northwind_order_details[[#This Row],[quantity]]</f>
        <v>380</v>
      </c>
      <c r="I1280" s="1">
        <f>northwind_order_details[[#This Row],[purchase amount]]*northwind_order_details[[#This Row],[discount]]</f>
        <v>57</v>
      </c>
      <c r="J1280" s="1">
        <f>northwind_order_details[[#This Row],[purchase amount]]-northwind_order_details[[#This Row],[discount amount]]</f>
        <v>323</v>
      </c>
      <c r="K1280" s="6" t="str">
        <f>IF(northwind_order_details[[#This Row],[discount amount]]&gt;0,"Yes","No")</f>
        <v>Yes</v>
      </c>
      <c r="L1280" s="1" t="str">
        <f>IF(northwind_order_details[[#This Row],[Revenue]]&gt;1000,"High",IF(northwind_order_details[[#This Row],[Revenue]]&gt;300,"Medium","Low"))</f>
        <v>Medium</v>
      </c>
      <c r="M128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81" spans="1:13" x14ac:dyDescent="0.25">
      <c r="A1281">
        <v>10750</v>
      </c>
      <c r="B1281">
        <v>59</v>
      </c>
      <c r="C1281" s="6" t="s">
        <v>33</v>
      </c>
      <c r="D1281">
        <v>25</v>
      </c>
      <c r="E1281" s="6">
        <v>0.15</v>
      </c>
      <c r="F1281" t="str">
        <f>_xlfn.XLOOKUP(northwind_order_details[[#This Row],[order_id]],northwind_orders[order_id],northwind_orders[ship_country])</f>
        <v>Finland</v>
      </c>
      <c r="G1281">
        <f>INDEX(northwind_orders[],MATCH(northwind_order_details[[#This Row],[order_id]], northwind_orders[order_id], 0), MATCH("employee_id", northwind_orders[#Headers], 0))</f>
        <v>9</v>
      </c>
      <c r="H1281">
        <f>northwind_order_details[[#This Row],[unit_price]]*northwind_order_details[[#This Row],[quantity]]</f>
        <v>1375</v>
      </c>
      <c r="I1281" s="1">
        <f>northwind_order_details[[#This Row],[purchase amount]]*northwind_order_details[[#This Row],[discount]]</f>
        <v>206.25</v>
      </c>
      <c r="J1281" s="1">
        <f>northwind_order_details[[#This Row],[purchase amount]]-northwind_order_details[[#This Row],[discount amount]]</f>
        <v>1168.75</v>
      </c>
      <c r="K1281" s="6" t="str">
        <f>IF(northwind_order_details[[#This Row],[discount amount]]&gt;0,"Yes","No")</f>
        <v>Yes</v>
      </c>
      <c r="L1281" s="1" t="str">
        <f>IF(northwind_order_details[[#This Row],[Revenue]]&gt;1000,"High",IF(northwind_order_details[[#This Row],[Revenue]]&gt;300,"Medium","Low"))</f>
        <v>High</v>
      </c>
      <c r="M12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82" spans="1:13" x14ac:dyDescent="0.25">
      <c r="A1282">
        <v>10751</v>
      </c>
      <c r="B1282">
        <v>26</v>
      </c>
      <c r="C1282" s="6">
        <v>31.23</v>
      </c>
      <c r="D1282">
        <v>12</v>
      </c>
      <c r="E1282" s="6">
        <v>0.1</v>
      </c>
      <c r="F1282" t="str">
        <f>_xlfn.XLOOKUP(northwind_order_details[[#This Row],[order_id]],northwind_orders[order_id],northwind_orders[ship_country])</f>
        <v>Switzerland</v>
      </c>
      <c r="G1282">
        <f>INDEX(northwind_orders[],MATCH(northwind_order_details[[#This Row],[order_id]], northwind_orders[order_id], 0), MATCH("employee_id", northwind_orders[#Headers], 0))</f>
        <v>3</v>
      </c>
      <c r="H1282">
        <f>northwind_order_details[[#This Row],[unit_price]]*northwind_order_details[[#This Row],[quantity]]</f>
        <v>374.76</v>
      </c>
      <c r="I1282" s="1">
        <f>northwind_order_details[[#This Row],[purchase amount]]*northwind_order_details[[#This Row],[discount]]</f>
        <v>37.475999999999999</v>
      </c>
      <c r="J1282" s="1">
        <f>northwind_order_details[[#This Row],[purchase amount]]-northwind_order_details[[#This Row],[discount amount]]</f>
        <v>337.28399999999999</v>
      </c>
      <c r="K1282" s="6" t="str">
        <f>IF(northwind_order_details[[#This Row],[discount amount]]&gt;0,"Yes","No")</f>
        <v>Yes</v>
      </c>
      <c r="L1282" s="1" t="str">
        <f>IF(northwind_order_details[[#This Row],[Revenue]]&gt;1000,"High",IF(northwind_order_details[[#This Row],[Revenue]]&gt;300,"Medium","Low"))</f>
        <v>Medium</v>
      </c>
      <c r="M12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83" spans="1:13" x14ac:dyDescent="0.25">
      <c r="A1283">
        <v>10751</v>
      </c>
      <c r="B1283">
        <v>30</v>
      </c>
      <c r="C1283" s="6">
        <v>25.89</v>
      </c>
      <c r="D1283">
        <v>30</v>
      </c>
      <c r="E1283" s="6" t="s">
        <v>6</v>
      </c>
      <c r="F1283" t="str">
        <f>_xlfn.XLOOKUP(northwind_order_details[[#This Row],[order_id]],northwind_orders[order_id],northwind_orders[ship_country])</f>
        <v>Switzerland</v>
      </c>
      <c r="G1283">
        <f>INDEX(northwind_orders[],MATCH(northwind_order_details[[#This Row],[order_id]], northwind_orders[order_id], 0), MATCH("employee_id", northwind_orders[#Headers], 0))</f>
        <v>3</v>
      </c>
      <c r="H1283">
        <f>northwind_order_details[[#This Row],[unit_price]]*northwind_order_details[[#This Row],[quantity]]</f>
        <v>776.7</v>
      </c>
      <c r="I1283" s="1">
        <f>northwind_order_details[[#This Row],[purchase amount]]*northwind_order_details[[#This Row],[discount]]</f>
        <v>0</v>
      </c>
      <c r="J1283" s="1">
        <f>northwind_order_details[[#This Row],[purchase amount]]-northwind_order_details[[#This Row],[discount amount]]</f>
        <v>776.7</v>
      </c>
      <c r="K1283" s="6" t="str">
        <f>IF(northwind_order_details[[#This Row],[discount amount]]&gt;0,"Yes","No")</f>
        <v>No</v>
      </c>
      <c r="L1283" s="1" t="str">
        <f>IF(northwind_order_details[[#This Row],[Revenue]]&gt;1000,"High",IF(northwind_order_details[[#This Row],[Revenue]]&gt;300,"Medium","Low"))</f>
        <v>Medium</v>
      </c>
      <c r="M12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84" spans="1:13" x14ac:dyDescent="0.25">
      <c r="A1284">
        <v>10751</v>
      </c>
      <c r="B1284">
        <v>50</v>
      </c>
      <c r="C1284" s="6">
        <v>16.25</v>
      </c>
      <c r="D1284">
        <v>20</v>
      </c>
      <c r="E1284" s="6">
        <v>0.1</v>
      </c>
      <c r="F1284" t="str">
        <f>_xlfn.XLOOKUP(northwind_order_details[[#This Row],[order_id]],northwind_orders[order_id],northwind_orders[ship_country])</f>
        <v>Switzerland</v>
      </c>
      <c r="G1284">
        <f>INDEX(northwind_orders[],MATCH(northwind_order_details[[#This Row],[order_id]], northwind_orders[order_id], 0), MATCH("employee_id", northwind_orders[#Headers], 0))</f>
        <v>3</v>
      </c>
      <c r="H1284">
        <f>northwind_order_details[[#This Row],[unit_price]]*northwind_order_details[[#This Row],[quantity]]</f>
        <v>325</v>
      </c>
      <c r="I1284" s="1">
        <f>northwind_order_details[[#This Row],[purchase amount]]*northwind_order_details[[#This Row],[discount]]</f>
        <v>32.5</v>
      </c>
      <c r="J1284" s="1">
        <f>northwind_order_details[[#This Row],[purchase amount]]-northwind_order_details[[#This Row],[discount amount]]</f>
        <v>292.5</v>
      </c>
      <c r="K1284" s="6" t="str">
        <f>IF(northwind_order_details[[#This Row],[discount amount]]&gt;0,"Yes","No")</f>
        <v>Yes</v>
      </c>
      <c r="L1284" s="1" t="str">
        <f>IF(northwind_order_details[[#This Row],[Revenue]]&gt;1000,"High",IF(northwind_order_details[[#This Row],[Revenue]]&gt;300,"Medium","Low"))</f>
        <v>Low</v>
      </c>
      <c r="M12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85" spans="1:13" x14ac:dyDescent="0.25">
      <c r="A1285">
        <v>10751</v>
      </c>
      <c r="B1285">
        <v>73</v>
      </c>
      <c r="C1285" s="6" t="s">
        <v>21</v>
      </c>
      <c r="D1285">
        <v>15</v>
      </c>
      <c r="E1285" s="6" t="s">
        <v>6</v>
      </c>
      <c r="F1285" t="str">
        <f>_xlfn.XLOOKUP(northwind_order_details[[#This Row],[order_id]],northwind_orders[order_id],northwind_orders[ship_country])</f>
        <v>Switzerland</v>
      </c>
      <c r="G1285">
        <f>INDEX(northwind_orders[],MATCH(northwind_order_details[[#This Row],[order_id]], northwind_orders[order_id], 0), MATCH("employee_id", northwind_orders[#Headers], 0))</f>
        <v>3</v>
      </c>
      <c r="H1285">
        <f>northwind_order_details[[#This Row],[unit_price]]*northwind_order_details[[#This Row],[quantity]]</f>
        <v>225</v>
      </c>
      <c r="I1285" s="1">
        <f>northwind_order_details[[#This Row],[purchase amount]]*northwind_order_details[[#This Row],[discount]]</f>
        <v>0</v>
      </c>
      <c r="J1285" s="1">
        <f>northwind_order_details[[#This Row],[purchase amount]]-northwind_order_details[[#This Row],[discount amount]]</f>
        <v>225</v>
      </c>
      <c r="K1285" s="6" t="str">
        <f>IF(northwind_order_details[[#This Row],[discount amount]]&gt;0,"Yes","No")</f>
        <v>No</v>
      </c>
      <c r="L1285" s="1" t="str">
        <f>IF(northwind_order_details[[#This Row],[Revenue]]&gt;1000,"High",IF(northwind_order_details[[#This Row],[Revenue]]&gt;300,"Medium","Low"))</f>
        <v>Low</v>
      </c>
      <c r="M12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86" spans="1:13" x14ac:dyDescent="0.25">
      <c r="A1286">
        <v>10752</v>
      </c>
      <c r="B1286">
        <v>1</v>
      </c>
      <c r="C1286" s="6" t="s">
        <v>24</v>
      </c>
      <c r="D1286">
        <v>8</v>
      </c>
      <c r="E1286" s="6" t="s">
        <v>6</v>
      </c>
      <c r="F1286" t="str">
        <f>_xlfn.XLOOKUP(northwind_order_details[[#This Row],[order_id]],northwind_orders[order_id],northwind_orders[ship_country])</f>
        <v>UK</v>
      </c>
      <c r="G1286">
        <f>INDEX(northwind_orders[],MATCH(northwind_order_details[[#This Row],[order_id]], northwind_orders[order_id], 0), MATCH("employee_id", northwind_orders[#Headers], 0))</f>
        <v>2</v>
      </c>
      <c r="H1286">
        <f>northwind_order_details[[#This Row],[unit_price]]*northwind_order_details[[#This Row],[quantity]]</f>
        <v>144</v>
      </c>
      <c r="I1286" s="1">
        <f>northwind_order_details[[#This Row],[purchase amount]]*northwind_order_details[[#This Row],[discount]]</f>
        <v>0</v>
      </c>
      <c r="J1286" s="1">
        <f>northwind_order_details[[#This Row],[purchase amount]]-northwind_order_details[[#This Row],[discount amount]]</f>
        <v>144</v>
      </c>
      <c r="K1286" s="6" t="str">
        <f>IF(northwind_order_details[[#This Row],[discount amount]]&gt;0,"Yes","No")</f>
        <v>No</v>
      </c>
      <c r="L1286" s="1" t="str">
        <f>IF(northwind_order_details[[#This Row],[Revenue]]&gt;1000,"High",IF(northwind_order_details[[#This Row],[Revenue]]&gt;300,"Medium","Low"))</f>
        <v>Low</v>
      </c>
      <c r="M12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87" spans="1:13" x14ac:dyDescent="0.25">
      <c r="A1287">
        <v>10752</v>
      </c>
      <c r="B1287">
        <v>69</v>
      </c>
      <c r="C1287" s="6" t="s">
        <v>38</v>
      </c>
      <c r="D1287">
        <v>3</v>
      </c>
      <c r="E1287" s="6" t="s">
        <v>6</v>
      </c>
      <c r="F1287" t="str">
        <f>_xlfn.XLOOKUP(northwind_order_details[[#This Row],[order_id]],northwind_orders[order_id],northwind_orders[ship_country])</f>
        <v>UK</v>
      </c>
      <c r="G1287">
        <f>INDEX(northwind_orders[],MATCH(northwind_order_details[[#This Row],[order_id]], northwind_orders[order_id], 0), MATCH("employee_id", northwind_orders[#Headers], 0))</f>
        <v>2</v>
      </c>
      <c r="H1287">
        <f>northwind_order_details[[#This Row],[unit_price]]*northwind_order_details[[#This Row],[quantity]]</f>
        <v>108</v>
      </c>
      <c r="I1287" s="1">
        <f>northwind_order_details[[#This Row],[purchase amount]]*northwind_order_details[[#This Row],[discount]]</f>
        <v>0</v>
      </c>
      <c r="J1287" s="1">
        <f>northwind_order_details[[#This Row],[purchase amount]]-northwind_order_details[[#This Row],[discount amount]]</f>
        <v>108</v>
      </c>
      <c r="K1287" s="6" t="str">
        <f>IF(northwind_order_details[[#This Row],[discount amount]]&gt;0,"Yes","No")</f>
        <v>No</v>
      </c>
      <c r="L1287" s="1" t="str">
        <f>IF(northwind_order_details[[#This Row],[Revenue]]&gt;1000,"High",IF(northwind_order_details[[#This Row],[Revenue]]&gt;300,"Medium","Low"))</f>
        <v>Low</v>
      </c>
      <c r="M12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88" spans="1:13" x14ac:dyDescent="0.25">
      <c r="A1288">
        <v>10753</v>
      </c>
      <c r="B1288">
        <v>45</v>
      </c>
      <c r="C1288" s="6">
        <v>9.5</v>
      </c>
      <c r="D1288">
        <v>4</v>
      </c>
      <c r="E1288" s="6" t="s">
        <v>6</v>
      </c>
      <c r="F1288" t="str">
        <f>_xlfn.XLOOKUP(northwind_order_details[[#This Row],[order_id]],northwind_orders[order_id],northwind_orders[ship_country])</f>
        <v>Italy</v>
      </c>
      <c r="G1288">
        <f>INDEX(northwind_orders[],MATCH(northwind_order_details[[#This Row],[order_id]], northwind_orders[order_id], 0), MATCH("employee_id", northwind_orders[#Headers], 0))</f>
        <v>3</v>
      </c>
      <c r="H1288">
        <f>northwind_order_details[[#This Row],[unit_price]]*northwind_order_details[[#This Row],[quantity]]</f>
        <v>38</v>
      </c>
      <c r="I1288" s="1">
        <f>northwind_order_details[[#This Row],[purchase amount]]*northwind_order_details[[#This Row],[discount]]</f>
        <v>0</v>
      </c>
      <c r="J1288" s="1">
        <f>northwind_order_details[[#This Row],[purchase amount]]-northwind_order_details[[#This Row],[discount amount]]</f>
        <v>38</v>
      </c>
      <c r="K1288" s="6" t="str">
        <f>IF(northwind_order_details[[#This Row],[discount amount]]&gt;0,"Yes","No")</f>
        <v>No</v>
      </c>
      <c r="L1288" s="1" t="str">
        <f>IF(northwind_order_details[[#This Row],[Revenue]]&gt;1000,"High",IF(northwind_order_details[[#This Row],[Revenue]]&gt;300,"Medium","Low"))</f>
        <v>Low</v>
      </c>
      <c r="M12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89" spans="1:13" x14ac:dyDescent="0.25">
      <c r="A1289">
        <v>10753</v>
      </c>
      <c r="B1289">
        <v>74</v>
      </c>
      <c r="C1289" s="6" t="s">
        <v>8</v>
      </c>
      <c r="D1289">
        <v>5</v>
      </c>
      <c r="E1289" s="6" t="s">
        <v>6</v>
      </c>
      <c r="F1289" t="str">
        <f>_xlfn.XLOOKUP(northwind_order_details[[#This Row],[order_id]],northwind_orders[order_id],northwind_orders[ship_country])</f>
        <v>Italy</v>
      </c>
      <c r="G1289">
        <f>INDEX(northwind_orders[],MATCH(northwind_order_details[[#This Row],[order_id]], northwind_orders[order_id], 0), MATCH("employee_id", northwind_orders[#Headers], 0))</f>
        <v>3</v>
      </c>
      <c r="H1289">
        <f>northwind_order_details[[#This Row],[unit_price]]*northwind_order_details[[#This Row],[quantity]]</f>
        <v>50</v>
      </c>
      <c r="I1289" s="1">
        <f>northwind_order_details[[#This Row],[purchase amount]]*northwind_order_details[[#This Row],[discount]]</f>
        <v>0</v>
      </c>
      <c r="J1289" s="1">
        <f>northwind_order_details[[#This Row],[purchase amount]]-northwind_order_details[[#This Row],[discount amount]]</f>
        <v>50</v>
      </c>
      <c r="K1289" s="6" t="str">
        <f>IF(northwind_order_details[[#This Row],[discount amount]]&gt;0,"Yes","No")</f>
        <v>No</v>
      </c>
      <c r="L1289" s="1" t="str">
        <f>IF(northwind_order_details[[#This Row],[Revenue]]&gt;1000,"High",IF(northwind_order_details[[#This Row],[Revenue]]&gt;300,"Medium","Low"))</f>
        <v>Low</v>
      </c>
      <c r="M12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90" spans="1:13" x14ac:dyDescent="0.25">
      <c r="A1290">
        <v>10754</v>
      </c>
      <c r="B1290">
        <v>40</v>
      </c>
      <c r="C1290" s="6">
        <v>18.399999999999999</v>
      </c>
      <c r="D1290">
        <v>3</v>
      </c>
      <c r="E1290" s="6" t="s">
        <v>6</v>
      </c>
      <c r="F1290" t="str">
        <f>_xlfn.XLOOKUP(northwind_order_details[[#This Row],[order_id]],northwind_orders[order_id],northwind_orders[ship_country])</f>
        <v>Italy</v>
      </c>
      <c r="G1290">
        <f>INDEX(northwind_orders[],MATCH(northwind_order_details[[#This Row],[order_id]], northwind_orders[order_id], 0), MATCH("employee_id", northwind_orders[#Headers], 0))</f>
        <v>6</v>
      </c>
      <c r="H1290">
        <f>northwind_order_details[[#This Row],[unit_price]]*northwind_order_details[[#This Row],[quantity]]</f>
        <v>55.199999999999996</v>
      </c>
      <c r="I1290" s="1">
        <f>northwind_order_details[[#This Row],[purchase amount]]*northwind_order_details[[#This Row],[discount]]</f>
        <v>0</v>
      </c>
      <c r="J1290" s="1">
        <f>northwind_order_details[[#This Row],[purchase amount]]-northwind_order_details[[#This Row],[discount amount]]</f>
        <v>55.199999999999996</v>
      </c>
      <c r="K1290" s="6" t="str">
        <f>IF(northwind_order_details[[#This Row],[discount amount]]&gt;0,"Yes","No")</f>
        <v>No</v>
      </c>
      <c r="L1290" s="1" t="str">
        <f>IF(northwind_order_details[[#This Row],[Revenue]]&gt;1000,"High",IF(northwind_order_details[[#This Row],[Revenue]]&gt;300,"Medium","Low"))</f>
        <v>Low</v>
      </c>
      <c r="M12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91" spans="1:13" x14ac:dyDescent="0.25">
      <c r="A1291">
        <v>10755</v>
      </c>
      <c r="B1291">
        <v>47</v>
      </c>
      <c r="C1291" s="6">
        <v>9.5</v>
      </c>
      <c r="D1291">
        <v>30</v>
      </c>
      <c r="E1291" s="6">
        <v>0.25</v>
      </c>
      <c r="F1291" t="str">
        <f>_xlfn.XLOOKUP(northwind_order_details[[#This Row],[order_id]],northwind_orders[order_id],northwind_orders[ship_country])</f>
        <v>France</v>
      </c>
      <c r="G1291">
        <f>INDEX(northwind_orders[],MATCH(northwind_order_details[[#This Row],[order_id]], northwind_orders[order_id], 0), MATCH("employee_id", northwind_orders[#Headers], 0))</f>
        <v>4</v>
      </c>
      <c r="H1291">
        <f>northwind_order_details[[#This Row],[unit_price]]*northwind_order_details[[#This Row],[quantity]]</f>
        <v>285</v>
      </c>
      <c r="I1291" s="1">
        <f>northwind_order_details[[#This Row],[purchase amount]]*northwind_order_details[[#This Row],[discount]]</f>
        <v>71.25</v>
      </c>
      <c r="J1291" s="1">
        <f>northwind_order_details[[#This Row],[purchase amount]]-northwind_order_details[[#This Row],[discount amount]]</f>
        <v>213.75</v>
      </c>
      <c r="K1291" s="6" t="str">
        <f>IF(northwind_order_details[[#This Row],[discount amount]]&gt;0,"Yes","No")</f>
        <v>Yes</v>
      </c>
      <c r="L1291" s="1" t="str">
        <f>IF(northwind_order_details[[#This Row],[Revenue]]&gt;1000,"High",IF(northwind_order_details[[#This Row],[Revenue]]&gt;300,"Medium","Low"))</f>
        <v>Low</v>
      </c>
      <c r="M12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92" spans="1:13" x14ac:dyDescent="0.25">
      <c r="A1292">
        <v>10755</v>
      </c>
      <c r="B1292">
        <v>56</v>
      </c>
      <c r="C1292" s="6" t="s">
        <v>30</v>
      </c>
      <c r="D1292">
        <v>30</v>
      </c>
      <c r="E1292" s="6">
        <v>0.25</v>
      </c>
      <c r="F1292" t="str">
        <f>_xlfn.XLOOKUP(northwind_order_details[[#This Row],[order_id]],northwind_orders[order_id],northwind_orders[ship_country])</f>
        <v>France</v>
      </c>
      <c r="G1292">
        <f>INDEX(northwind_orders[],MATCH(northwind_order_details[[#This Row],[order_id]], northwind_orders[order_id], 0), MATCH("employee_id", northwind_orders[#Headers], 0))</f>
        <v>4</v>
      </c>
      <c r="H1292">
        <f>northwind_order_details[[#This Row],[unit_price]]*northwind_order_details[[#This Row],[quantity]]</f>
        <v>1140</v>
      </c>
      <c r="I1292" s="1">
        <f>northwind_order_details[[#This Row],[purchase amount]]*northwind_order_details[[#This Row],[discount]]</f>
        <v>285</v>
      </c>
      <c r="J1292" s="1">
        <f>northwind_order_details[[#This Row],[purchase amount]]-northwind_order_details[[#This Row],[discount amount]]</f>
        <v>855</v>
      </c>
      <c r="K1292" s="6" t="str">
        <f>IF(northwind_order_details[[#This Row],[discount amount]]&gt;0,"Yes","No")</f>
        <v>Yes</v>
      </c>
      <c r="L1292" s="1" t="str">
        <f>IF(northwind_order_details[[#This Row],[Revenue]]&gt;1000,"High",IF(northwind_order_details[[#This Row],[Revenue]]&gt;300,"Medium","Low"))</f>
        <v>Medium</v>
      </c>
      <c r="M12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93" spans="1:13" x14ac:dyDescent="0.25">
      <c r="A1293">
        <v>10755</v>
      </c>
      <c r="B1293">
        <v>57</v>
      </c>
      <c r="C1293" s="6">
        <v>19.5</v>
      </c>
      <c r="D1293">
        <v>14</v>
      </c>
      <c r="E1293" s="6">
        <v>0.25</v>
      </c>
      <c r="F1293" t="str">
        <f>_xlfn.XLOOKUP(northwind_order_details[[#This Row],[order_id]],northwind_orders[order_id],northwind_orders[ship_country])</f>
        <v>France</v>
      </c>
      <c r="G1293">
        <f>INDEX(northwind_orders[],MATCH(northwind_order_details[[#This Row],[order_id]], northwind_orders[order_id], 0), MATCH("employee_id", northwind_orders[#Headers], 0))</f>
        <v>4</v>
      </c>
      <c r="H1293">
        <f>northwind_order_details[[#This Row],[unit_price]]*northwind_order_details[[#This Row],[quantity]]</f>
        <v>273</v>
      </c>
      <c r="I1293" s="1">
        <f>northwind_order_details[[#This Row],[purchase amount]]*northwind_order_details[[#This Row],[discount]]</f>
        <v>68.25</v>
      </c>
      <c r="J1293" s="1">
        <f>northwind_order_details[[#This Row],[purchase amount]]-northwind_order_details[[#This Row],[discount amount]]</f>
        <v>204.75</v>
      </c>
      <c r="K1293" s="6" t="str">
        <f>IF(northwind_order_details[[#This Row],[discount amount]]&gt;0,"Yes","No")</f>
        <v>Yes</v>
      </c>
      <c r="L1293" s="1" t="str">
        <f>IF(northwind_order_details[[#This Row],[Revenue]]&gt;1000,"High",IF(northwind_order_details[[#This Row],[Revenue]]&gt;300,"Medium","Low"))</f>
        <v>Low</v>
      </c>
      <c r="M12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94" spans="1:13" x14ac:dyDescent="0.25">
      <c r="A1294">
        <v>10755</v>
      </c>
      <c r="B1294">
        <v>69</v>
      </c>
      <c r="C1294" s="6" t="s">
        <v>38</v>
      </c>
      <c r="D1294">
        <v>25</v>
      </c>
      <c r="E1294" s="6">
        <v>0.25</v>
      </c>
      <c r="F1294" t="str">
        <f>_xlfn.XLOOKUP(northwind_order_details[[#This Row],[order_id]],northwind_orders[order_id],northwind_orders[ship_country])</f>
        <v>France</v>
      </c>
      <c r="G1294">
        <f>INDEX(northwind_orders[],MATCH(northwind_order_details[[#This Row],[order_id]], northwind_orders[order_id], 0), MATCH("employee_id", northwind_orders[#Headers], 0))</f>
        <v>4</v>
      </c>
      <c r="H1294">
        <f>northwind_order_details[[#This Row],[unit_price]]*northwind_order_details[[#This Row],[quantity]]</f>
        <v>900</v>
      </c>
      <c r="I1294" s="1">
        <f>northwind_order_details[[#This Row],[purchase amount]]*northwind_order_details[[#This Row],[discount]]</f>
        <v>225</v>
      </c>
      <c r="J1294" s="1">
        <f>northwind_order_details[[#This Row],[purchase amount]]-northwind_order_details[[#This Row],[discount amount]]</f>
        <v>675</v>
      </c>
      <c r="K1294" s="6" t="str">
        <f>IF(northwind_order_details[[#This Row],[discount amount]]&gt;0,"Yes","No")</f>
        <v>Yes</v>
      </c>
      <c r="L1294" s="1" t="str">
        <f>IF(northwind_order_details[[#This Row],[Revenue]]&gt;1000,"High",IF(northwind_order_details[[#This Row],[Revenue]]&gt;300,"Medium","Low"))</f>
        <v>Medium</v>
      </c>
      <c r="M12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95" spans="1:13" x14ac:dyDescent="0.25">
      <c r="A1295">
        <v>10756</v>
      </c>
      <c r="B1295">
        <v>18</v>
      </c>
      <c r="C1295" s="6">
        <v>62.5</v>
      </c>
      <c r="D1295">
        <v>21</v>
      </c>
      <c r="E1295" s="6">
        <v>0.2</v>
      </c>
      <c r="F1295" t="str">
        <f>_xlfn.XLOOKUP(northwind_order_details[[#This Row],[order_id]],northwind_orders[order_id],northwind_orders[ship_country])</f>
        <v>USA</v>
      </c>
      <c r="G1295">
        <f>INDEX(northwind_orders[],MATCH(northwind_order_details[[#This Row],[order_id]], northwind_orders[order_id], 0), MATCH("employee_id", northwind_orders[#Headers], 0))</f>
        <v>8</v>
      </c>
      <c r="H1295">
        <f>northwind_order_details[[#This Row],[unit_price]]*northwind_order_details[[#This Row],[quantity]]</f>
        <v>1312.5</v>
      </c>
      <c r="I1295" s="1">
        <f>northwind_order_details[[#This Row],[purchase amount]]*northwind_order_details[[#This Row],[discount]]</f>
        <v>262.5</v>
      </c>
      <c r="J1295" s="1">
        <f>northwind_order_details[[#This Row],[purchase amount]]-northwind_order_details[[#This Row],[discount amount]]</f>
        <v>1050</v>
      </c>
      <c r="K1295" s="6" t="str">
        <f>IF(northwind_order_details[[#This Row],[discount amount]]&gt;0,"Yes","No")</f>
        <v>Yes</v>
      </c>
      <c r="L1295" s="1" t="str">
        <f>IF(northwind_order_details[[#This Row],[Revenue]]&gt;1000,"High",IF(northwind_order_details[[#This Row],[Revenue]]&gt;300,"Medium","Low"))</f>
        <v>High</v>
      </c>
      <c r="M12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96" spans="1:13" x14ac:dyDescent="0.25">
      <c r="A1296">
        <v>10756</v>
      </c>
      <c r="B1296">
        <v>36</v>
      </c>
      <c r="C1296" s="6" t="s">
        <v>20</v>
      </c>
      <c r="D1296">
        <v>20</v>
      </c>
      <c r="E1296" s="6">
        <v>0.2</v>
      </c>
      <c r="F1296" t="str">
        <f>_xlfn.XLOOKUP(northwind_order_details[[#This Row],[order_id]],northwind_orders[order_id],northwind_orders[ship_country])</f>
        <v>USA</v>
      </c>
      <c r="G1296">
        <f>INDEX(northwind_orders[],MATCH(northwind_order_details[[#This Row],[order_id]], northwind_orders[order_id], 0), MATCH("employee_id", northwind_orders[#Headers], 0))</f>
        <v>8</v>
      </c>
      <c r="H1296">
        <f>northwind_order_details[[#This Row],[unit_price]]*northwind_order_details[[#This Row],[quantity]]</f>
        <v>380</v>
      </c>
      <c r="I1296" s="1">
        <f>northwind_order_details[[#This Row],[purchase amount]]*northwind_order_details[[#This Row],[discount]]</f>
        <v>76</v>
      </c>
      <c r="J1296" s="1">
        <f>northwind_order_details[[#This Row],[purchase amount]]-northwind_order_details[[#This Row],[discount amount]]</f>
        <v>304</v>
      </c>
      <c r="K1296" s="6" t="str">
        <f>IF(northwind_order_details[[#This Row],[discount amount]]&gt;0,"Yes","No")</f>
        <v>Yes</v>
      </c>
      <c r="L1296" s="1" t="str">
        <f>IF(northwind_order_details[[#This Row],[Revenue]]&gt;1000,"High",IF(northwind_order_details[[#This Row],[Revenue]]&gt;300,"Medium","Low"))</f>
        <v>Medium</v>
      </c>
      <c r="M12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97" spans="1:13" x14ac:dyDescent="0.25">
      <c r="A1297">
        <v>10756</v>
      </c>
      <c r="B1297">
        <v>68</v>
      </c>
      <c r="C1297" s="6">
        <v>12.5</v>
      </c>
      <c r="D1297">
        <v>6</v>
      </c>
      <c r="E1297" s="6">
        <v>0.2</v>
      </c>
      <c r="F1297" t="str">
        <f>_xlfn.XLOOKUP(northwind_order_details[[#This Row],[order_id]],northwind_orders[order_id],northwind_orders[ship_country])</f>
        <v>USA</v>
      </c>
      <c r="G1297">
        <f>INDEX(northwind_orders[],MATCH(northwind_order_details[[#This Row],[order_id]], northwind_orders[order_id], 0), MATCH("employee_id", northwind_orders[#Headers], 0))</f>
        <v>8</v>
      </c>
      <c r="H1297">
        <f>northwind_order_details[[#This Row],[unit_price]]*northwind_order_details[[#This Row],[quantity]]</f>
        <v>75</v>
      </c>
      <c r="I1297" s="1">
        <f>northwind_order_details[[#This Row],[purchase amount]]*northwind_order_details[[#This Row],[discount]]</f>
        <v>15</v>
      </c>
      <c r="J1297" s="1">
        <f>northwind_order_details[[#This Row],[purchase amount]]-northwind_order_details[[#This Row],[discount amount]]</f>
        <v>60</v>
      </c>
      <c r="K1297" s="6" t="str">
        <f>IF(northwind_order_details[[#This Row],[discount amount]]&gt;0,"Yes","No")</f>
        <v>Yes</v>
      </c>
      <c r="L1297" s="1" t="str">
        <f>IF(northwind_order_details[[#This Row],[Revenue]]&gt;1000,"High",IF(northwind_order_details[[#This Row],[Revenue]]&gt;300,"Medium","Low"))</f>
        <v>Low</v>
      </c>
      <c r="M12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298" spans="1:13" x14ac:dyDescent="0.25">
      <c r="A1298">
        <v>10756</v>
      </c>
      <c r="B1298">
        <v>69</v>
      </c>
      <c r="C1298" s="6" t="s">
        <v>38</v>
      </c>
      <c r="D1298">
        <v>20</v>
      </c>
      <c r="E1298" s="6">
        <v>0.2</v>
      </c>
      <c r="F1298" t="str">
        <f>_xlfn.XLOOKUP(northwind_order_details[[#This Row],[order_id]],northwind_orders[order_id],northwind_orders[ship_country])</f>
        <v>USA</v>
      </c>
      <c r="G1298">
        <f>INDEX(northwind_orders[],MATCH(northwind_order_details[[#This Row],[order_id]], northwind_orders[order_id], 0), MATCH("employee_id", northwind_orders[#Headers], 0))</f>
        <v>8</v>
      </c>
      <c r="H1298">
        <f>northwind_order_details[[#This Row],[unit_price]]*northwind_order_details[[#This Row],[quantity]]</f>
        <v>720</v>
      </c>
      <c r="I1298" s="1">
        <f>northwind_order_details[[#This Row],[purchase amount]]*northwind_order_details[[#This Row],[discount]]</f>
        <v>144</v>
      </c>
      <c r="J1298" s="1">
        <f>northwind_order_details[[#This Row],[purchase amount]]-northwind_order_details[[#This Row],[discount amount]]</f>
        <v>576</v>
      </c>
      <c r="K1298" s="6" t="str">
        <f>IF(northwind_order_details[[#This Row],[discount amount]]&gt;0,"Yes","No")</f>
        <v>Yes</v>
      </c>
      <c r="L1298" s="1" t="str">
        <f>IF(northwind_order_details[[#This Row],[Revenue]]&gt;1000,"High",IF(northwind_order_details[[#This Row],[Revenue]]&gt;300,"Medium","Low"))</f>
        <v>Medium</v>
      </c>
      <c r="M12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299" spans="1:13" x14ac:dyDescent="0.25">
      <c r="A1299">
        <v>10757</v>
      </c>
      <c r="B1299">
        <v>34</v>
      </c>
      <c r="C1299" s="6" t="s">
        <v>5</v>
      </c>
      <c r="D1299">
        <v>30</v>
      </c>
      <c r="E1299" s="6" t="s">
        <v>6</v>
      </c>
      <c r="F1299" t="str">
        <f>_xlfn.XLOOKUP(northwind_order_details[[#This Row],[order_id]],northwind_orders[order_id],northwind_orders[ship_country])</f>
        <v>USA</v>
      </c>
      <c r="G1299">
        <f>INDEX(northwind_orders[],MATCH(northwind_order_details[[#This Row],[order_id]], northwind_orders[order_id], 0), MATCH("employee_id", northwind_orders[#Headers], 0))</f>
        <v>6</v>
      </c>
      <c r="H1299">
        <f>northwind_order_details[[#This Row],[unit_price]]*northwind_order_details[[#This Row],[quantity]]</f>
        <v>420</v>
      </c>
      <c r="I1299" s="1">
        <f>northwind_order_details[[#This Row],[purchase amount]]*northwind_order_details[[#This Row],[discount]]</f>
        <v>0</v>
      </c>
      <c r="J1299" s="1">
        <f>northwind_order_details[[#This Row],[purchase amount]]-northwind_order_details[[#This Row],[discount amount]]</f>
        <v>420</v>
      </c>
      <c r="K1299" s="6" t="str">
        <f>IF(northwind_order_details[[#This Row],[discount amount]]&gt;0,"Yes","No")</f>
        <v>No</v>
      </c>
      <c r="L1299" s="1" t="str">
        <f>IF(northwind_order_details[[#This Row],[Revenue]]&gt;1000,"High",IF(northwind_order_details[[#This Row],[Revenue]]&gt;300,"Medium","Low"))</f>
        <v>Medium</v>
      </c>
      <c r="M12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0" spans="1:13" x14ac:dyDescent="0.25">
      <c r="A1300">
        <v>10757</v>
      </c>
      <c r="B1300">
        <v>59</v>
      </c>
      <c r="C1300" s="6" t="s">
        <v>33</v>
      </c>
      <c r="D1300">
        <v>7</v>
      </c>
      <c r="E1300" s="6" t="s">
        <v>6</v>
      </c>
      <c r="F1300" t="str">
        <f>_xlfn.XLOOKUP(northwind_order_details[[#This Row],[order_id]],northwind_orders[order_id],northwind_orders[ship_country])</f>
        <v>USA</v>
      </c>
      <c r="G1300">
        <f>INDEX(northwind_orders[],MATCH(northwind_order_details[[#This Row],[order_id]], northwind_orders[order_id], 0), MATCH("employee_id", northwind_orders[#Headers], 0))</f>
        <v>6</v>
      </c>
      <c r="H1300">
        <f>northwind_order_details[[#This Row],[unit_price]]*northwind_order_details[[#This Row],[quantity]]</f>
        <v>385</v>
      </c>
      <c r="I1300" s="1">
        <f>northwind_order_details[[#This Row],[purchase amount]]*northwind_order_details[[#This Row],[discount]]</f>
        <v>0</v>
      </c>
      <c r="J1300" s="1">
        <f>northwind_order_details[[#This Row],[purchase amount]]-northwind_order_details[[#This Row],[discount amount]]</f>
        <v>385</v>
      </c>
      <c r="K1300" s="6" t="str">
        <f>IF(northwind_order_details[[#This Row],[discount amount]]&gt;0,"Yes","No")</f>
        <v>No</v>
      </c>
      <c r="L1300" s="1" t="str">
        <f>IF(northwind_order_details[[#This Row],[Revenue]]&gt;1000,"High",IF(northwind_order_details[[#This Row],[Revenue]]&gt;300,"Medium","Low"))</f>
        <v>Medium</v>
      </c>
      <c r="M13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1" spans="1:13" x14ac:dyDescent="0.25">
      <c r="A1301">
        <v>10757</v>
      </c>
      <c r="B1301">
        <v>62</v>
      </c>
      <c r="C1301" s="6">
        <v>49.3</v>
      </c>
      <c r="D1301">
        <v>30</v>
      </c>
      <c r="E1301" s="6" t="s">
        <v>6</v>
      </c>
      <c r="F1301" t="str">
        <f>_xlfn.XLOOKUP(northwind_order_details[[#This Row],[order_id]],northwind_orders[order_id],northwind_orders[ship_country])</f>
        <v>USA</v>
      </c>
      <c r="G1301">
        <f>INDEX(northwind_orders[],MATCH(northwind_order_details[[#This Row],[order_id]], northwind_orders[order_id], 0), MATCH("employee_id", northwind_orders[#Headers], 0))</f>
        <v>6</v>
      </c>
      <c r="H1301">
        <f>northwind_order_details[[#This Row],[unit_price]]*northwind_order_details[[#This Row],[quantity]]</f>
        <v>1479</v>
      </c>
      <c r="I1301" s="1">
        <f>northwind_order_details[[#This Row],[purchase amount]]*northwind_order_details[[#This Row],[discount]]</f>
        <v>0</v>
      </c>
      <c r="J1301" s="1">
        <f>northwind_order_details[[#This Row],[purchase amount]]-northwind_order_details[[#This Row],[discount amount]]</f>
        <v>1479</v>
      </c>
      <c r="K1301" s="6" t="str">
        <f>IF(northwind_order_details[[#This Row],[discount amount]]&gt;0,"Yes","No")</f>
        <v>No</v>
      </c>
      <c r="L1301" s="1" t="str">
        <f>IF(northwind_order_details[[#This Row],[Revenue]]&gt;1000,"High",IF(northwind_order_details[[#This Row],[Revenue]]&gt;300,"Medium","Low"))</f>
        <v>High</v>
      </c>
      <c r="M130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02" spans="1:13" x14ac:dyDescent="0.25">
      <c r="A1302">
        <v>10757</v>
      </c>
      <c r="B1302">
        <v>64</v>
      </c>
      <c r="C1302" s="6">
        <v>33.25</v>
      </c>
      <c r="D1302">
        <v>24</v>
      </c>
      <c r="E1302" s="6" t="s">
        <v>6</v>
      </c>
      <c r="F1302" t="str">
        <f>_xlfn.XLOOKUP(northwind_order_details[[#This Row],[order_id]],northwind_orders[order_id],northwind_orders[ship_country])</f>
        <v>USA</v>
      </c>
      <c r="G1302">
        <f>INDEX(northwind_orders[],MATCH(northwind_order_details[[#This Row],[order_id]], northwind_orders[order_id], 0), MATCH("employee_id", northwind_orders[#Headers], 0))</f>
        <v>6</v>
      </c>
      <c r="H1302">
        <f>northwind_order_details[[#This Row],[unit_price]]*northwind_order_details[[#This Row],[quantity]]</f>
        <v>798</v>
      </c>
      <c r="I1302" s="1">
        <f>northwind_order_details[[#This Row],[purchase amount]]*northwind_order_details[[#This Row],[discount]]</f>
        <v>0</v>
      </c>
      <c r="J1302" s="1">
        <f>northwind_order_details[[#This Row],[purchase amount]]-northwind_order_details[[#This Row],[discount amount]]</f>
        <v>798</v>
      </c>
      <c r="K1302" s="6" t="str">
        <f>IF(northwind_order_details[[#This Row],[discount amount]]&gt;0,"Yes","No")</f>
        <v>No</v>
      </c>
      <c r="L1302" s="1" t="str">
        <f>IF(northwind_order_details[[#This Row],[Revenue]]&gt;1000,"High",IF(northwind_order_details[[#This Row],[Revenue]]&gt;300,"Medium","Low"))</f>
        <v>Medium</v>
      </c>
      <c r="M13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03" spans="1:13" x14ac:dyDescent="0.25">
      <c r="A1303">
        <v>10758</v>
      </c>
      <c r="B1303">
        <v>26</v>
      </c>
      <c r="C1303" s="6">
        <v>31.23</v>
      </c>
      <c r="D1303">
        <v>20</v>
      </c>
      <c r="E1303" s="6" t="s">
        <v>6</v>
      </c>
      <c r="F1303" t="str">
        <f>_xlfn.XLOOKUP(northwind_order_details[[#This Row],[order_id]],northwind_orders[order_id],northwind_orders[ship_country])</f>
        <v>Switzerland</v>
      </c>
      <c r="G1303">
        <f>INDEX(northwind_orders[],MATCH(northwind_order_details[[#This Row],[order_id]], northwind_orders[order_id], 0), MATCH("employee_id", northwind_orders[#Headers], 0))</f>
        <v>3</v>
      </c>
      <c r="H1303">
        <f>northwind_order_details[[#This Row],[unit_price]]*northwind_order_details[[#This Row],[quantity]]</f>
        <v>624.6</v>
      </c>
      <c r="I1303" s="1">
        <f>northwind_order_details[[#This Row],[purchase amount]]*northwind_order_details[[#This Row],[discount]]</f>
        <v>0</v>
      </c>
      <c r="J1303" s="1">
        <f>northwind_order_details[[#This Row],[purchase amount]]-northwind_order_details[[#This Row],[discount amount]]</f>
        <v>624.6</v>
      </c>
      <c r="K1303" s="6" t="str">
        <f>IF(northwind_order_details[[#This Row],[discount amount]]&gt;0,"Yes","No")</f>
        <v>No</v>
      </c>
      <c r="L1303" s="1" t="str">
        <f>IF(northwind_order_details[[#This Row],[Revenue]]&gt;1000,"High",IF(northwind_order_details[[#This Row],[Revenue]]&gt;300,"Medium","Low"))</f>
        <v>Medium</v>
      </c>
      <c r="M130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04" spans="1:13" x14ac:dyDescent="0.25">
      <c r="A1304">
        <v>10758</v>
      </c>
      <c r="B1304">
        <v>52</v>
      </c>
      <c r="C1304" s="6" t="s">
        <v>32</v>
      </c>
      <c r="D1304">
        <v>60</v>
      </c>
      <c r="E1304" s="6" t="s">
        <v>6</v>
      </c>
      <c r="F1304" t="str">
        <f>_xlfn.XLOOKUP(northwind_order_details[[#This Row],[order_id]],northwind_orders[order_id],northwind_orders[ship_country])</f>
        <v>Switzerland</v>
      </c>
      <c r="G1304">
        <f>INDEX(northwind_orders[],MATCH(northwind_order_details[[#This Row],[order_id]], northwind_orders[order_id], 0), MATCH("employee_id", northwind_orders[#Headers], 0))</f>
        <v>3</v>
      </c>
      <c r="H1304">
        <f>northwind_order_details[[#This Row],[unit_price]]*northwind_order_details[[#This Row],[quantity]]</f>
        <v>420</v>
      </c>
      <c r="I1304" s="1">
        <f>northwind_order_details[[#This Row],[purchase amount]]*northwind_order_details[[#This Row],[discount]]</f>
        <v>0</v>
      </c>
      <c r="J1304" s="1">
        <f>northwind_order_details[[#This Row],[purchase amount]]-northwind_order_details[[#This Row],[discount amount]]</f>
        <v>420</v>
      </c>
      <c r="K1304" s="6" t="str">
        <f>IF(northwind_order_details[[#This Row],[discount amount]]&gt;0,"Yes","No")</f>
        <v>No</v>
      </c>
      <c r="L1304" s="1" t="str">
        <f>IF(northwind_order_details[[#This Row],[Revenue]]&gt;1000,"High",IF(northwind_order_details[[#This Row],[Revenue]]&gt;300,"Medium","Low"))</f>
        <v>Medium</v>
      </c>
      <c r="M13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5" spans="1:13" x14ac:dyDescent="0.25">
      <c r="A1305">
        <v>10758</v>
      </c>
      <c r="B1305">
        <v>70</v>
      </c>
      <c r="C1305" s="6" t="s">
        <v>21</v>
      </c>
      <c r="D1305">
        <v>40</v>
      </c>
      <c r="E1305" s="6" t="s">
        <v>6</v>
      </c>
      <c r="F1305" t="str">
        <f>_xlfn.XLOOKUP(northwind_order_details[[#This Row],[order_id]],northwind_orders[order_id],northwind_orders[ship_country])</f>
        <v>Switzerland</v>
      </c>
      <c r="G1305">
        <f>INDEX(northwind_orders[],MATCH(northwind_order_details[[#This Row],[order_id]], northwind_orders[order_id], 0), MATCH("employee_id", northwind_orders[#Headers], 0))</f>
        <v>3</v>
      </c>
      <c r="H1305">
        <f>northwind_order_details[[#This Row],[unit_price]]*northwind_order_details[[#This Row],[quantity]]</f>
        <v>600</v>
      </c>
      <c r="I1305" s="1">
        <f>northwind_order_details[[#This Row],[purchase amount]]*northwind_order_details[[#This Row],[discount]]</f>
        <v>0</v>
      </c>
      <c r="J1305" s="1">
        <f>northwind_order_details[[#This Row],[purchase amount]]-northwind_order_details[[#This Row],[discount amount]]</f>
        <v>600</v>
      </c>
      <c r="K1305" s="6" t="str">
        <f>IF(northwind_order_details[[#This Row],[discount amount]]&gt;0,"Yes","No")</f>
        <v>No</v>
      </c>
      <c r="L1305" s="1" t="str">
        <f>IF(northwind_order_details[[#This Row],[Revenue]]&gt;1000,"High",IF(northwind_order_details[[#This Row],[Revenue]]&gt;300,"Medium","Low"))</f>
        <v>Medium</v>
      </c>
      <c r="M13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6" spans="1:13" x14ac:dyDescent="0.25">
      <c r="A1306">
        <v>10759</v>
      </c>
      <c r="B1306">
        <v>32</v>
      </c>
      <c r="C1306" s="6" t="s">
        <v>18</v>
      </c>
      <c r="D1306">
        <v>10</v>
      </c>
      <c r="E1306" s="6" t="s">
        <v>6</v>
      </c>
      <c r="F1306" t="str">
        <f>_xlfn.XLOOKUP(northwind_order_details[[#This Row],[order_id]],northwind_orders[order_id],northwind_orders[ship_country])</f>
        <v>Mexico</v>
      </c>
      <c r="G1306">
        <f>INDEX(northwind_orders[],MATCH(northwind_order_details[[#This Row],[order_id]], northwind_orders[order_id], 0), MATCH("employee_id", northwind_orders[#Headers], 0))</f>
        <v>3</v>
      </c>
      <c r="H1306">
        <f>northwind_order_details[[#This Row],[unit_price]]*northwind_order_details[[#This Row],[quantity]]</f>
        <v>320</v>
      </c>
      <c r="I1306" s="1">
        <f>northwind_order_details[[#This Row],[purchase amount]]*northwind_order_details[[#This Row],[discount]]</f>
        <v>0</v>
      </c>
      <c r="J1306" s="1">
        <f>northwind_order_details[[#This Row],[purchase amount]]-northwind_order_details[[#This Row],[discount amount]]</f>
        <v>320</v>
      </c>
      <c r="K1306" s="6" t="str">
        <f>IF(northwind_order_details[[#This Row],[discount amount]]&gt;0,"Yes","No")</f>
        <v>No</v>
      </c>
      <c r="L1306" s="1" t="str">
        <f>IF(northwind_order_details[[#This Row],[Revenue]]&gt;1000,"High",IF(northwind_order_details[[#This Row],[Revenue]]&gt;300,"Medium","Low"))</f>
        <v>Medium</v>
      </c>
      <c r="M13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7" spans="1:13" x14ac:dyDescent="0.25">
      <c r="A1307">
        <v>10760</v>
      </c>
      <c r="B1307">
        <v>25</v>
      </c>
      <c r="C1307" s="6" t="s">
        <v>5</v>
      </c>
      <c r="D1307">
        <v>12</v>
      </c>
      <c r="E1307" s="6">
        <v>0.25</v>
      </c>
      <c r="F1307" t="str">
        <f>_xlfn.XLOOKUP(northwind_order_details[[#This Row],[order_id]],northwind_orders[order_id],northwind_orders[ship_country])</f>
        <v>Belgium</v>
      </c>
      <c r="G1307">
        <f>INDEX(northwind_orders[],MATCH(northwind_order_details[[#This Row],[order_id]], northwind_orders[order_id], 0), MATCH("employee_id", northwind_orders[#Headers], 0))</f>
        <v>4</v>
      </c>
      <c r="H1307">
        <f>northwind_order_details[[#This Row],[unit_price]]*northwind_order_details[[#This Row],[quantity]]</f>
        <v>168</v>
      </c>
      <c r="I1307" s="1">
        <f>northwind_order_details[[#This Row],[purchase amount]]*northwind_order_details[[#This Row],[discount]]</f>
        <v>42</v>
      </c>
      <c r="J1307" s="1">
        <f>northwind_order_details[[#This Row],[purchase amount]]-northwind_order_details[[#This Row],[discount amount]]</f>
        <v>126</v>
      </c>
      <c r="K1307" s="6" t="str">
        <f>IF(northwind_order_details[[#This Row],[discount amount]]&gt;0,"Yes","No")</f>
        <v>Yes</v>
      </c>
      <c r="L1307" s="1" t="str">
        <f>IF(northwind_order_details[[#This Row],[Revenue]]&gt;1000,"High",IF(northwind_order_details[[#This Row],[Revenue]]&gt;300,"Medium","Low"))</f>
        <v>Low</v>
      </c>
      <c r="M13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08" spans="1:13" x14ac:dyDescent="0.25">
      <c r="A1308">
        <v>10760</v>
      </c>
      <c r="B1308">
        <v>27</v>
      </c>
      <c r="C1308" s="6">
        <v>43.9</v>
      </c>
      <c r="D1308">
        <v>40</v>
      </c>
      <c r="E1308" s="6" t="s">
        <v>6</v>
      </c>
      <c r="F1308" t="str">
        <f>_xlfn.XLOOKUP(northwind_order_details[[#This Row],[order_id]],northwind_orders[order_id],northwind_orders[ship_country])</f>
        <v>Belgium</v>
      </c>
      <c r="G1308">
        <f>INDEX(northwind_orders[],MATCH(northwind_order_details[[#This Row],[order_id]], northwind_orders[order_id], 0), MATCH("employee_id", northwind_orders[#Headers], 0))</f>
        <v>4</v>
      </c>
      <c r="H1308">
        <f>northwind_order_details[[#This Row],[unit_price]]*northwind_order_details[[#This Row],[quantity]]</f>
        <v>1756</v>
      </c>
      <c r="I1308" s="1">
        <f>northwind_order_details[[#This Row],[purchase amount]]*northwind_order_details[[#This Row],[discount]]</f>
        <v>0</v>
      </c>
      <c r="J1308" s="1">
        <f>northwind_order_details[[#This Row],[purchase amount]]-northwind_order_details[[#This Row],[discount amount]]</f>
        <v>1756</v>
      </c>
      <c r="K1308" s="6" t="str">
        <f>IF(northwind_order_details[[#This Row],[discount amount]]&gt;0,"Yes","No")</f>
        <v>No</v>
      </c>
      <c r="L1308" s="1" t="str">
        <f>IF(northwind_order_details[[#This Row],[Revenue]]&gt;1000,"High",IF(northwind_order_details[[#This Row],[Revenue]]&gt;300,"Medium","Low"))</f>
        <v>High</v>
      </c>
      <c r="M13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09" spans="1:13" x14ac:dyDescent="0.25">
      <c r="A1309">
        <v>10760</v>
      </c>
      <c r="B1309">
        <v>43</v>
      </c>
      <c r="C1309" s="6" t="s">
        <v>22</v>
      </c>
      <c r="D1309">
        <v>30</v>
      </c>
      <c r="E1309" s="6">
        <v>0.25</v>
      </c>
      <c r="F1309" t="str">
        <f>_xlfn.XLOOKUP(northwind_order_details[[#This Row],[order_id]],northwind_orders[order_id],northwind_orders[ship_country])</f>
        <v>Belgium</v>
      </c>
      <c r="G1309">
        <f>INDEX(northwind_orders[],MATCH(northwind_order_details[[#This Row],[order_id]], northwind_orders[order_id], 0), MATCH("employee_id", northwind_orders[#Headers], 0))</f>
        <v>4</v>
      </c>
      <c r="H1309">
        <f>northwind_order_details[[#This Row],[unit_price]]*northwind_order_details[[#This Row],[quantity]]</f>
        <v>1380</v>
      </c>
      <c r="I1309" s="1">
        <f>northwind_order_details[[#This Row],[purchase amount]]*northwind_order_details[[#This Row],[discount]]</f>
        <v>345</v>
      </c>
      <c r="J1309" s="1">
        <f>northwind_order_details[[#This Row],[purchase amount]]-northwind_order_details[[#This Row],[discount amount]]</f>
        <v>1035</v>
      </c>
      <c r="K1309" s="6" t="str">
        <f>IF(northwind_order_details[[#This Row],[discount amount]]&gt;0,"Yes","No")</f>
        <v>Yes</v>
      </c>
      <c r="L1309" s="1" t="str">
        <f>IF(northwind_order_details[[#This Row],[Revenue]]&gt;1000,"High",IF(northwind_order_details[[#This Row],[Revenue]]&gt;300,"Medium","Low"))</f>
        <v>High</v>
      </c>
      <c r="M13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0" spans="1:13" x14ac:dyDescent="0.25">
      <c r="A1310">
        <v>10761</v>
      </c>
      <c r="B1310">
        <v>25</v>
      </c>
      <c r="C1310" s="6" t="s">
        <v>5</v>
      </c>
      <c r="D1310">
        <v>35</v>
      </c>
      <c r="E1310" s="6">
        <v>0.25</v>
      </c>
      <c r="F1310" t="str">
        <f>_xlfn.XLOOKUP(northwind_order_details[[#This Row],[order_id]],northwind_orders[order_id],northwind_orders[ship_country])</f>
        <v>USA</v>
      </c>
      <c r="G1310">
        <f>INDEX(northwind_orders[],MATCH(northwind_order_details[[#This Row],[order_id]], northwind_orders[order_id], 0), MATCH("employee_id", northwind_orders[#Headers], 0))</f>
        <v>5</v>
      </c>
      <c r="H1310">
        <f>northwind_order_details[[#This Row],[unit_price]]*northwind_order_details[[#This Row],[quantity]]</f>
        <v>490</v>
      </c>
      <c r="I1310" s="1">
        <f>northwind_order_details[[#This Row],[purchase amount]]*northwind_order_details[[#This Row],[discount]]</f>
        <v>122.5</v>
      </c>
      <c r="J1310" s="1">
        <f>northwind_order_details[[#This Row],[purchase amount]]-northwind_order_details[[#This Row],[discount amount]]</f>
        <v>367.5</v>
      </c>
      <c r="K1310" s="6" t="str">
        <f>IF(northwind_order_details[[#This Row],[discount amount]]&gt;0,"Yes","No")</f>
        <v>Yes</v>
      </c>
      <c r="L1310" s="1" t="str">
        <f>IF(northwind_order_details[[#This Row],[Revenue]]&gt;1000,"High",IF(northwind_order_details[[#This Row],[Revenue]]&gt;300,"Medium","Low"))</f>
        <v>Medium</v>
      </c>
      <c r="M13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1" spans="1:13" x14ac:dyDescent="0.25">
      <c r="A1311">
        <v>10761</v>
      </c>
      <c r="B1311">
        <v>75</v>
      </c>
      <c r="C1311" s="6">
        <v>7.75</v>
      </c>
      <c r="D1311">
        <v>18</v>
      </c>
      <c r="E1311" s="6" t="s">
        <v>6</v>
      </c>
      <c r="F1311" t="str">
        <f>_xlfn.XLOOKUP(northwind_order_details[[#This Row],[order_id]],northwind_orders[order_id],northwind_orders[ship_country])</f>
        <v>USA</v>
      </c>
      <c r="G1311">
        <f>INDEX(northwind_orders[],MATCH(northwind_order_details[[#This Row],[order_id]], northwind_orders[order_id], 0), MATCH("employee_id", northwind_orders[#Headers], 0))</f>
        <v>5</v>
      </c>
      <c r="H1311">
        <f>northwind_order_details[[#This Row],[unit_price]]*northwind_order_details[[#This Row],[quantity]]</f>
        <v>139.5</v>
      </c>
      <c r="I1311" s="1">
        <f>northwind_order_details[[#This Row],[purchase amount]]*northwind_order_details[[#This Row],[discount]]</f>
        <v>0</v>
      </c>
      <c r="J1311" s="1">
        <f>northwind_order_details[[#This Row],[purchase amount]]-northwind_order_details[[#This Row],[discount amount]]</f>
        <v>139.5</v>
      </c>
      <c r="K1311" s="6" t="str">
        <f>IF(northwind_order_details[[#This Row],[discount amount]]&gt;0,"Yes","No")</f>
        <v>No</v>
      </c>
      <c r="L1311" s="1" t="str">
        <f>IF(northwind_order_details[[#This Row],[Revenue]]&gt;1000,"High",IF(northwind_order_details[[#This Row],[Revenue]]&gt;300,"Medium","Low"))</f>
        <v>Low</v>
      </c>
      <c r="M13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12" spans="1:13" x14ac:dyDescent="0.25">
      <c r="A1312">
        <v>10762</v>
      </c>
      <c r="B1312">
        <v>39</v>
      </c>
      <c r="C1312" s="6" t="s">
        <v>24</v>
      </c>
      <c r="D1312">
        <v>16</v>
      </c>
      <c r="E1312" s="6" t="s">
        <v>6</v>
      </c>
      <c r="F1312" t="str">
        <f>_xlfn.XLOOKUP(northwind_order_details[[#This Row],[order_id]],northwind_orders[order_id],northwind_orders[ship_country])</f>
        <v>Sweden</v>
      </c>
      <c r="G1312">
        <f>INDEX(northwind_orders[],MATCH(northwind_order_details[[#This Row],[order_id]], northwind_orders[order_id], 0), MATCH("employee_id", northwind_orders[#Headers], 0))</f>
        <v>3</v>
      </c>
      <c r="H1312">
        <f>northwind_order_details[[#This Row],[unit_price]]*northwind_order_details[[#This Row],[quantity]]</f>
        <v>288</v>
      </c>
      <c r="I1312" s="1">
        <f>northwind_order_details[[#This Row],[purchase amount]]*northwind_order_details[[#This Row],[discount]]</f>
        <v>0</v>
      </c>
      <c r="J1312" s="1">
        <f>northwind_order_details[[#This Row],[purchase amount]]-northwind_order_details[[#This Row],[discount amount]]</f>
        <v>288</v>
      </c>
      <c r="K1312" s="6" t="str">
        <f>IF(northwind_order_details[[#This Row],[discount amount]]&gt;0,"Yes","No")</f>
        <v>No</v>
      </c>
      <c r="L1312" s="1" t="str">
        <f>IF(northwind_order_details[[#This Row],[Revenue]]&gt;1000,"High",IF(northwind_order_details[[#This Row],[Revenue]]&gt;300,"Medium","Low"))</f>
        <v>Low</v>
      </c>
      <c r="M13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3" spans="1:13" x14ac:dyDescent="0.25">
      <c r="A1313">
        <v>10762</v>
      </c>
      <c r="B1313">
        <v>47</v>
      </c>
      <c r="C1313" s="6">
        <v>9.5</v>
      </c>
      <c r="D1313">
        <v>30</v>
      </c>
      <c r="E1313" s="6" t="s">
        <v>6</v>
      </c>
      <c r="F1313" t="str">
        <f>_xlfn.XLOOKUP(northwind_order_details[[#This Row],[order_id]],northwind_orders[order_id],northwind_orders[ship_country])</f>
        <v>Sweden</v>
      </c>
      <c r="G1313">
        <f>INDEX(northwind_orders[],MATCH(northwind_order_details[[#This Row],[order_id]], northwind_orders[order_id], 0), MATCH("employee_id", northwind_orders[#Headers], 0))</f>
        <v>3</v>
      </c>
      <c r="H1313">
        <f>northwind_order_details[[#This Row],[unit_price]]*northwind_order_details[[#This Row],[quantity]]</f>
        <v>285</v>
      </c>
      <c r="I1313" s="1">
        <f>northwind_order_details[[#This Row],[purchase amount]]*northwind_order_details[[#This Row],[discount]]</f>
        <v>0</v>
      </c>
      <c r="J1313" s="1">
        <f>northwind_order_details[[#This Row],[purchase amount]]-northwind_order_details[[#This Row],[discount amount]]</f>
        <v>285</v>
      </c>
      <c r="K1313" s="6" t="str">
        <f>IF(northwind_order_details[[#This Row],[discount amount]]&gt;0,"Yes","No")</f>
        <v>No</v>
      </c>
      <c r="L1313" s="1" t="str">
        <f>IF(northwind_order_details[[#This Row],[Revenue]]&gt;1000,"High",IF(northwind_order_details[[#This Row],[Revenue]]&gt;300,"Medium","Low"))</f>
        <v>Low</v>
      </c>
      <c r="M13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14" spans="1:13" x14ac:dyDescent="0.25">
      <c r="A1314">
        <v>10762</v>
      </c>
      <c r="B1314">
        <v>51</v>
      </c>
      <c r="C1314" s="6" t="s">
        <v>39</v>
      </c>
      <c r="D1314">
        <v>28</v>
      </c>
      <c r="E1314" s="6" t="s">
        <v>6</v>
      </c>
      <c r="F1314" t="str">
        <f>_xlfn.XLOOKUP(northwind_order_details[[#This Row],[order_id]],northwind_orders[order_id],northwind_orders[ship_country])</f>
        <v>Sweden</v>
      </c>
      <c r="G1314">
        <f>INDEX(northwind_orders[],MATCH(northwind_order_details[[#This Row],[order_id]], northwind_orders[order_id], 0), MATCH("employee_id", northwind_orders[#Headers], 0))</f>
        <v>3</v>
      </c>
      <c r="H1314">
        <f>northwind_order_details[[#This Row],[unit_price]]*northwind_order_details[[#This Row],[quantity]]</f>
        <v>1484</v>
      </c>
      <c r="I1314" s="1">
        <f>northwind_order_details[[#This Row],[purchase amount]]*northwind_order_details[[#This Row],[discount]]</f>
        <v>0</v>
      </c>
      <c r="J1314" s="1">
        <f>northwind_order_details[[#This Row],[purchase amount]]-northwind_order_details[[#This Row],[discount amount]]</f>
        <v>1484</v>
      </c>
      <c r="K1314" s="6" t="str">
        <f>IF(northwind_order_details[[#This Row],[discount amount]]&gt;0,"Yes","No")</f>
        <v>No</v>
      </c>
      <c r="L1314" s="1" t="str">
        <f>IF(northwind_order_details[[#This Row],[Revenue]]&gt;1000,"High",IF(northwind_order_details[[#This Row],[Revenue]]&gt;300,"Medium","Low"))</f>
        <v>High</v>
      </c>
      <c r="M13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5" spans="1:13" x14ac:dyDescent="0.25">
      <c r="A1315">
        <v>10762</v>
      </c>
      <c r="B1315">
        <v>56</v>
      </c>
      <c r="C1315" s="6" t="s">
        <v>30</v>
      </c>
      <c r="D1315">
        <v>60</v>
      </c>
      <c r="E1315" s="6" t="s">
        <v>6</v>
      </c>
      <c r="F1315" t="str">
        <f>_xlfn.XLOOKUP(northwind_order_details[[#This Row],[order_id]],northwind_orders[order_id],northwind_orders[ship_country])</f>
        <v>Sweden</v>
      </c>
      <c r="G1315">
        <f>INDEX(northwind_orders[],MATCH(northwind_order_details[[#This Row],[order_id]], northwind_orders[order_id], 0), MATCH("employee_id", northwind_orders[#Headers], 0))</f>
        <v>3</v>
      </c>
      <c r="H1315">
        <f>northwind_order_details[[#This Row],[unit_price]]*northwind_order_details[[#This Row],[quantity]]</f>
        <v>2280</v>
      </c>
      <c r="I1315" s="1">
        <f>northwind_order_details[[#This Row],[purchase amount]]*northwind_order_details[[#This Row],[discount]]</f>
        <v>0</v>
      </c>
      <c r="J1315" s="1">
        <f>northwind_order_details[[#This Row],[purchase amount]]-northwind_order_details[[#This Row],[discount amount]]</f>
        <v>2280</v>
      </c>
      <c r="K1315" s="6" t="str">
        <f>IF(northwind_order_details[[#This Row],[discount amount]]&gt;0,"Yes","No")</f>
        <v>No</v>
      </c>
      <c r="L1315" s="1" t="str">
        <f>IF(northwind_order_details[[#This Row],[Revenue]]&gt;1000,"High",IF(northwind_order_details[[#This Row],[Revenue]]&gt;300,"Medium","Low"))</f>
        <v>High</v>
      </c>
      <c r="M13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6" spans="1:13" x14ac:dyDescent="0.25">
      <c r="A1316">
        <v>10763</v>
      </c>
      <c r="B1316">
        <v>21</v>
      </c>
      <c r="C1316" s="6" t="s">
        <v>8</v>
      </c>
      <c r="D1316">
        <v>40</v>
      </c>
      <c r="E1316" s="6" t="s">
        <v>6</v>
      </c>
      <c r="F1316" t="str">
        <f>_xlfn.XLOOKUP(northwind_order_details[[#This Row],[order_id]],northwind_orders[order_id],northwind_orders[ship_country])</f>
        <v>France</v>
      </c>
      <c r="G1316">
        <f>INDEX(northwind_orders[],MATCH(northwind_order_details[[#This Row],[order_id]], northwind_orders[order_id], 0), MATCH("employee_id", northwind_orders[#Headers], 0))</f>
        <v>3</v>
      </c>
      <c r="H1316">
        <f>northwind_order_details[[#This Row],[unit_price]]*northwind_order_details[[#This Row],[quantity]]</f>
        <v>400</v>
      </c>
      <c r="I1316" s="1">
        <f>northwind_order_details[[#This Row],[purchase amount]]*northwind_order_details[[#This Row],[discount]]</f>
        <v>0</v>
      </c>
      <c r="J1316" s="1">
        <f>northwind_order_details[[#This Row],[purchase amount]]-northwind_order_details[[#This Row],[discount amount]]</f>
        <v>400</v>
      </c>
      <c r="K1316" s="6" t="str">
        <f>IF(northwind_order_details[[#This Row],[discount amount]]&gt;0,"Yes","No")</f>
        <v>No</v>
      </c>
      <c r="L1316" s="1" t="str">
        <f>IF(northwind_order_details[[#This Row],[Revenue]]&gt;1000,"High",IF(northwind_order_details[[#This Row],[Revenue]]&gt;300,"Medium","Low"))</f>
        <v>Medium</v>
      </c>
      <c r="M13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7" spans="1:13" x14ac:dyDescent="0.25">
      <c r="A1317">
        <v>10763</v>
      </c>
      <c r="B1317">
        <v>22</v>
      </c>
      <c r="C1317" s="6" t="s">
        <v>37</v>
      </c>
      <c r="D1317">
        <v>6</v>
      </c>
      <c r="E1317" s="6" t="s">
        <v>6</v>
      </c>
      <c r="F1317" t="str">
        <f>_xlfn.XLOOKUP(northwind_order_details[[#This Row],[order_id]],northwind_orders[order_id],northwind_orders[ship_country])</f>
        <v>France</v>
      </c>
      <c r="G1317">
        <f>INDEX(northwind_orders[],MATCH(northwind_order_details[[#This Row],[order_id]], northwind_orders[order_id], 0), MATCH("employee_id", northwind_orders[#Headers], 0))</f>
        <v>3</v>
      </c>
      <c r="H1317">
        <f>northwind_order_details[[#This Row],[unit_price]]*northwind_order_details[[#This Row],[quantity]]</f>
        <v>126</v>
      </c>
      <c r="I1317" s="1">
        <f>northwind_order_details[[#This Row],[purchase amount]]*northwind_order_details[[#This Row],[discount]]</f>
        <v>0</v>
      </c>
      <c r="J1317" s="1">
        <f>northwind_order_details[[#This Row],[purchase amount]]-northwind_order_details[[#This Row],[discount amount]]</f>
        <v>126</v>
      </c>
      <c r="K1317" s="6" t="str">
        <f>IF(northwind_order_details[[#This Row],[discount amount]]&gt;0,"Yes","No")</f>
        <v>No</v>
      </c>
      <c r="L1317" s="1" t="str">
        <f>IF(northwind_order_details[[#This Row],[Revenue]]&gt;1000,"High",IF(northwind_order_details[[#This Row],[Revenue]]&gt;300,"Medium","Low"))</f>
        <v>Low</v>
      </c>
      <c r="M13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18" spans="1:13" x14ac:dyDescent="0.25">
      <c r="A1318">
        <v>10763</v>
      </c>
      <c r="B1318">
        <v>24</v>
      </c>
      <c r="C1318" s="6">
        <v>4.5</v>
      </c>
      <c r="D1318">
        <v>20</v>
      </c>
      <c r="E1318" s="6" t="s">
        <v>6</v>
      </c>
      <c r="F1318" t="str">
        <f>_xlfn.XLOOKUP(northwind_order_details[[#This Row],[order_id]],northwind_orders[order_id],northwind_orders[ship_country])</f>
        <v>France</v>
      </c>
      <c r="G1318">
        <f>INDEX(northwind_orders[],MATCH(northwind_order_details[[#This Row],[order_id]], northwind_orders[order_id], 0), MATCH("employee_id", northwind_orders[#Headers], 0))</f>
        <v>3</v>
      </c>
      <c r="H1318">
        <f>northwind_order_details[[#This Row],[unit_price]]*northwind_order_details[[#This Row],[quantity]]</f>
        <v>90</v>
      </c>
      <c r="I1318" s="1">
        <f>northwind_order_details[[#This Row],[purchase amount]]*northwind_order_details[[#This Row],[discount]]</f>
        <v>0</v>
      </c>
      <c r="J1318" s="1">
        <f>northwind_order_details[[#This Row],[purchase amount]]-northwind_order_details[[#This Row],[discount amount]]</f>
        <v>90</v>
      </c>
      <c r="K1318" s="6" t="str">
        <f>IF(northwind_order_details[[#This Row],[discount amount]]&gt;0,"Yes","No")</f>
        <v>No</v>
      </c>
      <c r="L1318" s="1" t="str">
        <f>IF(northwind_order_details[[#This Row],[Revenue]]&gt;1000,"High",IF(northwind_order_details[[#This Row],[Revenue]]&gt;300,"Medium","Low"))</f>
        <v>Low</v>
      </c>
      <c r="M13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19" spans="1:13" x14ac:dyDescent="0.25">
      <c r="A1319">
        <v>10764</v>
      </c>
      <c r="B1319">
        <v>3</v>
      </c>
      <c r="C1319" s="6" t="s">
        <v>8</v>
      </c>
      <c r="D1319">
        <v>20</v>
      </c>
      <c r="E1319" s="6">
        <v>0.1</v>
      </c>
      <c r="F1319" t="str">
        <f>_xlfn.XLOOKUP(northwind_order_details[[#This Row],[order_id]],northwind_orders[order_id],northwind_orders[ship_country])</f>
        <v>Austria</v>
      </c>
      <c r="G1319">
        <f>INDEX(northwind_orders[],MATCH(northwind_order_details[[#This Row],[order_id]], northwind_orders[order_id], 0), MATCH("employee_id", northwind_orders[#Headers], 0))</f>
        <v>6</v>
      </c>
      <c r="H1319">
        <f>northwind_order_details[[#This Row],[unit_price]]*northwind_order_details[[#This Row],[quantity]]</f>
        <v>200</v>
      </c>
      <c r="I1319" s="1">
        <f>northwind_order_details[[#This Row],[purchase amount]]*northwind_order_details[[#This Row],[discount]]</f>
        <v>20</v>
      </c>
      <c r="J1319" s="1">
        <f>northwind_order_details[[#This Row],[purchase amount]]-northwind_order_details[[#This Row],[discount amount]]</f>
        <v>180</v>
      </c>
      <c r="K1319" s="6" t="str">
        <f>IF(northwind_order_details[[#This Row],[discount amount]]&gt;0,"Yes","No")</f>
        <v>Yes</v>
      </c>
      <c r="L1319" s="1" t="str">
        <f>IF(northwind_order_details[[#This Row],[Revenue]]&gt;1000,"High",IF(northwind_order_details[[#This Row],[Revenue]]&gt;300,"Medium","Low"))</f>
        <v>Low</v>
      </c>
      <c r="M13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0" spans="1:13" x14ac:dyDescent="0.25">
      <c r="A1320">
        <v>10764</v>
      </c>
      <c r="B1320">
        <v>39</v>
      </c>
      <c r="C1320" s="6" t="s">
        <v>24</v>
      </c>
      <c r="D1320">
        <v>130</v>
      </c>
      <c r="E1320" s="6">
        <v>0.1</v>
      </c>
      <c r="F1320" t="str">
        <f>_xlfn.XLOOKUP(northwind_order_details[[#This Row],[order_id]],northwind_orders[order_id],northwind_orders[ship_country])</f>
        <v>Austria</v>
      </c>
      <c r="G1320">
        <f>INDEX(northwind_orders[],MATCH(northwind_order_details[[#This Row],[order_id]], northwind_orders[order_id], 0), MATCH("employee_id", northwind_orders[#Headers], 0))</f>
        <v>6</v>
      </c>
      <c r="H1320">
        <f>northwind_order_details[[#This Row],[unit_price]]*northwind_order_details[[#This Row],[quantity]]</f>
        <v>2340</v>
      </c>
      <c r="I1320" s="1">
        <f>northwind_order_details[[#This Row],[purchase amount]]*northwind_order_details[[#This Row],[discount]]</f>
        <v>234</v>
      </c>
      <c r="J1320" s="1">
        <f>northwind_order_details[[#This Row],[purchase amount]]-northwind_order_details[[#This Row],[discount amount]]</f>
        <v>2106</v>
      </c>
      <c r="K1320" s="6" t="str">
        <f>IF(northwind_order_details[[#This Row],[discount amount]]&gt;0,"Yes","No")</f>
        <v>Yes</v>
      </c>
      <c r="L1320" s="1" t="str">
        <f>IF(northwind_order_details[[#This Row],[Revenue]]&gt;1000,"High",IF(northwind_order_details[[#This Row],[Revenue]]&gt;300,"Medium","Low"))</f>
        <v>High</v>
      </c>
      <c r="M13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1" spans="1:13" x14ac:dyDescent="0.25">
      <c r="A1321">
        <v>10765</v>
      </c>
      <c r="B1321">
        <v>65</v>
      </c>
      <c r="C1321" s="6">
        <v>21.05</v>
      </c>
      <c r="D1321">
        <v>80</v>
      </c>
      <c r="E1321" s="6">
        <v>0.1</v>
      </c>
      <c r="F1321" t="str">
        <f>_xlfn.XLOOKUP(northwind_order_details[[#This Row],[order_id]],northwind_orders[order_id],northwind_orders[ship_country])</f>
        <v>Germany</v>
      </c>
      <c r="G1321">
        <f>INDEX(northwind_orders[],MATCH(northwind_order_details[[#This Row],[order_id]], northwind_orders[order_id], 0), MATCH("employee_id", northwind_orders[#Headers], 0))</f>
        <v>3</v>
      </c>
      <c r="H1321">
        <f>northwind_order_details[[#This Row],[unit_price]]*northwind_order_details[[#This Row],[quantity]]</f>
        <v>1684</v>
      </c>
      <c r="I1321" s="1">
        <f>northwind_order_details[[#This Row],[purchase amount]]*northwind_order_details[[#This Row],[discount]]</f>
        <v>168.4</v>
      </c>
      <c r="J1321" s="1">
        <f>northwind_order_details[[#This Row],[purchase amount]]-northwind_order_details[[#This Row],[discount amount]]</f>
        <v>1515.6</v>
      </c>
      <c r="K1321" s="6" t="str">
        <f>IF(northwind_order_details[[#This Row],[discount amount]]&gt;0,"Yes","No")</f>
        <v>Yes</v>
      </c>
      <c r="L1321" s="1" t="str">
        <f>IF(northwind_order_details[[#This Row],[Revenue]]&gt;1000,"High",IF(northwind_order_details[[#This Row],[Revenue]]&gt;300,"Medium","Low"))</f>
        <v>High</v>
      </c>
      <c r="M132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22" spans="1:13" x14ac:dyDescent="0.25">
      <c r="A1322">
        <v>10766</v>
      </c>
      <c r="B1322">
        <v>2</v>
      </c>
      <c r="C1322" s="6" t="s">
        <v>20</v>
      </c>
      <c r="D1322">
        <v>40</v>
      </c>
      <c r="E1322" s="6" t="s">
        <v>6</v>
      </c>
      <c r="F1322" t="str">
        <f>_xlfn.XLOOKUP(northwind_order_details[[#This Row],[order_id]],northwind_orders[order_id],northwind_orders[ship_country])</f>
        <v>Germany</v>
      </c>
      <c r="G1322">
        <f>INDEX(northwind_orders[],MATCH(northwind_order_details[[#This Row],[order_id]], northwind_orders[order_id], 0), MATCH("employee_id", northwind_orders[#Headers], 0))</f>
        <v>4</v>
      </c>
      <c r="H1322">
        <f>northwind_order_details[[#This Row],[unit_price]]*northwind_order_details[[#This Row],[quantity]]</f>
        <v>760</v>
      </c>
      <c r="I1322" s="1">
        <f>northwind_order_details[[#This Row],[purchase amount]]*northwind_order_details[[#This Row],[discount]]</f>
        <v>0</v>
      </c>
      <c r="J1322" s="1">
        <f>northwind_order_details[[#This Row],[purchase amount]]-northwind_order_details[[#This Row],[discount amount]]</f>
        <v>760</v>
      </c>
      <c r="K1322" s="6" t="str">
        <f>IF(northwind_order_details[[#This Row],[discount amount]]&gt;0,"Yes","No")</f>
        <v>No</v>
      </c>
      <c r="L1322" s="1" t="str">
        <f>IF(northwind_order_details[[#This Row],[Revenue]]&gt;1000,"High",IF(northwind_order_details[[#This Row],[Revenue]]&gt;300,"Medium","Low"))</f>
        <v>Medium</v>
      </c>
      <c r="M13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3" spans="1:13" x14ac:dyDescent="0.25">
      <c r="A1323">
        <v>10766</v>
      </c>
      <c r="B1323">
        <v>7</v>
      </c>
      <c r="C1323" s="6" t="s">
        <v>26</v>
      </c>
      <c r="D1323">
        <v>35</v>
      </c>
      <c r="E1323" s="6" t="s">
        <v>6</v>
      </c>
      <c r="F1323" t="str">
        <f>_xlfn.XLOOKUP(northwind_order_details[[#This Row],[order_id]],northwind_orders[order_id],northwind_orders[ship_country])</f>
        <v>Germany</v>
      </c>
      <c r="G1323">
        <f>INDEX(northwind_orders[],MATCH(northwind_order_details[[#This Row],[order_id]], northwind_orders[order_id], 0), MATCH("employee_id", northwind_orders[#Headers], 0))</f>
        <v>4</v>
      </c>
      <c r="H1323">
        <f>northwind_order_details[[#This Row],[unit_price]]*northwind_order_details[[#This Row],[quantity]]</f>
        <v>1050</v>
      </c>
      <c r="I1323" s="1">
        <f>northwind_order_details[[#This Row],[purchase amount]]*northwind_order_details[[#This Row],[discount]]</f>
        <v>0</v>
      </c>
      <c r="J1323" s="1">
        <f>northwind_order_details[[#This Row],[purchase amount]]-northwind_order_details[[#This Row],[discount amount]]</f>
        <v>1050</v>
      </c>
      <c r="K1323" s="6" t="str">
        <f>IF(northwind_order_details[[#This Row],[discount amount]]&gt;0,"Yes","No")</f>
        <v>No</v>
      </c>
      <c r="L1323" s="1" t="str">
        <f>IF(northwind_order_details[[#This Row],[Revenue]]&gt;1000,"High",IF(northwind_order_details[[#This Row],[Revenue]]&gt;300,"Medium","Low"))</f>
        <v>High</v>
      </c>
      <c r="M13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4" spans="1:13" x14ac:dyDescent="0.25">
      <c r="A1324">
        <v>10766</v>
      </c>
      <c r="B1324">
        <v>68</v>
      </c>
      <c r="C1324" s="6">
        <v>12.5</v>
      </c>
      <c r="D1324">
        <v>40</v>
      </c>
      <c r="E1324" s="6" t="s">
        <v>6</v>
      </c>
      <c r="F1324" t="str">
        <f>_xlfn.XLOOKUP(northwind_order_details[[#This Row],[order_id]],northwind_orders[order_id],northwind_orders[ship_country])</f>
        <v>Germany</v>
      </c>
      <c r="G1324">
        <f>INDEX(northwind_orders[],MATCH(northwind_order_details[[#This Row],[order_id]], northwind_orders[order_id], 0), MATCH("employee_id", northwind_orders[#Headers], 0))</f>
        <v>4</v>
      </c>
      <c r="H1324">
        <f>northwind_order_details[[#This Row],[unit_price]]*northwind_order_details[[#This Row],[quantity]]</f>
        <v>500</v>
      </c>
      <c r="I1324" s="1">
        <f>northwind_order_details[[#This Row],[purchase amount]]*northwind_order_details[[#This Row],[discount]]</f>
        <v>0</v>
      </c>
      <c r="J1324" s="1">
        <f>northwind_order_details[[#This Row],[purchase amount]]-northwind_order_details[[#This Row],[discount amount]]</f>
        <v>500</v>
      </c>
      <c r="K1324" s="6" t="str">
        <f>IF(northwind_order_details[[#This Row],[discount amount]]&gt;0,"Yes","No")</f>
        <v>No</v>
      </c>
      <c r="L1324" s="1" t="str">
        <f>IF(northwind_order_details[[#This Row],[Revenue]]&gt;1000,"High",IF(northwind_order_details[[#This Row],[Revenue]]&gt;300,"Medium","Low"))</f>
        <v>Medium</v>
      </c>
      <c r="M132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25" spans="1:13" x14ac:dyDescent="0.25">
      <c r="A1325">
        <v>10767</v>
      </c>
      <c r="B1325">
        <v>42</v>
      </c>
      <c r="C1325" s="6" t="s">
        <v>5</v>
      </c>
      <c r="D1325">
        <v>2</v>
      </c>
      <c r="E1325" s="6" t="s">
        <v>6</v>
      </c>
      <c r="F1325" t="str">
        <f>_xlfn.XLOOKUP(northwind_order_details[[#This Row],[order_id]],northwind_orders[order_id],northwind_orders[ship_country])</f>
        <v>Belgium</v>
      </c>
      <c r="G1325">
        <f>INDEX(northwind_orders[],MATCH(northwind_order_details[[#This Row],[order_id]], northwind_orders[order_id], 0), MATCH("employee_id", northwind_orders[#Headers], 0))</f>
        <v>4</v>
      </c>
      <c r="H1325">
        <f>northwind_order_details[[#This Row],[unit_price]]*northwind_order_details[[#This Row],[quantity]]</f>
        <v>28</v>
      </c>
      <c r="I1325" s="1">
        <f>northwind_order_details[[#This Row],[purchase amount]]*northwind_order_details[[#This Row],[discount]]</f>
        <v>0</v>
      </c>
      <c r="J1325" s="1">
        <f>northwind_order_details[[#This Row],[purchase amount]]-northwind_order_details[[#This Row],[discount amount]]</f>
        <v>28</v>
      </c>
      <c r="K1325" s="6" t="str">
        <f>IF(northwind_order_details[[#This Row],[discount amount]]&gt;0,"Yes","No")</f>
        <v>No</v>
      </c>
      <c r="L1325" s="1" t="str">
        <f>IF(northwind_order_details[[#This Row],[Revenue]]&gt;1000,"High",IF(northwind_order_details[[#This Row],[Revenue]]&gt;300,"Medium","Low"))</f>
        <v>Low</v>
      </c>
      <c r="M13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6" spans="1:13" x14ac:dyDescent="0.25">
      <c r="A1326">
        <v>10768</v>
      </c>
      <c r="B1326">
        <v>22</v>
      </c>
      <c r="C1326" s="6" t="s">
        <v>37</v>
      </c>
      <c r="D1326">
        <v>4</v>
      </c>
      <c r="E1326" s="6" t="s">
        <v>6</v>
      </c>
      <c r="F1326" t="str">
        <f>_xlfn.XLOOKUP(northwind_order_details[[#This Row],[order_id]],northwind_orders[order_id],northwind_orders[ship_country])</f>
        <v>UK</v>
      </c>
      <c r="G1326">
        <f>INDEX(northwind_orders[],MATCH(northwind_order_details[[#This Row],[order_id]], northwind_orders[order_id], 0), MATCH("employee_id", northwind_orders[#Headers], 0))</f>
        <v>3</v>
      </c>
      <c r="H1326">
        <f>northwind_order_details[[#This Row],[unit_price]]*northwind_order_details[[#This Row],[quantity]]</f>
        <v>84</v>
      </c>
      <c r="I1326" s="1">
        <f>northwind_order_details[[#This Row],[purchase amount]]*northwind_order_details[[#This Row],[discount]]</f>
        <v>0</v>
      </c>
      <c r="J1326" s="1">
        <f>northwind_order_details[[#This Row],[purchase amount]]-northwind_order_details[[#This Row],[discount amount]]</f>
        <v>84</v>
      </c>
      <c r="K1326" s="6" t="str">
        <f>IF(northwind_order_details[[#This Row],[discount amount]]&gt;0,"Yes","No")</f>
        <v>No</v>
      </c>
      <c r="L1326" s="1" t="str">
        <f>IF(northwind_order_details[[#This Row],[Revenue]]&gt;1000,"High",IF(northwind_order_details[[#This Row],[Revenue]]&gt;300,"Medium","Low"))</f>
        <v>Low</v>
      </c>
      <c r="M13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7" spans="1:13" x14ac:dyDescent="0.25">
      <c r="A1327">
        <v>10768</v>
      </c>
      <c r="B1327">
        <v>31</v>
      </c>
      <c r="C1327" s="6">
        <v>12.5</v>
      </c>
      <c r="D1327">
        <v>50</v>
      </c>
      <c r="E1327" s="6" t="s">
        <v>6</v>
      </c>
      <c r="F1327" t="str">
        <f>_xlfn.XLOOKUP(northwind_order_details[[#This Row],[order_id]],northwind_orders[order_id],northwind_orders[ship_country])</f>
        <v>UK</v>
      </c>
      <c r="G1327">
        <f>INDEX(northwind_orders[],MATCH(northwind_order_details[[#This Row],[order_id]], northwind_orders[order_id], 0), MATCH("employee_id", northwind_orders[#Headers], 0))</f>
        <v>3</v>
      </c>
      <c r="H1327">
        <f>northwind_order_details[[#This Row],[unit_price]]*northwind_order_details[[#This Row],[quantity]]</f>
        <v>625</v>
      </c>
      <c r="I1327" s="1">
        <f>northwind_order_details[[#This Row],[purchase amount]]*northwind_order_details[[#This Row],[discount]]</f>
        <v>0</v>
      </c>
      <c r="J1327" s="1">
        <f>northwind_order_details[[#This Row],[purchase amount]]-northwind_order_details[[#This Row],[discount amount]]</f>
        <v>625</v>
      </c>
      <c r="K1327" s="6" t="str">
        <f>IF(northwind_order_details[[#This Row],[discount amount]]&gt;0,"Yes","No")</f>
        <v>No</v>
      </c>
      <c r="L1327" s="1" t="str">
        <f>IF(northwind_order_details[[#This Row],[Revenue]]&gt;1000,"High",IF(northwind_order_details[[#This Row],[Revenue]]&gt;300,"Medium","Low"))</f>
        <v>Medium</v>
      </c>
      <c r="M13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28" spans="1:13" x14ac:dyDescent="0.25">
      <c r="A1328">
        <v>10768</v>
      </c>
      <c r="B1328">
        <v>60</v>
      </c>
      <c r="C1328" s="6" t="s">
        <v>28</v>
      </c>
      <c r="D1328">
        <v>15</v>
      </c>
      <c r="E1328" s="6" t="s">
        <v>6</v>
      </c>
      <c r="F1328" t="str">
        <f>_xlfn.XLOOKUP(northwind_order_details[[#This Row],[order_id]],northwind_orders[order_id],northwind_orders[ship_country])</f>
        <v>UK</v>
      </c>
      <c r="G1328">
        <f>INDEX(northwind_orders[],MATCH(northwind_order_details[[#This Row],[order_id]], northwind_orders[order_id], 0), MATCH("employee_id", northwind_orders[#Headers], 0))</f>
        <v>3</v>
      </c>
      <c r="H1328">
        <f>northwind_order_details[[#This Row],[unit_price]]*northwind_order_details[[#This Row],[quantity]]</f>
        <v>510</v>
      </c>
      <c r="I1328" s="1">
        <f>northwind_order_details[[#This Row],[purchase amount]]*northwind_order_details[[#This Row],[discount]]</f>
        <v>0</v>
      </c>
      <c r="J1328" s="1">
        <f>northwind_order_details[[#This Row],[purchase amount]]-northwind_order_details[[#This Row],[discount amount]]</f>
        <v>510</v>
      </c>
      <c r="K1328" s="6" t="str">
        <f>IF(northwind_order_details[[#This Row],[discount amount]]&gt;0,"Yes","No")</f>
        <v>No</v>
      </c>
      <c r="L1328" s="1" t="str">
        <f>IF(northwind_order_details[[#This Row],[Revenue]]&gt;1000,"High",IF(northwind_order_details[[#This Row],[Revenue]]&gt;300,"Medium","Low"))</f>
        <v>Medium</v>
      </c>
      <c r="M13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29" spans="1:13" x14ac:dyDescent="0.25">
      <c r="A1329">
        <v>10768</v>
      </c>
      <c r="B1329">
        <v>71</v>
      </c>
      <c r="C1329" s="6">
        <v>21.5</v>
      </c>
      <c r="D1329">
        <v>12</v>
      </c>
      <c r="E1329" s="6" t="s">
        <v>6</v>
      </c>
      <c r="F1329" t="str">
        <f>_xlfn.XLOOKUP(northwind_order_details[[#This Row],[order_id]],northwind_orders[order_id],northwind_orders[ship_country])</f>
        <v>UK</v>
      </c>
      <c r="G1329">
        <f>INDEX(northwind_orders[],MATCH(northwind_order_details[[#This Row],[order_id]], northwind_orders[order_id], 0), MATCH("employee_id", northwind_orders[#Headers], 0))</f>
        <v>3</v>
      </c>
      <c r="H1329">
        <f>northwind_order_details[[#This Row],[unit_price]]*northwind_order_details[[#This Row],[quantity]]</f>
        <v>258</v>
      </c>
      <c r="I1329" s="1">
        <f>northwind_order_details[[#This Row],[purchase amount]]*northwind_order_details[[#This Row],[discount]]</f>
        <v>0</v>
      </c>
      <c r="J1329" s="1">
        <f>northwind_order_details[[#This Row],[purchase amount]]-northwind_order_details[[#This Row],[discount amount]]</f>
        <v>258</v>
      </c>
      <c r="K1329" s="6" t="str">
        <f>IF(northwind_order_details[[#This Row],[discount amount]]&gt;0,"Yes","No")</f>
        <v>No</v>
      </c>
      <c r="L1329" s="1" t="str">
        <f>IF(northwind_order_details[[#This Row],[Revenue]]&gt;1000,"High",IF(northwind_order_details[[#This Row],[Revenue]]&gt;300,"Medium","Low"))</f>
        <v>Low</v>
      </c>
      <c r="M13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30" spans="1:13" x14ac:dyDescent="0.25">
      <c r="A1330">
        <v>10769</v>
      </c>
      <c r="B1330">
        <v>41</v>
      </c>
      <c r="C1330" s="6">
        <v>9.65</v>
      </c>
      <c r="D1330">
        <v>30</v>
      </c>
      <c r="E1330" s="6">
        <v>0.05</v>
      </c>
      <c r="F1330" t="str">
        <f>_xlfn.XLOOKUP(northwind_order_details[[#This Row],[order_id]],northwind_orders[order_id],northwind_orders[ship_country])</f>
        <v>Denmark</v>
      </c>
      <c r="G1330">
        <f>INDEX(northwind_orders[],MATCH(northwind_order_details[[#This Row],[order_id]], northwind_orders[order_id], 0), MATCH("employee_id", northwind_orders[#Headers], 0))</f>
        <v>3</v>
      </c>
      <c r="H1330">
        <f>northwind_order_details[[#This Row],[unit_price]]*northwind_order_details[[#This Row],[quantity]]</f>
        <v>289.5</v>
      </c>
      <c r="I1330" s="1">
        <f>northwind_order_details[[#This Row],[purchase amount]]*northwind_order_details[[#This Row],[discount]]</f>
        <v>14.475000000000001</v>
      </c>
      <c r="J1330" s="1">
        <f>northwind_order_details[[#This Row],[purchase amount]]-northwind_order_details[[#This Row],[discount amount]]</f>
        <v>275.02499999999998</v>
      </c>
      <c r="K1330" s="6" t="str">
        <f>IF(northwind_order_details[[#This Row],[discount amount]]&gt;0,"Yes","No")</f>
        <v>Yes</v>
      </c>
      <c r="L1330" s="1" t="str">
        <f>IF(northwind_order_details[[#This Row],[Revenue]]&gt;1000,"High",IF(northwind_order_details[[#This Row],[Revenue]]&gt;300,"Medium","Low"))</f>
        <v>Low</v>
      </c>
      <c r="M133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31" spans="1:13" x14ac:dyDescent="0.25">
      <c r="A1331">
        <v>10769</v>
      </c>
      <c r="B1331">
        <v>52</v>
      </c>
      <c r="C1331" s="6" t="s">
        <v>32</v>
      </c>
      <c r="D1331">
        <v>15</v>
      </c>
      <c r="E1331" s="6">
        <v>0.05</v>
      </c>
      <c r="F1331" t="str">
        <f>_xlfn.XLOOKUP(northwind_order_details[[#This Row],[order_id]],northwind_orders[order_id],northwind_orders[ship_country])</f>
        <v>Denmark</v>
      </c>
      <c r="G1331">
        <f>INDEX(northwind_orders[],MATCH(northwind_order_details[[#This Row],[order_id]], northwind_orders[order_id], 0), MATCH("employee_id", northwind_orders[#Headers], 0))</f>
        <v>3</v>
      </c>
      <c r="H1331">
        <f>northwind_order_details[[#This Row],[unit_price]]*northwind_order_details[[#This Row],[quantity]]</f>
        <v>105</v>
      </c>
      <c r="I1331" s="1">
        <f>northwind_order_details[[#This Row],[purchase amount]]*northwind_order_details[[#This Row],[discount]]</f>
        <v>5.25</v>
      </c>
      <c r="J1331" s="1">
        <f>northwind_order_details[[#This Row],[purchase amount]]-northwind_order_details[[#This Row],[discount amount]]</f>
        <v>99.75</v>
      </c>
      <c r="K1331" s="6" t="str">
        <f>IF(northwind_order_details[[#This Row],[discount amount]]&gt;0,"Yes","No")</f>
        <v>Yes</v>
      </c>
      <c r="L1331" s="1" t="str">
        <f>IF(northwind_order_details[[#This Row],[Revenue]]&gt;1000,"High",IF(northwind_order_details[[#This Row],[Revenue]]&gt;300,"Medium","Low"))</f>
        <v>Low</v>
      </c>
      <c r="M13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32" spans="1:13" x14ac:dyDescent="0.25">
      <c r="A1332">
        <v>10769</v>
      </c>
      <c r="B1332">
        <v>61</v>
      </c>
      <c r="C1332" s="6">
        <v>28.5</v>
      </c>
      <c r="D1332">
        <v>20</v>
      </c>
      <c r="E1332" s="6" t="s">
        <v>6</v>
      </c>
      <c r="F1332" t="str">
        <f>_xlfn.XLOOKUP(northwind_order_details[[#This Row],[order_id]],northwind_orders[order_id],northwind_orders[ship_country])</f>
        <v>Denmark</v>
      </c>
      <c r="G1332">
        <f>INDEX(northwind_orders[],MATCH(northwind_order_details[[#This Row],[order_id]], northwind_orders[order_id], 0), MATCH("employee_id", northwind_orders[#Headers], 0))</f>
        <v>3</v>
      </c>
      <c r="H1332">
        <f>northwind_order_details[[#This Row],[unit_price]]*northwind_order_details[[#This Row],[quantity]]</f>
        <v>570</v>
      </c>
      <c r="I1332" s="1">
        <f>northwind_order_details[[#This Row],[purchase amount]]*northwind_order_details[[#This Row],[discount]]</f>
        <v>0</v>
      </c>
      <c r="J1332" s="1">
        <f>northwind_order_details[[#This Row],[purchase amount]]-northwind_order_details[[#This Row],[discount amount]]</f>
        <v>570</v>
      </c>
      <c r="K1332" s="6" t="str">
        <f>IF(northwind_order_details[[#This Row],[discount amount]]&gt;0,"Yes","No")</f>
        <v>No</v>
      </c>
      <c r="L1332" s="1" t="str">
        <f>IF(northwind_order_details[[#This Row],[Revenue]]&gt;1000,"High",IF(northwind_order_details[[#This Row],[Revenue]]&gt;300,"Medium","Low"))</f>
        <v>Medium</v>
      </c>
      <c r="M13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33" spans="1:13" x14ac:dyDescent="0.25">
      <c r="A1333">
        <v>10769</v>
      </c>
      <c r="B1333">
        <v>62</v>
      </c>
      <c r="C1333" s="6">
        <v>49.3</v>
      </c>
      <c r="D1333">
        <v>15</v>
      </c>
      <c r="E1333" s="6" t="s">
        <v>6</v>
      </c>
      <c r="F1333" t="str">
        <f>_xlfn.XLOOKUP(northwind_order_details[[#This Row],[order_id]],northwind_orders[order_id],northwind_orders[ship_country])</f>
        <v>Denmark</v>
      </c>
      <c r="G1333">
        <f>INDEX(northwind_orders[],MATCH(northwind_order_details[[#This Row],[order_id]], northwind_orders[order_id], 0), MATCH("employee_id", northwind_orders[#Headers], 0))</f>
        <v>3</v>
      </c>
      <c r="H1333">
        <f>northwind_order_details[[#This Row],[unit_price]]*northwind_order_details[[#This Row],[quantity]]</f>
        <v>739.5</v>
      </c>
      <c r="I1333" s="1">
        <f>northwind_order_details[[#This Row],[purchase amount]]*northwind_order_details[[#This Row],[discount]]</f>
        <v>0</v>
      </c>
      <c r="J1333" s="1">
        <f>northwind_order_details[[#This Row],[purchase amount]]-northwind_order_details[[#This Row],[discount amount]]</f>
        <v>739.5</v>
      </c>
      <c r="K1333" s="6" t="str">
        <f>IF(northwind_order_details[[#This Row],[discount amount]]&gt;0,"Yes","No")</f>
        <v>No</v>
      </c>
      <c r="L1333" s="1" t="str">
        <f>IF(northwind_order_details[[#This Row],[Revenue]]&gt;1000,"High",IF(northwind_order_details[[#This Row],[Revenue]]&gt;300,"Medium","Low"))</f>
        <v>Medium</v>
      </c>
      <c r="M133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34" spans="1:13" x14ac:dyDescent="0.25">
      <c r="A1334">
        <v>10770</v>
      </c>
      <c r="B1334">
        <v>11</v>
      </c>
      <c r="C1334" s="6" t="s">
        <v>37</v>
      </c>
      <c r="D1334">
        <v>15</v>
      </c>
      <c r="E1334" s="6">
        <v>0.25</v>
      </c>
      <c r="F1334" t="str">
        <f>_xlfn.XLOOKUP(northwind_order_details[[#This Row],[order_id]],northwind_orders[order_id],northwind_orders[ship_country])</f>
        <v>Brazil</v>
      </c>
      <c r="G1334">
        <f>INDEX(northwind_orders[],MATCH(northwind_order_details[[#This Row],[order_id]], northwind_orders[order_id], 0), MATCH("employee_id", northwind_orders[#Headers], 0))</f>
        <v>8</v>
      </c>
      <c r="H1334">
        <f>northwind_order_details[[#This Row],[unit_price]]*northwind_order_details[[#This Row],[quantity]]</f>
        <v>315</v>
      </c>
      <c r="I1334" s="1">
        <f>northwind_order_details[[#This Row],[purchase amount]]*northwind_order_details[[#This Row],[discount]]</f>
        <v>78.75</v>
      </c>
      <c r="J1334" s="1">
        <f>northwind_order_details[[#This Row],[purchase amount]]-northwind_order_details[[#This Row],[discount amount]]</f>
        <v>236.25</v>
      </c>
      <c r="K1334" s="6" t="str">
        <f>IF(northwind_order_details[[#This Row],[discount amount]]&gt;0,"Yes","No")</f>
        <v>Yes</v>
      </c>
      <c r="L1334" s="1" t="str">
        <f>IF(northwind_order_details[[#This Row],[Revenue]]&gt;1000,"High",IF(northwind_order_details[[#This Row],[Revenue]]&gt;300,"Medium","Low"))</f>
        <v>Low</v>
      </c>
      <c r="M13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35" spans="1:13" x14ac:dyDescent="0.25">
      <c r="A1335">
        <v>10771</v>
      </c>
      <c r="B1335">
        <v>71</v>
      </c>
      <c r="C1335" s="6">
        <v>21.5</v>
      </c>
      <c r="D1335">
        <v>16</v>
      </c>
      <c r="E1335" s="6" t="s">
        <v>6</v>
      </c>
      <c r="F1335" t="str">
        <f>_xlfn.XLOOKUP(northwind_order_details[[#This Row],[order_id]],northwind_orders[order_id],northwind_orders[ship_country])</f>
        <v>Austria</v>
      </c>
      <c r="G1335">
        <f>INDEX(northwind_orders[],MATCH(northwind_order_details[[#This Row],[order_id]], northwind_orders[order_id], 0), MATCH("employee_id", northwind_orders[#Headers], 0))</f>
        <v>9</v>
      </c>
      <c r="H1335">
        <f>northwind_order_details[[#This Row],[unit_price]]*northwind_order_details[[#This Row],[quantity]]</f>
        <v>344</v>
      </c>
      <c r="I1335" s="1">
        <f>northwind_order_details[[#This Row],[purchase amount]]*northwind_order_details[[#This Row],[discount]]</f>
        <v>0</v>
      </c>
      <c r="J1335" s="1">
        <f>northwind_order_details[[#This Row],[purchase amount]]-northwind_order_details[[#This Row],[discount amount]]</f>
        <v>344</v>
      </c>
      <c r="K1335" s="6" t="str">
        <f>IF(northwind_order_details[[#This Row],[discount amount]]&gt;0,"Yes","No")</f>
        <v>No</v>
      </c>
      <c r="L1335" s="1" t="str">
        <f>IF(northwind_order_details[[#This Row],[Revenue]]&gt;1000,"High",IF(northwind_order_details[[#This Row],[Revenue]]&gt;300,"Medium","Low"))</f>
        <v>Medium</v>
      </c>
      <c r="M133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36" spans="1:13" x14ac:dyDescent="0.25">
      <c r="A1336">
        <v>10772</v>
      </c>
      <c r="B1336">
        <v>29</v>
      </c>
      <c r="C1336" s="6">
        <v>123.79</v>
      </c>
      <c r="D1336">
        <v>18</v>
      </c>
      <c r="E1336" s="6" t="s">
        <v>6</v>
      </c>
      <c r="F1336" t="str">
        <f>_xlfn.XLOOKUP(northwind_order_details[[#This Row],[order_id]],northwind_orders[order_id],northwind_orders[ship_country])</f>
        <v>Germany</v>
      </c>
      <c r="G1336">
        <f>INDEX(northwind_orders[],MATCH(northwind_order_details[[#This Row],[order_id]], northwind_orders[order_id], 0), MATCH("employee_id", northwind_orders[#Headers], 0))</f>
        <v>3</v>
      </c>
      <c r="H1336">
        <f>northwind_order_details[[#This Row],[unit_price]]*northwind_order_details[[#This Row],[quantity]]</f>
        <v>2228.2200000000003</v>
      </c>
      <c r="I1336" s="1">
        <f>northwind_order_details[[#This Row],[purchase amount]]*northwind_order_details[[#This Row],[discount]]</f>
        <v>0</v>
      </c>
      <c r="J1336" s="1">
        <f>northwind_order_details[[#This Row],[purchase amount]]-northwind_order_details[[#This Row],[discount amount]]</f>
        <v>2228.2200000000003</v>
      </c>
      <c r="K1336" s="6" t="str">
        <f>IF(northwind_order_details[[#This Row],[discount amount]]&gt;0,"Yes","No")</f>
        <v>No</v>
      </c>
      <c r="L1336" s="1" t="str">
        <f>IF(northwind_order_details[[#This Row],[Revenue]]&gt;1000,"High",IF(northwind_order_details[[#This Row],[Revenue]]&gt;300,"Medium","Low"))</f>
        <v>High</v>
      </c>
      <c r="M133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37" spans="1:13" x14ac:dyDescent="0.25">
      <c r="A1337">
        <v>10772</v>
      </c>
      <c r="B1337">
        <v>59</v>
      </c>
      <c r="C1337" s="6" t="s">
        <v>33</v>
      </c>
      <c r="D1337">
        <v>25</v>
      </c>
      <c r="E1337" s="6" t="s">
        <v>6</v>
      </c>
      <c r="F1337" t="str">
        <f>_xlfn.XLOOKUP(northwind_order_details[[#This Row],[order_id]],northwind_orders[order_id],northwind_orders[ship_country])</f>
        <v>Germany</v>
      </c>
      <c r="G1337">
        <f>INDEX(northwind_orders[],MATCH(northwind_order_details[[#This Row],[order_id]], northwind_orders[order_id], 0), MATCH("employee_id", northwind_orders[#Headers], 0))</f>
        <v>3</v>
      </c>
      <c r="H1337">
        <f>northwind_order_details[[#This Row],[unit_price]]*northwind_order_details[[#This Row],[quantity]]</f>
        <v>1375</v>
      </c>
      <c r="I1337" s="1">
        <f>northwind_order_details[[#This Row],[purchase amount]]*northwind_order_details[[#This Row],[discount]]</f>
        <v>0</v>
      </c>
      <c r="J1337" s="1">
        <f>northwind_order_details[[#This Row],[purchase amount]]-northwind_order_details[[#This Row],[discount amount]]</f>
        <v>1375</v>
      </c>
      <c r="K1337" s="6" t="str">
        <f>IF(northwind_order_details[[#This Row],[discount amount]]&gt;0,"Yes","No")</f>
        <v>No</v>
      </c>
      <c r="L1337" s="1" t="str">
        <f>IF(northwind_order_details[[#This Row],[Revenue]]&gt;1000,"High",IF(northwind_order_details[[#This Row],[Revenue]]&gt;300,"Medium","Low"))</f>
        <v>High</v>
      </c>
      <c r="M13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38" spans="1:13" x14ac:dyDescent="0.25">
      <c r="A1338">
        <v>10773</v>
      </c>
      <c r="B1338">
        <v>17</v>
      </c>
      <c r="C1338" s="6" t="s">
        <v>35</v>
      </c>
      <c r="D1338">
        <v>33</v>
      </c>
      <c r="E1338" s="6" t="s">
        <v>6</v>
      </c>
      <c r="F1338" t="str">
        <f>_xlfn.XLOOKUP(northwind_order_details[[#This Row],[order_id]],northwind_orders[order_id],northwind_orders[ship_country])</f>
        <v>Austria</v>
      </c>
      <c r="G1338">
        <f>INDEX(northwind_orders[],MATCH(northwind_order_details[[#This Row],[order_id]], northwind_orders[order_id], 0), MATCH("employee_id", northwind_orders[#Headers], 0))</f>
        <v>1</v>
      </c>
      <c r="H1338">
        <f>northwind_order_details[[#This Row],[unit_price]]*northwind_order_details[[#This Row],[quantity]]</f>
        <v>1287</v>
      </c>
      <c r="I1338" s="1">
        <f>northwind_order_details[[#This Row],[purchase amount]]*northwind_order_details[[#This Row],[discount]]</f>
        <v>0</v>
      </c>
      <c r="J1338" s="1">
        <f>northwind_order_details[[#This Row],[purchase amount]]-northwind_order_details[[#This Row],[discount amount]]</f>
        <v>1287</v>
      </c>
      <c r="K1338" s="6" t="str">
        <f>IF(northwind_order_details[[#This Row],[discount amount]]&gt;0,"Yes","No")</f>
        <v>No</v>
      </c>
      <c r="L1338" s="1" t="str">
        <f>IF(northwind_order_details[[#This Row],[Revenue]]&gt;1000,"High",IF(northwind_order_details[[#This Row],[Revenue]]&gt;300,"Medium","Low"))</f>
        <v>High</v>
      </c>
      <c r="M13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39" spans="1:13" x14ac:dyDescent="0.25">
      <c r="A1339">
        <v>10773</v>
      </c>
      <c r="B1339">
        <v>31</v>
      </c>
      <c r="C1339" s="6">
        <v>12.5</v>
      </c>
      <c r="D1339">
        <v>70</v>
      </c>
      <c r="E1339" s="6">
        <v>0.2</v>
      </c>
      <c r="F1339" t="str">
        <f>_xlfn.XLOOKUP(northwind_order_details[[#This Row],[order_id]],northwind_orders[order_id],northwind_orders[ship_country])</f>
        <v>Austria</v>
      </c>
      <c r="G1339">
        <f>INDEX(northwind_orders[],MATCH(northwind_order_details[[#This Row],[order_id]], northwind_orders[order_id], 0), MATCH("employee_id", northwind_orders[#Headers], 0))</f>
        <v>1</v>
      </c>
      <c r="H1339">
        <f>northwind_order_details[[#This Row],[unit_price]]*northwind_order_details[[#This Row],[quantity]]</f>
        <v>875</v>
      </c>
      <c r="I1339" s="1">
        <f>northwind_order_details[[#This Row],[purchase amount]]*northwind_order_details[[#This Row],[discount]]</f>
        <v>175</v>
      </c>
      <c r="J1339" s="1">
        <f>northwind_order_details[[#This Row],[purchase amount]]-northwind_order_details[[#This Row],[discount amount]]</f>
        <v>700</v>
      </c>
      <c r="K1339" s="6" t="str">
        <f>IF(northwind_order_details[[#This Row],[discount amount]]&gt;0,"Yes","No")</f>
        <v>Yes</v>
      </c>
      <c r="L1339" s="1" t="str">
        <f>IF(northwind_order_details[[#This Row],[Revenue]]&gt;1000,"High",IF(northwind_order_details[[#This Row],[Revenue]]&gt;300,"Medium","Low"))</f>
        <v>Medium</v>
      </c>
      <c r="M13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40" spans="1:13" x14ac:dyDescent="0.25">
      <c r="A1340">
        <v>10773</v>
      </c>
      <c r="B1340">
        <v>75</v>
      </c>
      <c r="C1340" s="6">
        <v>7.75</v>
      </c>
      <c r="D1340">
        <v>7</v>
      </c>
      <c r="E1340" s="6">
        <v>0.2</v>
      </c>
      <c r="F1340" t="str">
        <f>_xlfn.XLOOKUP(northwind_order_details[[#This Row],[order_id]],northwind_orders[order_id],northwind_orders[ship_country])</f>
        <v>Austria</v>
      </c>
      <c r="G1340">
        <f>INDEX(northwind_orders[],MATCH(northwind_order_details[[#This Row],[order_id]], northwind_orders[order_id], 0), MATCH("employee_id", northwind_orders[#Headers], 0))</f>
        <v>1</v>
      </c>
      <c r="H1340">
        <f>northwind_order_details[[#This Row],[unit_price]]*northwind_order_details[[#This Row],[quantity]]</f>
        <v>54.25</v>
      </c>
      <c r="I1340" s="1">
        <f>northwind_order_details[[#This Row],[purchase amount]]*northwind_order_details[[#This Row],[discount]]</f>
        <v>10.850000000000001</v>
      </c>
      <c r="J1340" s="1">
        <f>northwind_order_details[[#This Row],[purchase amount]]-northwind_order_details[[#This Row],[discount amount]]</f>
        <v>43.4</v>
      </c>
      <c r="K1340" s="6" t="str">
        <f>IF(northwind_order_details[[#This Row],[discount amount]]&gt;0,"Yes","No")</f>
        <v>Yes</v>
      </c>
      <c r="L1340" s="1" t="str">
        <f>IF(northwind_order_details[[#This Row],[Revenue]]&gt;1000,"High",IF(northwind_order_details[[#This Row],[Revenue]]&gt;300,"Medium","Low"))</f>
        <v>Low</v>
      </c>
      <c r="M13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41" spans="1:13" x14ac:dyDescent="0.25">
      <c r="A1341">
        <v>10774</v>
      </c>
      <c r="B1341">
        <v>31</v>
      </c>
      <c r="C1341" s="6">
        <v>12.5</v>
      </c>
      <c r="D1341">
        <v>2</v>
      </c>
      <c r="E1341" s="6">
        <v>0.25</v>
      </c>
      <c r="F1341" t="str">
        <f>_xlfn.XLOOKUP(northwind_order_details[[#This Row],[order_id]],northwind_orders[order_id],northwind_orders[ship_country])</f>
        <v>Sweden</v>
      </c>
      <c r="G1341">
        <f>INDEX(northwind_orders[],MATCH(northwind_order_details[[#This Row],[order_id]], northwind_orders[order_id], 0), MATCH("employee_id", northwind_orders[#Headers], 0))</f>
        <v>4</v>
      </c>
      <c r="H1341">
        <f>northwind_order_details[[#This Row],[unit_price]]*northwind_order_details[[#This Row],[quantity]]</f>
        <v>25</v>
      </c>
      <c r="I1341" s="1">
        <f>northwind_order_details[[#This Row],[purchase amount]]*northwind_order_details[[#This Row],[discount]]</f>
        <v>6.25</v>
      </c>
      <c r="J1341" s="1">
        <f>northwind_order_details[[#This Row],[purchase amount]]-northwind_order_details[[#This Row],[discount amount]]</f>
        <v>18.75</v>
      </c>
      <c r="K1341" s="6" t="str">
        <f>IF(northwind_order_details[[#This Row],[discount amount]]&gt;0,"Yes","No")</f>
        <v>Yes</v>
      </c>
      <c r="L1341" s="1" t="str">
        <f>IF(northwind_order_details[[#This Row],[Revenue]]&gt;1000,"High",IF(northwind_order_details[[#This Row],[Revenue]]&gt;300,"Medium","Low"))</f>
        <v>Low</v>
      </c>
      <c r="M13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42" spans="1:13" x14ac:dyDescent="0.25">
      <c r="A1342">
        <v>10774</v>
      </c>
      <c r="B1342">
        <v>66</v>
      </c>
      <c r="C1342" s="6" t="s">
        <v>12</v>
      </c>
      <c r="D1342">
        <v>50</v>
      </c>
      <c r="E1342" s="6" t="s">
        <v>6</v>
      </c>
      <c r="F1342" t="str">
        <f>_xlfn.XLOOKUP(northwind_order_details[[#This Row],[order_id]],northwind_orders[order_id],northwind_orders[ship_country])</f>
        <v>Sweden</v>
      </c>
      <c r="G1342">
        <f>INDEX(northwind_orders[],MATCH(northwind_order_details[[#This Row],[order_id]], northwind_orders[order_id], 0), MATCH("employee_id", northwind_orders[#Headers], 0))</f>
        <v>4</v>
      </c>
      <c r="H1342">
        <f>northwind_order_details[[#This Row],[unit_price]]*northwind_order_details[[#This Row],[quantity]]</f>
        <v>850</v>
      </c>
      <c r="I1342" s="1">
        <f>northwind_order_details[[#This Row],[purchase amount]]*northwind_order_details[[#This Row],[discount]]</f>
        <v>0</v>
      </c>
      <c r="J1342" s="1">
        <f>northwind_order_details[[#This Row],[purchase amount]]-northwind_order_details[[#This Row],[discount amount]]</f>
        <v>850</v>
      </c>
      <c r="K1342" s="6" t="str">
        <f>IF(northwind_order_details[[#This Row],[discount amount]]&gt;0,"Yes","No")</f>
        <v>No</v>
      </c>
      <c r="L1342" s="1" t="str">
        <f>IF(northwind_order_details[[#This Row],[Revenue]]&gt;1000,"High",IF(northwind_order_details[[#This Row],[Revenue]]&gt;300,"Medium","Low"))</f>
        <v>Medium</v>
      </c>
      <c r="M13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43" spans="1:13" x14ac:dyDescent="0.25">
      <c r="A1343">
        <v>10775</v>
      </c>
      <c r="B1343">
        <v>10</v>
      </c>
      <c r="C1343" s="6" t="s">
        <v>34</v>
      </c>
      <c r="D1343">
        <v>6</v>
      </c>
      <c r="E1343" s="6" t="s">
        <v>6</v>
      </c>
      <c r="F1343" t="str">
        <f>_xlfn.XLOOKUP(northwind_order_details[[#This Row],[order_id]],northwind_orders[order_id],northwind_orders[ship_country])</f>
        <v>USA</v>
      </c>
      <c r="G1343">
        <f>INDEX(northwind_orders[],MATCH(northwind_order_details[[#This Row],[order_id]], northwind_orders[order_id], 0), MATCH("employee_id", northwind_orders[#Headers], 0))</f>
        <v>7</v>
      </c>
      <c r="H1343">
        <f>northwind_order_details[[#This Row],[unit_price]]*northwind_order_details[[#This Row],[quantity]]</f>
        <v>186</v>
      </c>
      <c r="I1343" s="1">
        <f>northwind_order_details[[#This Row],[purchase amount]]*northwind_order_details[[#This Row],[discount]]</f>
        <v>0</v>
      </c>
      <c r="J1343" s="1">
        <f>northwind_order_details[[#This Row],[purchase amount]]-northwind_order_details[[#This Row],[discount amount]]</f>
        <v>186</v>
      </c>
      <c r="K1343" s="6" t="str">
        <f>IF(northwind_order_details[[#This Row],[discount amount]]&gt;0,"Yes","No")</f>
        <v>No</v>
      </c>
      <c r="L1343" s="1" t="str">
        <f>IF(northwind_order_details[[#This Row],[Revenue]]&gt;1000,"High",IF(northwind_order_details[[#This Row],[Revenue]]&gt;300,"Medium","Low"))</f>
        <v>Low</v>
      </c>
      <c r="M13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44" spans="1:13" x14ac:dyDescent="0.25">
      <c r="A1344">
        <v>10775</v>
      </c>
      <c r="B1344">
        <v>67</v>
      </c>
      <c r="C1344" s="6" t="s">
        <v>5</v>
      </c>
      <c r="D1344">
        <v>3</v>
      </c>
      <c r="E1344" s="6" t="s">
        <v>6</v>
      </c>
      <c r="F1344" t="str">
        <f>_xlfn.XLOOKUP(northwind_order_details[[#This Row],[order_id]],northwind_orders[order_id],northwind_orders[ship_country])</f>
        <v>USA</v>
      </c>
      <c r="G1344">
        <f>INDEX(northwind_orders[],MATCH(northwind_order_details[[#This Row],[order_id]], northwind_orders[order_id], 0), MATCH("employee_id", northwind_orders[#Headers], 0))</f>
        <v>7</v>
      </c>
      <c r="H1344">
        <f>northwind_order_details[[#This Row],[unit_price]]*northwind_order_details[[#This Row],[quantity]]</f>
        <v>42</v>
      </c>
      <c r="I1344" s="1">
        <f>northwind_order_details[[#This Row],[purchase amount]]*northwind_order_details[[#This Row],[discount]]</f>
        <v>0</v>
      </c>
      <c r="J1344" s="1">
        <f>northwind_order_details[[#This Row],[purchase amount]]-northwind_order_details[[#This Row],[discount amount]]</f>
        <v>42</v>
      </c>
      <c r="K1344" s="6" t="str">
        <f>IF(northwind_order_details[[#This Row],[discount amount]]&gt;0,"Yes","No")</f>
        <v>No</v>
      </c>
      <c r="L1344" s="1" t="str">
        <f>IF(northwind_order_details[[#This Row],[Revenue]]&gt;1000,"High",IF(northwind_order_details[[#This Row],[Revenue]]&gt;300,"Medium","Low"))</f>
        <v>Low</v>
      </c>
      <c r="M13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45" spans="1:13" x14ac:dyDescent="0.25">
      <c r="A1345">
        <v>10776</v>
      </c>
      <c r="B1345">
        <v>31</v>
      </c>
      <c r="C1345" s="6">
        <v>12.5</v>
      </c>
      <c r="D1345">
        <v>16</v>
      </c>
      <c r="E1345" s="6">
        <v>0.05</v>
      </c>
      <c r="F1345" t="str">
        <f>_xlfn.XLOOKUP(northwind_order_details[[#This Row],[order_id]],northwind_orders[order_id],northwind_orders[ship_country])</f>
        <v>Austria</v>
      </c>
      <c r="G1345">
        <f>INDEX(northwind_orders[],MATCH(northwind_order_details[[#This Row],[order_id]], northwind_orders[order_id], 0), MATCH("employee_id", northwind_orders[#Headers], 0))</f>
        <v>1</v>
      </c>
      <c r="H1345">
        <f>northwind_order_details[[#This Row],[unit_price]]*northwind_order_details[[#This Row],[quantity]]</f>
        <v>200</v>
      </c>
      <c r="I1345" s="1">
        <f>northwind_order_details[[#This Row],[purchase amount]]*northwind_order_details[[#This Row],[discount]]</f>
        <v>10</v>
      </c>
      <c r="J1345" s="1">
        <f>northwind_order_details[[#This Row],[purchase amount]]-northwind_order_details[[#This Row],[discount amount]]</f>
        <v>190</v>
      </c>
      <c r="K1345" s="6" t="str">
        <f>IF(northwind_order_details[[#This Row],[discount amount]]&gt;0,"Yes","No")</f>
        <v>Yes</v>
      </c>
      <c r="L1345" s="1" t="str">
        <f>IF(northwind_order_details[[#This Row],[Revenue]]&gt;1000,"High",IF(northwind_order_details[[#This Row],[Revenue]]&gt;300,"Medium","Low"))</f>
        <v>Low</v>
      </c>
      <c r="M13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46" spans="1:13" x14ac:dyDescent="0.25">
      <c r="A1346">
        <v>10776</v>
      </c>
      <c r="B1346">
        <v>42</v>
      </c>
      <c r="C1346" s="6" t="s">
        <v>5</v>
      </c>
      <c r="D1346">
        <v>12</v>
      </c>
      <c r="E1346" s="6">
        <v>0.05</v>
      </c>
      <c r="F1346" t="str">
        <f>_xlfn.XLOOKUP(northwind_order_details[[#This Row],[order_id]],northwind_orders[order_id],northwind_orders[ship_country])</f>
        <v>Austria</v>
      </c>
      <c r="G1346">
        <f>INDEX(northwind_orders[],MATCH(northwind_order_details[[#This Row],[order_id]], northwind_orders[order_id], 0), MATCH("employee_id", northwind_orders[#Headers], 0))</f>
        <v>1</v>
      </c>
      <c r="H1346">
        <f>northwind_order_details[[#This Row],[unit_price]]*northwind_order_details[[#This Row],[quantity]]</f>
        <v>168</v>
      </c>
      <c r="I1346" s="1">
        <f>northwind_order_details[[#This Row],[purchase amount]]*northwind_order_details[[#This Row],[discount]]</f>
        <v>8.4</v>
      </c>
      <c r="J1346" s="1">
        <f>northwind_order_details[[#This Row],[purchase amount]]-northwind_order_details[[#This Row],[discount amount]]</f>
        <v>159.6</v>
      </c>
      <c r="K1346" s="6" t="str">
        <f>IF(northwind_order_details[[#This Row],[discount amount]]&gt;0,"Yes","No")</f>
        <v>Yes</v>
      </c>
      <c r="L1346" s="1" t="str">
        <f>IF(northwind_order_details[[#This Row],[Revenue]]&gt;1000,"High",IF(northwind_order_details[[#This Row],[Revenue]]&gt;300,"Medium","Low"))</f>
        <v>Low</v>
      </c>
      <c r="M13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47" spans="1:13" x14ac:dyDescent="0.25">
      <c r="A1347">
        <v>10776</v>
      </c>
      <c r="B1347">
        <v>45</v>
      </c>
      <c r="C1347" s="6">
        <v>9.5</v>
      </c>
      <c r="D1347">
        <v>27</v>
      </c>
      <c r="E1347" s="6">
        <v>0.05</v>
      </c>
      <c r="F1347" t="str">
        <f>_xlfn.XLOOKUP(northwind_order_details[[#This Row],[order_id]],northwind_orders[order_id],northwind_orders[ship_country])</f>
        <v>Austria</v>
      </c>
      <c r="G1347">
        <f>INDEX(northwind_orders[],MATCH(northwind_order_details[[#This Row],[order_id]], northwind_orders[order_id], 0), MATCH("employee_id", northwind_orders[#Headers], 0))</f>
        <v>1</v>
      </c>
      <c r="H1347">
        <f>northwind_order_details[[#This Row],[unit_price]]*northwind_order_details[[#This Row],[quantity]]</f>
        <v>256.5</v>
      </c>
      <c r="I1347" s="1">
        <f>northwind_order_details[[#This Row],[purchase amount]]*northwind_order_details[[#This Row],[discount]]</f>
        <v>12.825000000000001</v>
      </c>
      <c r="J1347" s="1">
        <f>northwind_order_details[[#This Row],[purchase amount]]-northwind_order_details[[#This Row],[discount amount]]</f>
        <v>243.67500000000001</v>
      </c>
      <c r="K1347" s="6" t="str">
        <f>IF(northwind_order_details[[#This Row],[discount amount]]&gt;0,"Yes","No")</f>
        <v>Yes</v>
      </c>
      <c r="L1347" s="1" t="str">
        <f>IF(northwind_order_details[[#This Row],[Revenue]]&gt;1000,"High",IF(northwind_order_details[[#This Row],[Revenue]]&gt;300,"Medium","Low"))</f>
        <v>Low</v>
      </c>
      <c r="M13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48" spans="1:13" x14ac:dyDescent="0.25">
      <c r="A1348">
        <v>10776</v>
      </c>
      <c r="B1348">
        <v>51</v>
      </c>
      <c r="C1348" s="6" t="s">
        <v>39</v>
      </c>
      <c r="D1348">
        <v>120</v>
      </c>
      <c r="E1348" s="6">
        <v>0.05</v>
      </c>
      <c r="F1348" t="str">
        <f>_xlfn.XLOOKUP(northwind_order_details[[#This Row],[order_id]],northwind_orders[order_id],northwind_orders[ship_country])</f>
        <v>Austria</v>
      </c>
      <c r="G1348">
        <f>INDEX(northwind_orders[],MATCH(northwind_order_details[[#This Row],[order_id]], northwind_orders[order_id], 0), MATCH("employee_id", northwind_orders[#Headers], 0))</f>
        <v>1</v>
      </c>
      <c r="H1348">
        <f>northwind_order_details[[#This Row],[unit_price]]*northwind_order_details[[#This Row],[quantity]]</f>
        <v>6360</v>
      </c>
      <c r="I1348" s="1">
        <f>northwind_order_details[[#This Row],[purchase amount]]*northwind_order_details[[#This Row],[discount]]</f>
        <v>318</v>
      </c>
      <c r="J1348" s="1">
        <f>northwind_order_details[[#This Row],[purchase amount]]-northwind_order_details[[#This Row],[discount amount]]</f>
        <v>6042</v>
      </c>
      <c r="K1348" s="6" t="str">
        <f>IF(northwind_order_details[[#This Row],[discount amount]]&gt;0,"Yes","No")</f>
        <v>Yes</v>
      </c>
      <c r="L1348" s="1" t="str">
        <f>IF(northwind_order_details[[#This Row],[Revenue]]&gt;1000,"High",IF(northwind_order_details[[#This Row],[Revenue]]&gt;300,"Medium","Low"))</f>
        <v>High</v>
      </c>
      <c r="M13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49" spans="1:13" x14ac:dyDescent="0.25">
      <c r="A1349">
        <v>10777</v>
      </c>
      <c r="B1349">
        <v>42</v>
      </c>
      <c r="C1349" s="6" t="s">
        <v>5</v>
      </c>
      <c r="D1349">
        <v>20</v>
      </c>
      <c r="E1349" s="6">
        <v>0.2</v>
      </c>
      <c r="F1349" t="str">
        <f>_xlfn.XLOOKUP(northwind_order_details[[#This Row],[order_id]],northwind_orders[order_id],northwind_orders[ship_country])</f>
        <v>Brazil</v>
      </c>
      <c r="G1349">
        <f>INDEX(northwind_orders[],MATCH(northwind_order_details[[#This Row],[order_id]], northwind_orders[order_id], 0), MATCH("employee_id", northwind_orders[#Headers], 0))</f>
        <v>7</v>
      </c>
      <c r="H1349">
        <f>northwind_order_details[[#This Row],[unit_price]]*northwind_order_details[[#This Row],[quantity]]</f>
        <v>280</v>
      </c>
      <c r="I1349" s="1">
        <f>northwind_order_details[[#This Row],[purchase amount]]*northwind_order_details[[#This Row],[discount]]</f>
        <v>56</v>
      </c>
      <c r="J1349" s="1">
        <f>northwind_order_details[[#This Row],[purchase amount]]-northwind_order_details[[#This Row],[discount amount]]</f>
        <v>224</v>
      </c>
      <c r="K1349" s="6" t="str">
        <f>IF(northwind_order_details[[#This Row],[discount amount]]&gt;0,"Yes","No")</f>
        <v>Yes</v>
      </c>
      <c r="L1349" s="1" t="str">
        <f>IF(northwind_order_details[[#This Row],[Revenue]]&gt;1000,"High",IF(northwind_order_details[[#This Row],[Revenue]]&gt;300,"Medium","Low"))</f>
        <v>Low</v>
      </c>
      <c r="M13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50" spans="1:13" x14ac:dyDescent="0.25">
      <c r="A1350">
        <v>10778</v>
      </c>
      <c r="B1350">
        <v>41</v>
      </c>
      <c r="C1350" s="6">
        <v>9.65</v>
      </c>
      <c r="D1350">
        <v>10</v>
      </c>
      <c r="E1350" s="6" t="s">
        <v>6</v>
      </c>
      <c r="F1350" t="str">
        <f>_xlfn.XLOOKUP(northwind_order_details[[#This Row],[order_id]],northwind_orders[order_id],northwind_orders[ship_country])</f>
        <v>Sweden</v>
      </c>
      <c r="G1350">
        <f>INDEX(northwind_orders[],MATCH(northwind_order_details[[#This Row],[order_id]], northwind_orders[order_id], 0), MATCH("employee_id", northwind_orders[#Headers], 0))</f>
        <v>3</v>
      </c>
      <c r="H1350">
        <f>northwind_order_details[[#This Row],[unit_price]]*northwind_order_details[[#This Row],[quantity]]</f>
        <v>96.5</v>
      </c>
      <c r="I1350" s="1">
        <f>northwind_order_details[[#This Row],[purchase amount]]*northwind_order_details[[#This Row],[discount]]</f>
        <v>0</v>
      </c>
      <c r="J1350" s="1">
        <f>northwind_order_details[[#This Row],[purchase amount]]-northwind_order_details[[#This Row],[discount amount]]</f>
        <v>96.5</v>
      </c>
      <c r="K1350" s="6" t="str">
        <f>IF(northwind_order_details[[#This Row],[discount amount]]&gt;0,"Yes","No")</f>
        <v>No</v>
      </c>
      <c r="L1350" s="1" t="str">
        <f>IF(northwind_order_details[[#This Row],[Revenue]]&gt;1000,"High",IF(northwind_order_details[[#This Row],[Revenue]]&gt;300,"Medium","Low"))</f>
        <v>Low</v>
      </c>
      <c r="M13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51" spans="1:13" x14ac:dyDescent="0.25">
      <c r="A1351">
        <v>10779</v>
      </c>
      <c r="B1351">
        <v>16</v>
      </c>
      <c r="C1351" s="6">
        <v>17.45</v>
      </c>
      <c r="D1351">
        <v>20</v>
      </c>
      <c r="E1351" s="6" t="s">
        <v>6</v>
      </c>
      <c r="F1351" t="str">
        <f>_xlfn.XLOOKUP(northwind_order_details[[#This Row],[order_id]],northwind_orders[order_id],northwind_orders[ship_country])</f>
        <v>Germany</v>
      </c>
      <c r="G1351">
        <f>INDEX(northwind_orders[],MATCH(northwind_order_details[[#This Row],[order_id]], northwind_orders[order_id], 0), MATCH("employee_id", northwind_orders[#Headers], 0))</f>
        <v>3</v>
      </c>
      <c r="H1351">
        <f>northwind_order_details[[#This Row],[unit_price]]*northwind_order_details[[#This Row],[quantity]]</f>
        <v>349</v>
      </c>
      <c r="I1351" s="1">
        <f>northwind_order_details[[#This Row],[purchase amount]]*northwind_order_details[[#This Row],[discount]]</f>
        <v>0</v>
      </c>
      <c r="J1351" s="1">
        <f>northwind_order_details[[#This Row],[purchase amount]]-northwind_order_details[[#This Row],[discount amount]]</f>
        <v>349</v>
      </c>
      <c r="K1351" s="6" t="str">
        <f>IF(northwind_order_details[[#This Row],[discount amount]]&gt;0,"Yes","No")</f>
        <v>No</v>
      </c>
      <c r="L1351" s="1" t="str">
        <f>IF(northwind_order_details[[#This Row],[Revenue]]&gt;1000,"High",IF(northwind_order_details[[#This Row],[Revenue]]&gt;300,"Medium","Low"))</f>
        <v>Medium</v>
      </c>
      <c r="M13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52" spans="1:13" x14ac:dyDescent="0.25">
      <c r="A1352">
        <v>10779</v>
      </c>
      <c r="B1352">
        <v>62</v>
      </c>
      <c r="C1352" s="6">
        <v>49.3</v>
      </c>
      <c r="D1352">
        <v>20</v>
      </c>
      <c r="E1352" s="6" t="s">
        <v>6</v>
      </c>
      <c r="F1352" t="str">
        <f>_xlfn.XLOOKUP(northwind_order_details[[#This Row],[order_id]],northwind_orders[order_id],northwind_orders[ship_country])</f>
        <v>Germany</v>
      </c>
      <c r="G1352">
        <f>INDEX(northwind_orders[],MATCH(northwind_order_details[[#This Row],[order_id]], northwind_orders[order_id], 0), MATCH("employee_id", northwind_orders[#Headers], 0))</f>
        <v>3</v>
      </c>
      <c r="H1352">
        <f>northwind_order_details[[#This Row],[unit_price]]*northwind_order_details[[#This Row],[quantity]]</f>
        <v>986</v>
      </c>
      <c r="I1352" s="1">
        <f>northwind_order_details[[#This Row],[purchase amount]]*northwind_order_details[[#This Row],[discount]]</f>
        <v>0</v>
      </c>
      <c r="J1352" s="1">
        <f>northwind_order_details[[#This Row],[purchase amount]]-northwind_order_details[[#This Row],[discount amount]]</f>
        <v>986</v>
      </c>
      <c r="K1352" s="6" t="str">
        <f>IF(northwind_order_details[[#This Row],[discount amount]]&gt;0,"Yes","No")</f>
        <v>No</v>
      </c>
      <c r="L1352" s="1" t="str">
        <f>IF(northwind_order_details[[#This Row],[Revenue]]&gt;1000,"High",IF(northwind_order_details[[#This Row],[Revenue]]&gt;300,"Medium","Low"))</f>
        <v>Medium</v>
      </c>
      <c r="M135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53" spans="1:13" x14ac:dyDescent="0.25">
      <c r="A1353">
        <v>10780</v>
      </c>
      <c r="B1353">
        <v>70</v>
      </c>
      <c r="C1353" s="6" t="s">
        <v>21</v>
      </c>
      <c r="D1353">
        <v>35</v>
      </c>
      <c r="E1353" s="6" t="s">
        <v>6</v>
      </c>
      <c r="F1353" t="str">
        <f>_xlfn.XLOOKUP(northwind_order_details[[#This Row],[order_id]],northwind_orders[order_id],northwind_orders[ship_country])</f>
        <v>Venezuela</v>
      </c>
      <c r="G1353">
        <f>INDEX(northwind_orders[],MATCH(northwind_order_details[[#This Row],[order_id]], northwind_orders[order_id], 0), MATCH("employee_id", northwind_orders[#Headers], 0))</f>
        <v>2</v>
      </c>
      <c r="H1353">
        <f>northwind_order_details[[#This Row],[unit_price]]*northwind_order_details[[#This Row],[quantity]]</f>
        <v>525</v>
      </c>
      <c r="I1353" s="1">
        <f>northwind_order_details[[#This Row],[purchase amount]]*northwind_order_details[[#This Row],[discount]]</f>
        <v>0</v>
      </c>
      <c r="J1353" s="1">
        <f>northwind_order_details[[#This Row],[purchase amount]]-northwind_order_details[[#This Row],[discount amount]]</f>
        <v>525</v>
      </c>
      <c r="K1353" s="6" t="str">
        <f>IF(northwind_order_details[[#This Row],[discount amount]]&gt;0,"Yes","No")</f>
        <v>No</v>
      </c>
      <c r="L1353" s="1" t="str">
        <f>IF(northwind_order_details[[#This Row],[Revenue]]&gt;1000,"High",IF(northwind_order_details[[#This Row],[Revenue]]&gt;300,"Medium","Low"))</f>
        <v>Medium</v>
      </c>
      <c r="M13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54" spans="1:13" x14ac:dyDescent="0.25">
      <c r="A1354">
        <v>10780</v>
      </c>
      <c r="B1354">
        <v>77</v>
      </c>
      <c r="C1354" s="6" t="s">
        <v>19</v>
      </c>
      <c r="D1354">
        <v>15</v>
      </c>
      <c r="E1354" s="6" t="s">
        <v>6</v>
      </c>
      <c r="F1354" t="str">
        <f>_xlfn.XLOOKUP(northwind_order_details[[#This Row],[order_id]],northwind_orders[order_id],northwind_orders[ship_country])</f>
        <v>Venezuela</v>
      </c>
      <c r="G1354">
        <f>INDEX(northwind_orders[],MATCH(northwind_order_details[[#This Row],[order_id]], northwind_orders[order_id], 0), MATCH("employee_id", northwind_orders[#Headers], 0))</f>
        <v>2</v>
      </c>
      <c r="H1354">
        <f>northwind_order_details[[#This Row],[unit_price]]*northwind_order_details[[#This Row],[quantity]]</f>
        <v>195</v>
      </c>
      <c r="I1354" s="1">
        <f>northwind_order_details[[#This Row],[purchase amount]]*northwind_order_details[[#This Row],[discount]]</f>
        <v>0</v>
      </c>
      <c r="J1354" s="1">
        <f>northwind_order_details[[#This Row],[purchase amount]]-northwind_order_details[[#This Row],[discount amount]]</f>
        <v>195</v>
      </c>
      <c r="K1354" s="6" t="str">
        <f>IF(northwind_order_details[[#This Row],[discount amount]]&gt;0,"Yes","No")</f>
        <v>No</v>
      </c>
      <c r="L1354" s="1" t="str">
        <f>IF(northwind_order_details[[#This Row],[Revenue]]&gt;1000,"High",IF(northwind_order_details[[#This Row],[Revenue]]&gt;300,"Medium","Low"))</f>
        <v>Low</v>
      </c>
      <c r="M13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55" spans="1:13" x14ac:dyDescent="0.25">
      <c r="A1355">
        <v>10781</v>
      </c>
      <c r="B1355">
        <v>54</v>
      </c>
      <c r="C1355" s="6">
        <v>7.45</v>
      </c>
      <c r="D1355">
        <v>3</v>
      </c>
      <c r="E1355" s="6">
        <v>0.2</v>
      </c>
      <c r="F1355" t="str">
        <f>_xlfn.XLOOKUP(northwind_order_details[[#This Row],[order_id]],northwind_orders[order_id],northwind_orders[ship_country])</f>
        <v>Finland</v>
      </c>
      <c r="G1355">
        <f>INDEX(northwind_orders[],MATCH(northwind_order_details[[#This Row],[order_id]], northwind_orders[order_id], 0), MATCH("employee_id", northwind_orders[#Headers], 0))</f>
        <v>2</v>
      </c>
      <c r="H1355">
        <f>northwind_order_details[[#This Row],[unit_price]]*northwind_order_details[[#This Row],[quantity]]</f>
        <v>22.35</v>
      </c>
      <c r="I1355" s="1">
        <f>northwind_order_details[[#This Row],[purchase amount]]*northwind_order_details[[#This Row],[discount]]</f>
        <v>4.4700000000000006</v>
      </c>
      <c r="J1355" s="1">
        <f>northwind_order_details[[#This Row],[purchase amount]]-northwind_order_details[[#This Row],[discount amount]]</f>
        <v>17.880000000000003</v>
      </c>
      <c r="K1355" s="6" t="str">
        <f>IF(northwind_order_details[[#This Row],[discount amount]]&gt;0,"Yes","No")</f>
        <v>Yes</v>
      </c>
      <c r="L1355" s="1" t="str">
        <f>IF(northwind_order_details[[#This Row],[Revenue]]&gt;1000,"High",IF(northwind_order_details[[#This Row],[Revenue]]&gt;300,"Medium","Low"))</f>
        <v>Low</v>
      </c>
      <c r="M135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56" spans="1:13" x14ac:dyDescent="0.25">
      <c r="A1356">
        <v>10781</v>
      </c>
      <c r="B1356">
        <v>56</v>
      </c>
      <c r="C1356" s="6" t="s">
        <v>30</v>
      </c>
      <c r="D1356">
        <v>20</v>
      </c>
      <c r="E1356" s="6">
        <v>0.2</v>
      </c>
      <c r="F1356" t="str">
        <f>_xlfn.XLOOKUP(northwind_order_details[[#This Row],[order_id]],northwind_orders[order_id],northwind_orders[ship_country])</f>
        <v>Finland</v>
      </c>
      <c r="G1356">
        <f>INDEX(northwind_orders[],MATCH(northwind_order_details[[#This Row],[order_id]], northwind_orders[order_id], 0), MATCH("employee_id", northwind_orders[#Headers], 0))</f>
        <v>2</v>
      </c>
      <c r="H1356">
        <f>northwind_order_details[[#This Row],[unit_price]]*northwind_order_details[[#This Row],[quantity]]</f>
        <v>760</v>
      </c>
      <c r="I1356" s="1">
        <f>northwind_order_details[[#This Row],[purchase amount]]*northwind_order_details[[#This Row],[discount]]</f>
        <v>152</v>
      </c>
      <c r="J1356" s="1">
        <f>northwind_order_details[[#This Row],[purchase amount]]-northwind_order_details[[#This Row],[discount amount]]</f>
        <v>608</v>
      </c>
      <c r="K1356" s="6" t="str">
        <f>IF(northwind_order_details[[#This Row],[discount amount]]&gt;0,"Yes","No")</f>
        <v>Yes</v>
      </c>
      <c r="L1356" s="1" t="str">
        <f>IF(northwind_order_details[[#This Row],[Revenue]]&gt;1000,"High",IF(northwind_order_details[[#This Row],[Revenue]]&gt;300,"Medium","Low"))</f>
        <v>Medium</v>
      </c>
      <c r="M13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57" spans="1:13" x14ac:dyDescent="0.25">
      <c r="A1357">
        <v>10781</v>
      </c>
      <c r="B1357">
        <v>74</v>
      </c>
      <c r="C1357" s="6" t="s">
        <v>8</v>
      </c>
      <c r="D1357">
        <v>35</v>
      </c>
      <c r="E1357" s="6" t="s">
        <v>6</v>
      </c>
      <c r="F1357" t="str">
        <f>_xlfn.XLOOKUP(northwind_order_details[[#This Row],[order_id]],northwind_orders[order_id],northwind_orders[ship_country])</f>
        <v>Finland</v>
      </c>
      <c r="G1357">
        <f>INDEX(northwind_orders[],MATCH(northwind_order_details[[#This Row],[order_id]], northwind_orders[order_id], 0), MATCH("employee_id", northwind_orders[#Headers], 0))</f>
        <v>2</v>
      </c>
      <c r="H1357">
        <f>northwind_order_details[[#This Row],[unit_price]]*northwind_order_details[[#This Row],[quantity]]</f>
        <v>350</v>
      </c>
      <c r="I1357" s="1">
        <f>northwind_order_details[[#This Row],[purchase amount]]*northwind_order_details[[#This Row],[discount]]</f>
        <v>0</v>
      </c>
      <c r="J1357" s="1">
        <f>northwind_order_details[[#This Row],[purchase amount]]-northwind_order_details[[#This Row],[discount amount]]</f>
        <v>350</v>
      </c>
      <c r="K1357" s="6" t="str">
        <f>IF(northwind_order_details[[#This Row],[discount amount]]&gt;0,"Yes","No")</f>
        <v>No</v>
      </c>
      <c r="L1357" s="1" t="str">
        <f>IF(northwind_order_details[[#This Row],[Revenue]]&gt;1000,"High",IF(northwind_order_details[[#This Row],[Revenue]]&gt;300,"Medium","Low"))</f>
        <v>Medium</v>
      </c>
      <c r="M13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58" spans="1:13" x14ac:dyDescent="0.25">
      <c r="A1358">
        <v>10782</v>
      </c>
      <c r="B1358">
        <v>31</v>
      </c>
      <c r="C1358" s="6">
        <v>12.5</v>
      </c>
      <c r="D1358">
        <v>1</v>
      </c>
      <c r="E1358" s="6" t="s">
        <v>6</v>
      </c>
      <c r="F1358" t="str">
        <f>_xlfn.XLOOKUP(northwind_order_details[[#This Row],[order_id]],northwind_orders[order_id],northwind_orders[ship_country])</f>
        <v>Argentina</v>
      </c>
      <c r="G1358">
        <f>INDEX(northwind_orders[],MATCH(northwind_order_details[[#This Row],[order_id]], northwind_orders[order_id], 0), MATCH("employee_id", northwind_orders[#Headers], 0))</f>
        <v>9</v>
      </c>
      <c r="H1358">
        <f>northwind_order_details[[#This Row],[unit_price]]*northwind_order_details[[#This Row],[quantity]]</f>
        <v>12.5</v>
      </c>
      <c r="I1358" s="1">
        <f>northwind_order_details[[#This Row],[purchase amount]]*northwind_order_details[[#This Row],[discount]]</f>
        <v>0</v>
      </c>
      <c r="J1358" s="1">
        <f>northwind_order_details[[#This Row],[purchase amount]]-northwind_order_details[[#This Row],[discount amount]]</f>
        <v>12.5</v>
      </c>
      <c r="K1358" s="6" t="str">
        <f>IF(northwind_order_details[[#This Row],[discount amount]]&gt;0,"Yes","No")</f>
        <v>No</v>
      </c>
      <c r="L1358" s="1" t="str">
        <f>IF(northwind_order_details[[#This Row],[Revenue]]&gt;1000,"High",IF(northwind_order_details[[#This Row],[Revenue]]&gt;300,"Medium","Low"))</f>
        <v>Low</v>
      </c>
      <c r="M135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59" spans="1:13" x14ac:dyDescent="0.25">
      <c r="A1359">
        <v>10783</v>
      </c>
      <c r="B1359">
        <v>31</v>
      </c>
      <c r="C1359" s="6">
        <v>12.5</v>
      </c>
      <c r="D1359">
        <v>10</v>
      </c>
      <c r="E1359" s="6" t="s">
        <v>6</v>
      </c>
      <c r="F1359" t="str">
        <f>_xlfn.XLOOKUP(northwind_order_details[[#This Row],[order_id]],northwind_orders[order_id],northwind_orders[ship_country])</f>
        <v>Brazil</v>
      </c>
      <c r="G1359">
        <f>INDEX(northwind_orders[],MATCH(northwind_order_details[[#This Row],[order_id]], northwind_orders[order_id], 0), MATCH("employee_id", northwind_orders[#Headers], 0))</f>
        <v>4</v>
      </c>
      <c r="H1359">
        <f>northwind_order_details[[#This Row],[unit_price]]*northwind_order_details[[#This Row],[quantity]]</f>
        <v>125</v>
      </c>
      <c r="I1359" s="1">
        <f>northwind_order_details[[#This Row],[purchase amount]]*northwind_order_details[[#This Row],[discount]]</f>
        <v>0</v>
      </c>
      <c r="J1359" s="1">
        <f>northwind_order_details[[#This Row],[purchase amount]]-northwind_order_details[[#This Row],[discount amount]]</f>
        <v>125</v>
      </c>
      <c r="K1359" s="6" t="str">
        <f>IF(northwind_order_details[[#This Row],[discount amount]]&gt;0,"Yes","No")</f>
        <v>No</v>
      </c>
      <c r="L1359" s="1" t="str">
        <f>IF(northwind_order_details[[#This Row],[Revenue]]&gt;1000,"High",IF(northwind_order_details[[#This Row],[Revenue]]&gt;300,"Medium","Low"))</f>
        <v>Low</v>
      </c>
      <c r="M13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60" spans="1:13" x14ac:dyDescent="0.25">
      <c r="A1360">
        <v>10783</v>
      </c>
      <c r="B1360">
        <v>38</v>
      </c>
      <c r="C1360" s="6">
        <v>263.5</v>
      </c>
      <c r="D1360">
        <v>5</v>
      </c>
      <c r="E1360" s="6" t="s">
        <v>6</v>
      </c>
      <c r="F1360" t="str">
        <f>_xlfn.XLOOKUP(northwind_order_details[[#This Row],[order_id]],northwind_orders[order_id],northwind_orders[ship_country])</f>
        <v>Brazil</v>
      </c>
      <c r="G1360">
        <f>INDEX(northwind_orders[],MATCH(northwind_order_details[[#This Row],[order_id]], northwind_orders[order_id], 0), MATCH("employee_id", northwind_orders[#Headers], 0))</f>
        <v>4</v>
      </c>
      <c r="H1360">
        <f>northwind_order_details[[#This Row],[unit_price]]*northwind_order_details[[#This Row],[quantity]]</f>
        <v>1317.5</v>
      </c>
      <c r="I1360" s="1">
        <f>northwind_order_details[[#This Row],[purchase amount]]*northwind_order_details[[#This Row],[discount]]</f>
        <v>0</v>
      </c>
      <c r="J1360" s="1">
        <f>northwind_order_details[[#This Row],[purchase amount]]-northwind_order_details[[#This Row],[discount amount]]</f>
        <v>1317.5</v>
      </c>
      <c r="K1360" s="6" t="str">
        <f>IF(northwind_order_details[[#This Row],[discount amount]]&gt;0,"Yes","No")</f>
        <v>No</v>
      </c>
      <c r="L1360" s="1" t="str">
        <f>IF(northwind_order_details[[#This Row],[Revenue]]&gt;1000,"High",IF(northwind_order_details[[#This Row],[Revenue]]&gt;300,"Medium","Low"))</f>
        <v>High</v>
      </c>
      <c r="M136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61" spans="1:13" x14ac:dyDescent="0.25">
      <c r="A1361">
        <v>10784</v>
      </c>
      <c r="B1361">
        <v>36</v>
      </c>
      <c r="C1361" s="6" t="s">
        <v>20</v>
      </c>
      <c r="D1361">
        <v>30</v>
      </c>
      <c r="E1361" s="6" t="s">
        <v>6</v>
      </c>
      <c r="F1361" t="str">
        <f>_xlfn.XLOOKUP(northwind_order_details[[#This Row],[order_id]],northwind_orders[order_id],northwind_orders[ship_country])</f>
        <v>Italy</v>
      </c>
      <c r="G1361">
        <f>INDEX(northwind_orders[],MATCH(northwind_order_details[[#This Row],[order_id]], northwind_orders[order_id], 0), MATCH("employee_id", northwind_orders[#Headers], 0))</f>
        <v>4</v>
      </c>
      <c r="H1361">
        <f>northwind_order_details[[#This Row],[unit_price]]*northwind_order_details[[#This Row],[quantity]]</f>
        <v>570</v>
      </c>
      <c r="I1361" s="1">
        <f>northwind_order_details[[#This Row],[purchase amount]]*northwind_order_details[[#This Row],[discount]]</f>
        <v>0</v>
      </c>
      <c r="J1361" s="1">
        <f>northwind_order_details[[#This Row],[purchase amount]]-northwind_order_details[[#This Row],[discount amount]]</f>
        <v>570</v>
      </c>
      <c r="K1361" s="6" t="str">
        <f>IF(northwind_order_details[[#This Row],[discount amount]]&gt;0,"Yes","No")</f>
        <v>No</v>
      </c>
      <c r="L1361" s="1" t="str">
        <f>IF(northwind_order_details[[#This Row],[Revenue]]&gt;1000,"High",IF(northwind_order_details[[#This Row],[Revenue]]&gt;300,"Medium","Low"))</f>
        <v>Medium</v>
      </c>
      <c r="M13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62" spans="1:13" x14ac:dyDescent="0.25">
      <c r="A1362">
        <v>10784</v>
      </c>
      <c r="B1362">
        <v>39</v>
      </c>
      <c r="C1362" s="6" t="s">
        <v>24</v>
      </c>
      <c r="D1362">
        <v>2</v>
      </c>
      <c r="E1362" s="6">
        <v>0.15</v>
      </c>
      <c r="F1362" t="str">
        <f>_xlfn.XLOOKUP(northwind_order_details[[#This Row],[order_id]],northwind_orders[order_id],northwind_orders[ship_country])</f>
        <v>Italy</v>
      </c>
      <c r="G1362">
        <f>INDEX(northwind_orders[],MATCH(northwind_order_details[[#This Row],[order_id]], northwind_orders[order_id], 0), MATCH("employee_id", northwind_orders[#Headers], 0))</f>
        <v>4</v>
      </c>
      <c r="H1362">
        <f>northwind_order_details[[#This Row],[unit_price]]*northwind_order_details[[#This Row],[quantity]]</f>
        <v>36</v>
      </c>
      <c r="I1362" s="1">
        <f>northwind_order_details[[#This Row],[purchase amount]]*northwind_order_details[[#This Row],[discount]]</f>
        <v>5.3999999999999995</v>
      </c>
      <c r="J1362" s="1">
        <f>northwind_order_details[[#This Row],[purchase amount]]-northwind_order_details[[#This Row],[discount amount]]</f>
        <v>30.6</v>
      </c>
      <c r="K1362" s="6" t="str">
        <f>IF(northwind_order_details[[#This Row],[discount amount]]&gt;0,"Yes","No")</f>
        <v>Yes</v>
      </c>
      <c r="L1362" s="1" t="str">
        <f>IF(northwind_order_details[[#This Row],[Revenue]]&gt;1000,"High",IF(northwind_order_details[[#This Row],[Revenue]]&gt;300,"Medium","Low"))</f>
        <v>Low</v>
      </c>
      <c r="M13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63" spans="1:13" x14ac:dyDescent="0.25">
      <c r="A1363">
        <v>10784</v>
      </c>
      <c r="B1363">
        <v>72</v>
      </c>
      <c r="C1363" s="6">
        <v>34.799999999999997</v>
      </c>
      <c r="D1363">
        <v>30</v>
      </c>
      <c r="E1363" s="6">
        <v>0.15</v>
      </c>
      <c r="F1363" t="str">
        <f>_xlfn.XLOOKUP(northwind_order_details[[#This Row],[order_id]],northwind_orders[order_id],northwind_orders[ship_country])</f>
        <v>Italy</v>
      </c>
      <c r="G1363">
        <f>INDEX(northwind_orders[],MATCH(northwind_order_details[[#This Row],[order_id]], northwind_orders[order_id], 0), MATCH("employee_id", northwind_orders[#Headers], 0))</f>
        <v>4</v>
      </c>
      <c r="H1363">
        <f>northwind_order_details[[#This Row],[unit_price]]*northwind_order_details[[#This Row],[quantity]]</f>
        <v>1044</v>
      </c>
      <c r="I1363" s="1">
        <f>northwind_order_details[[#This Row],[purchase amount]]*northwind_order_details[[#This Row],[discount]]</f>
        <v>156.6</v>
      </c>
      <c r="J1363" s="1">
        <f>northwind_order_details[[#This Row],[purchase amount]]-northwind_order_details[[#This Row],[discount amount]]</f>
        <v>887.4</v>
      </c>
      <c r="K1363" s="6" t="str">
        <f>IF(northwind_order_details[[#This Row],[discount amount]]&gt;0,"Yes","No")</f>
        <v>Yes</v>
      </c>
      <c r="L1363" s="1" t="str">
        <f>IF(northwind_order_details[[#This Row],[Revenue]]&gt;1000,"High",IF(northwind_order_details[[#This Row],[Revenue]]&gt;300,"Medium","Low"))</f>
        <v>Medium</v>
      </c>
      <c r="M13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64" spans="1:13" x14ac:dyDescent="0.25">
      <c r="A1364">
        <v>10785</v>
      </c>
      <c r="B1364">
        <v>10</v>
      </c>
      <c r="C1364" s="6" t="s">
        <v>34</v>
      </c>
      <c r="D1364">
        <v>10</v>
      </c>
      <c r="E1364" s="6" t="s">
        <v>6</v>
      </c>
      <c r="F1364" t="str">
        <f>_xlfn.XLOOKUP(northwind_order_details[[#This Row],[order_id]],northwind_orders[order_id],northwind_orders[ship_country])</f>
        <v>Venezuela</v>
      </c>
      <c r="G1364">
        <f>INDEX(northwind_orders[],MATCH(northwind_order_details[[#This Row],[order_id]], northwind_orders[order_id], 0), MATCH("employee_id", northwind_orders[#Headers], 0))</f>
        <v>1</v>
      </c>
      <c r="H1364">
        <f>northwind_order_details[[#This Row],[unit_price]]*northwind_order_details[[#This Row],[quantity]]</f>
        <v>310</v>
      </c>
      <c r="I1364" s="1">
        <f>northwind_order_details[[#This Row],[purchase amount]]*northwind_order_details[[#This Row],[discount]]</f>
        <v>0</v>
      </c>
      <c r="J1364" s="1">
        <f>northwind_order_details[[#This Row],[purchase amount]]-northwind_order_details[[#This Row],[discount amount]]</f>
        <v>310</v>
      </c>
      <c r="K1364" s="6" t="str">
        <f>IF(northwind_order_details[[#This Row],[discount amount]]&gt;0,"Yes","No")</f>
        <v>No</v>
      </c>
      <c r="L1364" s="1" t="str">
        <f>IF(northwind_order_details[[#This Row],[Revenue]]&gt;1000,"High",IF(northwind_order_details[[#This Row],[Revenue]]&gt;300,"Medium","Low"))</f>
        <v>Medium</v>
      </c>
      <c r="M13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65" spans="1:13" x14ac:dyDescent="0.25">
      <c r="A1365">
        <v>10785</v>
      </c>
      <c r="B1365">
        <v>75</v>
      </c>
      <c r="C1365" s="6">
        <v>7.75</v>
      </c>
      <c r="D1365">
        <v>10</v>
      </c>
      <c r="E1365" s="6" t="s">
        <v>6</v>
      </c>
      <c r="F1365" t="str">
        <f>_xlfn.XLOOKUP(northwind_order_details[[#This Row],[order_id]],northwind_orders[order_id],northwind_orders[ship_country])</f>
        <v>Venezuela</v>
      </c>
      <c r="G1365">
        <f>INDEX(northwind_orders[],MATCH(northwind_order_details[[#This Row],[order_id]], northwind_orders[order_id], 0), MATCH("employee_id", northwind_orders[#Headers], 0))</f>
        <v>1</v>
      </c>
      <c r="H1365">
        <f>northwind_order_details[[#This Row],[unit_price]]*northwind_order_details[[#This Row],[quantity]]</f>
        <v>77.5</v>
      </c>
      <c r="I1365" s="1">
        <f>northwind_order_details[[#This Row],[purchase amount]]*northwind_order_details[[#This Row],[discount]]</f>
        <v>0</v>
      </c>
      <c r="J1365" s="1">
        <f>northwind_order_details[[#This Row],[purchase amount]]-northwind_order_details[[#This Row],[discount amount]]</f>
        <v>77.5</v>
      </c>
      <c r="K1365" s="6" t="str">
        <f>IF(northwind_order_details[[#This Row],[discount amount]]&gt;0,"Yes","No")</f>
        <v>No</v>
      </c>
      <c r="L1365" s="1" t="str">
        <f>IF(northwind_order_details[[#This Row],[Revenue]]&gt;1000,"High",IF(northwind_order_details[[#This Row],[Revenue]]&gt;300,"Medium","Low"))</f>
        <v>Low</v>
      </c>
      <c r="M13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66" spans="1:13" x14ac:dyDescent="0.25">
      <c r="A1366">
        <v>10786</v>
      </c>
      <c r="B1366">
        <v>8</v>
      </c>
      <c r="C1366" s="6" t="s">
        <v>27</v>
      </c>
      <c r="D1366">
        <v>30</v>
      </c>
      <c r="E1366" s="6">
        <v>0.2</v>
      </c>
      <c r="F1366" t="str">
        <f>_xlfn.XLOOKUP(northwind_order_details[[#This Row],[order_id]],northwind_orders[order_id],northwind_orders[ship_country])</f>
        <v>Brazil</v>
      </c>
      <c r="G1366">
        <f>INDEX(northwind_orders[],MATCH(northwind_order_details[[#This Row],[order_id]], northwind_orders[order_id], 0), MATCH("employee_id", northwind_orders[#Headers], 0))</f>
        <v>8</v>
      </c>
      <c r="H1366">
        <f>northwind_order_details[[#This Row],[unit_price]]*northwind_order_details[[#This Row],[quantity]]</f>
        <v>1200</v>
      </c>
      <c r="I1366" s="1">
        <f>northwind_order_details[[#This Row],[purchase amount]]*northwind_order_details[[#This Row],[discount]]</f>
        <v>240</v>
      </c>
      <c r="J1366" s="1">
        <f>northwind_order_details[[#This Row],[purchase amount]]-northwind_order_details[[#This Row],[discount amount]]</f>
        <v>960</v>
      </c>
      <c r="K1366" s="6" t="str">
        <f>IF(northwind_order_details[[#This Row],[discount amount]]&gt;0,"Yes","No")</f>
        <v>Yes</v>
      </c>
      <c r="L1366" s="1" t="str">
        <f>IF(northwind_order_details[[#This Row],[Revenue]]&gt;1000,"High",IF(northwind_order_details[[#This Row],[Revenue]]&gt;300,"Medium","Low"))</f>
        <v>Medium</v>
      </c>
      <c r="M13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67" spans="1:13" x14ac:dyDescent="0.25">
      <c r="A1367">
        <v>10786</v>
      </c>
      <c r="B1367">
        <v>30</v>
      </c>
      <c r="C1367" s="6">
        <v>25.89</v>
      </c>
      <c r="D1367">
        <v>15</v>
      </c>
      <c r="E1367" s="6">
        <v>0.2</v>
      </c>
      <c r="F1367" t="str">
        <f>_xlfn.XLOOKUP(northwind_order_details[[#This Row],[order_id]],northwind_orders[order_id],northwind_orders[ship_country])</f>
        <v>Brazil</v>
      </c>
      <c r="G1367">
        <f>INDEX(northwind_orders[],MATCH(northwind_order_details[[#This Row],[order_id]], northwind_orders[order_id], 0), MATCH("employee_id", northwind_orders[#Headers], 0))</f>
        <v>8</v>
      </c>
      <c r="H1367">
        <f>northwind_order_details[[#This Row],[unit_price]]*northwind_order_details[[#This Row],[quantity]]</f>
        <v>388.35</v>
      </c>
      <c r="I1367" s="1">
        <f>northwind_order_details[[#This Row],[purchase amount]]*northwind_order_details[[#This Row],[discount]]</f>
        <v>77.670000000000016</v>
      </c>
      <c r="J1367" s="1">
        <f>northwind_order_details[[#This Row],[purchase amount]]-northwind_order_details[[#This Row],[discount amount]]</f>
        <v>310.68</v>
      </c>
      <c r="K1367" s="6" t="str">
        <f>IF(northwind_order_details[[#This Row],[discount amount]]&gt;0,"Yes","No")</f>
        <v>Yes</v>
      </c>
      <c r="L1367" s="1" t="str">
        <f>IF(northwind_order_details[[#This Row],[Revenue]]&gt;1000,"High",IF(northwind_order_details[[#This Row],[Revenue]]&gt;300,"Medium","Low"))</f>
        <v>Medium</v>
      </c>
      <c r="M13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68" spans="1:13" x14ac:dyDescent="0.25">
      <c r="A1368">
        <v>10786</v>
      </c>
      <c r="B1368">
        <v>75</v>
      </c>
      <c r="C1368" s="6">
        <v>7.75</v>
      </c>
      <c r="D1368">
        <v>42</v>
      </c>
      <c r="E1368" s="6">
        <v>0.2</v>
      </c>
      <c r="F1368" t="str">
        <f>_xlfn.XLOOKUP(northwind_order_details[[#This Row],[order_id]],northwind_orders[order_id],northwind_orders[ship_country])</f>
        <v>Brazil</v>
      </c>
      <c r="G1368">
        <f>INDEX(northwind_orders[],MATCH(northwind_order_details[[#This Row],[order_id]], northwind_orders[order_id], 0), MATCH("employee_id", northwind_orders[#Headers], 0))</f>
        <v>8</v>
      </c>
      <c r="H1368">
        <f>northwind_order_details[[#This Row],[unit_price]]*northwind_order_details[[#This Row],[quantity]]</f>
        <v>325.5</v>
      </c>
      <c r="I1368" s="1">
        <f>northwind_order_details[[#This Row],[purchase amount]]*northwind_order_details[[#This Row],[discount]]</f>
        <v>65.100000000000009</v>
      </c>
      <c r="J1368" s="1">
        <f>northwind_order_details[[#This Row],[purchase amount]]-northwind_order_details[[#This Row],[discount amount]]</f>
        <v>260.39999999999998</v>
      </c>
      <c r="K1368" s="6" t="str">
        <f>IF(northwind_order_details[[#This Row],[discount amount]]&gt;0,"Yes","No")</f>
        <v>Yes</v>
      </c>
      <c r="L1368" s="1" t="str">
        <f>IF(northwind_order_details[[#This Row],[Revenue]]&gt;1000,"High",IF(northwind_order_details[[#This Row],[Revenue]]&gt;300,"Medium","Low"))</f>
        <v>Low</v>
      </c>
      <c r="M13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69" spans="1:13" x14ac:dyDescent="0.25">
      <c r="A1369">
        <v>10787</v>
      </c>
      <c r="B1369">
        <v>2</v>
      </c>
      <c r="C1369" s="6" t="s">
        <v>20</v>
      </c>
      <c r="D1369">
        <v>15</v>
      </c>
      <c r="E1369" s="6">
        <v>0.05</v>
      </c>
      <c r="F1369" t="str">
        <f>_xlfn.XLOOKUP(northwind_order_details[[#This Row],[order_id]],northwind_orders[order_id],northwind_orders[ship_country])</f>
        <v>France</v>
      </c>
      <c r="G1369">
        <f>INDEX(northwind_orders[],MATCH(northwind_order_details[[#This Row],[order_id]], northwind_orders[order_id], 0), MATCH("employee_id", northwind_orders[#Headers], 0))</f>
        <v>2</v>
      </c>
      <c r="H1369">
        <f>northwind_order_details[[#This Row],[unit_price]]*northwind_order_details[[#This Row],[quantity]]</f>
        <v>285</v>
      </c>
      <c r="I1369" s="1">
        <f>northwind_order_details[[#This Row],[purchase amount]]*northwind_order_details[[#This Row],[discount]]</f>
        <v>14.25</v>
      </c>
      <c r="J1369" s="1">
        <f>northwind_order_details[[#This Row],[purchase amount]]-northwind_order_details[[#This Row],[discount amount]]</f>
        <v>270.75</v>
      </c>
      <c r="K1369" s="6" t="str">
        <f>IF(northwind_order_details[[#This Row],[discount amount]]&gt;0,"Yes","No")</f>
        <v>Yes</v>
      </c>
      <c r="L1369" s="1" t="str">
        <f>IF(northwind_order_details[[#This Row],[Revenue]]&gt;1000,"High",IF(northwind_order_details[[#This Row],[Revenue]]&gt;300,"Medium","Low"))</f>
        <v>Low</v>
      </c>
      <c r="M13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70" spans="1:13" x14ac:dyDescent="0.25">
      <c r="A1370">
        <v>10787</v>
      </c>
      <c r="B1370">
        <v>29</v>
      </c>
      <c r="C1370" s="6">
        <v>123.79</v>
      </c>
      <c r="D1370">
        <v>20</v>
      </c>
      <c r="E1370" s="6">
        <v>0.05</v>
      </c>
      <c r="F1370" t="str">
        <f>_xlfn.XLOOKUP(northwind_order_details[[#This Row],[order_id]],northwind_orders[order_id],northwind_orders[ship_country])</f>
        <v>France</v>
      </c>
      <c r="G1370">
        <f>INDEX(northwind_orders[],MATCH(northwind_order_details[[#This Row],[order_id]], northwind_orders[order_id], 0), MATCH("employee_id", northwind_orders[#Headers], 0))</f>
        <v>2</v>
      </c>
      <c r="H1370">
        <f>northwind_order_details[[#This Row],[unit_price]]*northwind_order_details[[#This Row],[quantity]]</f>
        <v>2475.8000000000002</v>
      </c>
      <c r="I1370" s="1">
        <f>northwind_order_details[[#This Row],[purchase amount]]*northwind_order_details[[#This Row],[discount]]</f>
        <v>123.79000000000002</v>
      </c>
      <c r="J1370" s="1">
        <f>northwind_order_details[[#This Row],[purchase amount]]-northwind_order_details[[#This Row],[discount amount]]</f>
        <v>2352.0100000000002</v>
      </c>
      <c r="K1370" s="6" t="str">
        <f>IF(northwind_order_details[[#This Row],[discount amount]]&gt;0,"Yes","No")</f>
        <v>Yes</v>
      </c>
      <c r="L1370" s="1" t="str">
        <f>IF(northwind_order_details[[#This Row],[Revenue]]&gt;1000,"High",IF(northwind_order_details[[#This Row],[Revenue]]&gt;300,"Medium","Low"))</f>
        <v>High</v>
      </c>
      <c r="M13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71" spans="1:13" x14ac:dyDescent="0.25">
      <c r="A1371">
        <v>10788</v>
      </c>
      <c r="B1371">
        <v>19</v>
      </c>
      <c r="C1371" s="6">
        <v>9.1999999999999993</v>
      </c>
      <c r="D1371">
        <v>50</v>
      </c>
      <c r="E1371" s="6">
        <v>0.05</v>
      </c>
      <c r="F1371" t="str">
        <f>_xlfn.XLOOKUP(northwind_order_details[[#This Row],[order_id]],northwind_orders[order_id],northwind_orders[ship_country])</f>
        <v>Germany</v>
      </c>
      <c r="G1371">
        <f>INDEX(northwind_orders[],MATCH(northwind_order_details[[#This Row],[order_id]], northwind_orders[order_id], 0), MATCH("employee_id", northwind_orders[#Headers], 0))</f>
        <v>1</v>
      </c>
      <c r="H1371">
        <f>northwind_order_details[[#This Row],[unit_price]]*northwind_order_details[[#This Row],[quantity]]</f>
        <v>459.99999999999994</v>
      </c>
      <c r="I1371" s="1">
        <f>northwind_order_details[[#This Row],[purchase amount]]*northwind_order_details[[#This Row],[discount]]</f>
        <v>23</v>
      </c>
      <c r="J1371" s="1">
        <f>northwind_order_details[[#This Row],[purchase amount]]-northwind_order_details[[#This Row],[discount amount]]</f>
        <v>436.99999999999994</v>
      </c>
      <c r="K1371" s="6" t="str">
        <f>IF(northwind_order_details[[#This Row],[discount amount]]&gt;0,"Yes","No")</f>
        <v>Yes</v>
      </c>
      <c r="L1371" s="1" t="str">
        <f>IF(northwind_order_details[[#This Row],[Revenue]]&gt;1000,"High",IF(northwind_order_details[[#This Row],[Revenue]]&gt;300,"Medium","Low"))</f>
        <v>Medium</v>
      </c>
      <c r="M137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72" spans="1:13" x14ac:dyDescent="0.25">
      <c r="A1372">
        <v>10788</v>
      </c>
      <c r="B1372">
        <v>75</v>
      </c>
      <c r="C1372" s="6">
        <v>7.75</v>
      </c>
      <c r="D1372">
        <v>40</v>
      </c>
      <c r="E1372" s="6">
        <v>0.05</v>
      </c>
      <c r="F1372" t="str">
        <f>_xlfn.XLOOKUP(northwind_order_details[[#This Row],[order_id]],northwind_orders[order_id],northwind_orders[ship_country])</f>
        <v>Germany</v>
      </c>
      <c r="G1372">
        <f>INDEX(northwind_orders[],MATCH(northwind_order_details[[#This Row],[order_id]], northwind_orders[order_id], 0), MATCH("employee_id", northwind_orders[#Headers], 0))</f>
        <v>1</v>
      </c>
      <c r="H1372">
        <f>northwind_order_details[[#This Row],[unit_price]]*northwind_order_details[[#This Row],[quantity]]</f>
        <v>310</v>
      </c>
      <c r="I1372" s="1">
        <f>northwind_order_details[[#This Row],[purchase amount]]*northwind_order_details[[#This Row],[discount]]</f>
        <v>15.5</v>
      </c>
      <c r="J1372" s="1">
        <f>northwind_order_details[[#This Row],[purchase amount]]-northwind_order_details[[#This Row],[discount amount]]</f>
        <v>294.5</v>
      </c>
      <c r="K1372" s="6" t="str">
        <f>IF(northwind_order_details[[#This Row],[discount amount]]&gt;0,"Yes","No")</f>
        <v>Yes</v>
      </c>
      <c r="L1372" s="1" t="str">
        <f>IF(northwind_order_details[[#This Row],[Revenue]]&gt;1000,"High",IF(northwind_order_details[[#This Row],[Revenue]]&gt;300,"Medium","Low"))</f>
        <v>Low</v>
      </c>
      <c r="M137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73" spans="1:13" x14ac:dyDescent="0.25">
      <c r="A1373">
        <v>10789</v>
      </c>
      <c r="B1373">
        <v>18</v>
      </c>
      <c r="C1373" s="6">
        <v>62.5</v>
      </c>
      <c r="D1373">
        <v>30</v>
      </c>
      <c r="E1373" s="6" t="s">
        <v>6</v>
      </c>
      <c r="F1373" t="str">
        <f>_xlfn.XLOOKUP(northwind_order_details[[#This Row],[order_id]],northwind_orders[order_id],northwind_orders[ship_country])</f>
        <v>France</v>
      </c>
      <c r="G1373">
        <f>INDEX(northwind_orders[],MATCH(northwind_order_details[[#This Row],[order_id]], northwind_orders[order_id], 0), MATCH("employee_id", northwind_orders[#Headers], 0))</f>
        <v>1</v>
      </c>
      <c r="H1373">
        <f>northwind_order_details[[#This Row],[unit_price]]*northwind_order_details[[#This Row],[quantity]]</f>
        <v>1875</v>
      </c>
      <c r="I1373" s="1">
        <f>northwind_order_details[[#This Row],[purchase amount]]*northwind_order_details[[#This Row],[discount]]</f>
        <v>0</v>
      </c>
      <c r="J1373" s="1">
        <f>northwind_order_details[[#This Row],[purchase amount]]-northwind_order_details[[#This Row],[discount amount]]</f>
        <v>1875</v>
      </c>
      <c r="K1373" s="6" t="str">
        <f>IF(northwind_order_details[[#This Row],[discount amount]]&gt;0,"Yes","No")</f>
        <v>No</v>
      </c>
      <c r="L1373" s="1" t="str">
        <f>IF(northwind_order_details[[#This Row],[Revenue]]&gt;1000,"High",IF(northwind_order_details[[#This Row],[Revenue]]&gt;300,"Medium","Low"))</f>
        <v>High</v>
      </c>
      <c r="M13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74" spans="1:13" x14ac:dyDescent="0.25">
      <c r="A1374">
        <v>10789</v>
      </c>
      <c r="B1374">
        <v>35</v>
      </c>
      <c r="C1374" s="6" t="s">
        <v>24</v>
      </c>
      <c r="D1374">
        <v>15</v>
      </c>
      <c r="E1374" s="6" t="s">
        <v>6</v>
      </c>
      <c r="F1374" t="str">
        <f>_xlfn.XLOOKUP(northwind_order_details[[#This Row],[order_id]],northwind_orders[order_id],northwind_orders[ship_country])</f>
        <v>France</v>
      </c>
      <c r="G1374">
        <f>INDEX(northwind_orders[],MATCH(northwind_order_details[[#This Row],[order_id]], northwind_orders[order_id], 0), MATCH("employee_id", northwind_orders[#Headers], 0))</f>
        <v>1</v>
      </c>
      <c r="H1374">
        <f>northwind_order_details[[#This Row],[unit_price]]*northwind_order_details[[#This Row],[quantity]]</f>
        <v>270</v>
      </c>
      <c r="I1374" s="1">
        <f>northwind_order_details[[#This Row],[purchase amount]]*northwind_order_details[[#This Row],[discount]]</f>
        <v>0</v>
      </c>
      <c r="J1374" s="1">
        <f>northwind_order_details[[#This Row],[purchase amount]]-northwind_order_details[[#This Row],[discount amount]]</f>
        <v>270</v>
      </c>
      <c r="K1374" s="6" t="str">
        <f>IF(northwind_order_details[[#This Row],[discount amount]]&gt;0,"Yes","No")</f>
        <v>No</v>
      </c>
      <c r="L1374" s="1" t="str">
        <f>IF(northwind_order_details[[#This Row],[Revenue]]&gt;1000,"High",IF(northwind_order_details[[#This Row],[Revenue]]&gt;300,"Medium","Low"))</f>
        <v>Low</v>
      </c>
      <c r="M13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75" spans="1:13" x14ac:dyDescent="0.25">
      <c r="A1375">
        <v>10789</v>
      </c>
      <c r="B1375">
        <v>63</v>
      </c>
      <c r="C1375" s="6">
        <v>43.9</v>
      </c>
      <c r="D1375">
        <v>30</v>
      </c>
      <c r="E1375" s="6" t="s">
        <v>6</v>
      </c>
      <c r="F1375" t="str">
        <f>_xlfn.XLOOKUP(northwind_order_details[[#This Row],[order_id]],northwind_orders[order_id],northwind_orders[ship_country])</f>
        <v>France</v>
      </c>
      <c r="G1375">
        <f>INDEX(northwind_orders[],MATCH(northwind_order_details[[#This Row],[order_id]], northwind_orders[order_id], 0), MATCH("employee_id", northwind_orders[#Headers], 0))</f>
        <v>1</v>
      </c>
      <c r="H1375">
        <f>northwind_order_details[[#This Row],[unit_price]]*northwind_order_details[[#This Row],[quantity]]</f>
        <v>1317</v>
      </c>
      <c r="I1375" s="1">
        <f>northwind_order_details[[#This Row],[purchase amount]]*northwind_order_details[[#This Row],[discount]]</f>
        <v>0</v>
      </c>
      <c r="J1375" s="1">
        <f>northwind_order_details[[#This Row],[purchase amount]]-northwind_order_details[[#This Row],[discount amount]]</f>
        <v>1317</v>
      </c>
      <c r="K1375" s="6" t="str">
        <f>IF(northwind_order_details[[#This Row],[discount amount]]&gt;0,"Yes","No")</f>
        <v>No</v>
      </c>
      <c r="L1375" s="1" t="str">
        <f>IF(northwind_order_details[[#This Row],[Revenue]]&gt;1000,"High",IF(northwind_order_details[[#This Row],[Revenue]]&gt;300,"Medium","Low"))</f>
        <v>High</v>
      </c>
      <c r="M137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76" spans="1:13" x14ac:dyDescent="0.25">
      <c r="A1376">
        <v>10789</v>
      </c>
      <c r="B1376">
        <v>68</v>
      </c>
      <c r="C1376" s="6">
        <v>12.5</v>
      </c>
      <c r="D1376">
        <v>18</v>
      </c>
      <c r="E1376" s="6" t="s">
        <v>6</v>
      </c>
      <c r="F1376" t="str">
        <f>_xlfn.XLOOKUP(northwind_order_details[[#This Row],[order_id]],northwind_orders[order_id],northwind_orders[ship_country])</f>
        <v>France</v>
      </c>
      <c r="G1376">
        <f>INDEX(northwind_orders[],MATCH(northwind_order_details[[#This Row],[order_id]], northwind_orders[order_id], 0), MATCH("employee_id", northwind_orders[#Headers], 0))</f>
        <v>1</v>
      </c>
      <c r="H1376">
        <f>northwind_order_details[[#This Row],[unit_price]]*northwind_order_details[[#This Row],[quantity]]</f>
        <v>225</v>
      </c>
      <c r="I1376" s="1">
        <f>northwind_order_details[[#This Row],[purchase amount]]*northwind_order_details[[#This Row],[discount]]</f>
        <v>0</v>
      </c>
      <c r="J1376" s="1">
        <f>northwind_order_details[[#This Row],[purchase amount]]-northwind_order_details[[#This Row],[discount amount]]</f>
        <v>225</v>
      </c>
      <c r="K1376" s="6" t="str">
        <f>IF(northwind_order_details[[#This Row],[discount amount]]&gt;0,"Yes","No")</f>
        <v>No</v>
      </c>
      <c r="L1376" s="1" t="str">
        <f>IF(northwind_order_details[[#This Row],[Revenue]]&gt;1000,"High",IF(northwind_order_details[[#This Row],[Revenue]]&gt;300,"Medium","Low"))</f>
        <v>Low</v>
      </c>
      <c r="M137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77" spans="1:13" x14ac:dyDescent="0.25">
      <c r="A1377">
        <v>10790</v>
      </c>
      <c r="B1377">
        <v>7</v>
      </c>
      <c r="C1377" s="6" t="s">
        <v>26</v>
      </c>
      <c r="D1377">
        <v>3</v>
      </c>
      <c r="E1377" s="6">
        <v>0.15</v>
      </c>
      <c r="F1377" t="str">
        <f>_xlfn.XLOOKUP(northwind_order_details[[#This Row],[order_id]],northwind_orders[order_id],northwind_orders[ship_country])</f>
        <v>Brazil</v>
      </c>
      <c r="G1377">
        <f>INDEX(northwind_orders[],MATCH(northwind_order_details[[#This Row],[order_id]], northwind_orders[order_id], 0), MATCH("employee_id", northwind_orders[#Headers], 0))</f>
        <v>6</v>
      </c>
      <c r="H1377">
        <f>northwind_order_details[[#This Row],[unit_price]]*northwind_order_details[[#This Row],[quantity]]</f>
        <v>90</v>
      </c>
      <c r="I1377" s="1">
        <f>northwind_order_details[[#This Row],[purchase amount]]*northwind_order_details[[#This Row],[discount]]</f>
        <v>13.5</v>
      </c>
      <c r="J1377" s="1">
        <f>northwind_order_details[[#This Row],[purchase amount]]-northwind_order_details[[#This Row],[discount amount]]</f>
        <v>76.5</v>
      </c>
      <c r="K1377" s="6" t="str">
        <f>IF(northwind_order_details[[#This Row],[discount amount]]&gt;0,"Yes","No")</f>
        <v>Yes</v>
      </c>
      <c r="L1377" s="1" t="str">
        <f>IF(northwind_order_details[[#This Row],[Revenue]]&gt;1000,"High",IF(northwind_order_details[[#This Row],[Revenue]]&gt;300,"Medium","Low"))</f>
        <v>Low</v>
      </c>
      <c r="M13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78" spans="1:13" x14ac:dyDescent="0.25">
      <c r="A1378">
        <v>10790</v>
      </c>
      <c r="B1378">
        <v>56</v>
      </c>
      <c r="C1378" s="6" t="s">
        <v>30</v>
      </c>
      <c r="D1378">
        <v>20</v>
      </c>
      <c r="E1378" s="6">
        <v>0.15</v>
      </c>
      <c r="F1378" t="str">
        <f>_xlfn.XLOOKUP(northwind_order_details[[#This Row],[order_id]],northwind_orders[order_id],northwind_orders[ship_country])</f>
        <v>Brazil</v>
      </c>
      <c r="G1378">
        <f>INDEX(northwind_orders[],MATCH(northwind_order_details[[#This Row],[order_id]], northwind_orders[order_id], 0), MATCH("employee_id", northwind_orders[#Headers], 0))</f>
        <v>6</v>
      </c>
      <c r="H1378">
        <f>northwind_order_details[[#This Row],[unit_price]]*northwind_order_details[[#This Row],[quantity]]</f>
        <v>760</v>
      </c>
      <c r="I1378" s="1">
        <f>northwind_order_details[[#This Row],[purchase amount]]*northwind_order_details[[#This Row],[discount]]</f>
        <v>114</v>
      </c>
      <c r="J1378" s="1">
        <f>northwind_order_details[[#This Row],[purchase amount]]-northwind_order_details[[#This Row],[discount amount]]</f>
        <v>646</v>
      </c>
      <c r="K1378" s="6" t="str">
        <f>IF(northwind_order_details[[#This Row],[discount amount]]&gt;0,"Yes","No")</f>
        <v>Yes</v>
      </c>
      <c r="L1378" s="1" t="str">
        <f>IF(northwind_order_details[[#This Row],[Revenue]]&gt;1000,"High",IF(northwind_order_details[[#This Row],[Revenue]]&gt;300,"Medium","Low"))</f>
        <v>Medium</v>
      </c>
      <c r="M13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79" spans="1:13" x14ac:dyDescent="0.25">
      <c r="A1379">
        <v>10791</v>
      </c>
      <c r="B1379">
        <v>29</v>
      </c>
      <c r="C1379" s="6">
        <v>123.79</v>
      </c>
      <c r="D1379">
        <v>14</v>
      </c>
      <c r="E1379" s="6">
        <v>0.05</v>
      </c>
      <c r="F1379" t="str">
        <f>_xlfn.XLOOKUP(northwind_order_details[[#This Row],[order_id]],northwind_orders[order_id],northwind_orders[ship_country])</f>
        <v>Germany</v>
      </c>
      <c r="G1379">
        <f>INDEX(northwind_orders[],MATCH(northwind_order_details[[#This Row],[order_id]], northwind_orders[order_id], 0), MATCH("employee_id", northwind_orders[#Headers], 0))</f>
        <v>6</v>
      </c>
      <c r="H1379">
        <f>northwind_order_details[[#This Row],[unit_price]]*northwind_order_details[[#This Row],[quantity]]</f>
        <v>1733.0600000000002</v>
      </c>
      <c r="I1379" s="1">
        <f>northwind_order_details[[#This Row],[purchase amount]]*northwind_order_details[[#This Row],[discount]]</f>
        <v>86.65300000000002</v>
      </c>
      <c r="J1379" s="1">
        <f>northwind_order_details[[#This Row],[purchase amount]]-northwind_order_details[[#This Row],[discount amount]]</f>
        <v>1646.4070000000002</v>
      </c>
      <c r="K1379" s="6" t="str">
        <f>IF(northwind_order_details[[#This Row],[discount amount]]&gt;0,"Yes","No")</f>
        <v>Yes</v>
      </c>
      <c r="L1379" s="1" t="str">
        <f>IF(northwind_order_details[[#This Row],[Revenue]]&gt;1000,"High",IF(northwind_order_details[[#This Row],[Revenue]]&gt;300,"Medium","Low"))</f>
        <v>High</v>
      </c>
      <c r="M13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0" spans="1:13" x14ac:dyDescent="0.25">
      <c r="A1380">
        <v>10791</v>
      </c>
      <c r="B1380">
        <v>41</v>
      </c>
      <c r="C1380" s="6">
        <v>9.65</v>
      </c>
      <c r="D1380">
        <v>20</v>
      </c>
      <c r="E1380" s="6">
        <v>0.05</v>
      </c>
      <c r="F1380" t="str">
        <f>_xlfn.XLOOKUP(northwind_order_details[[#This Row],[order_id]],northwind_orders[order_id],northwind_orders[ship_country])</f>
        <v>Germany</v>
      </c>
      <c r="G1380">
        <f>INDEX(northwind_orders[],MATCH(northwind_order_details[[#This Row],[order_id]], northwind_orders[order_id], 0), MATCH("employee_id", northwind_orders[#Headers], 0))</f>
        <v>6</v>
      </c>
      <c r="H1380">
        <f>northwind_order_details[[#This Row],[unit_price]]*northwind_order_details[[#This Row],[quantity]]</f>
        <v>193</v>
      </c>
      <c r="I1380" s="1">
        <f>northwind_order_details[[#This Row],[purchase amount]]*northwind_order_details[[#This Row],[discount]]</f>
        <v>9.65</v>
      </c>
      <c r="J1380" s="1">
        <f>northwind_order_details[[#This Row],[purchase amount]]-northwind_order_details[[#This Row],[discount amount]]</f>
        <v>183.35</v>
      </c>
      <c r="K1380" s="6" t="str">
        <f>IF(northwind_order_details[[#This Row],[discount amount]]&gt;0,"Yes","No")</f>
        <v>Yes</v>
      </c>
      <c r="L1380" s="1" t="str">
        <f>IF(northwind_order_details[[#This Row],[Revenue]]&gt;1000,"High",IF(northwind_order_details[[#This Row],[Revenue]]&gt;300,"Medium","Low"))</f>
        <v>Low</v>
      </c>
      <c r="M138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1" spans="1:13" x14ac:dyDescent="0.25">
      <c r="A1381">
        <v>10792</v>
      </c>
      <c r="B1381">
        <v>2</v>
      </c>
      <c r="C1381" s="6" t="s">
        <v>20</v>
      </c>
      <c r="D1381">
        <v>10</v>
      </c>
      <c r="E1381" s="6" t="s">
        <v>6</v>
      </c>
      <c r="F1381" t="str">
        <f>_xlfn.XLOOKUP(northwind_order_details[[#This Row],[order_id]],northwind_orders[order_id],northwind_orders[ship_country])</f>
        <v>Poland</v>
      </c>
      <c r="G1381">
        <f>INDEX(northwind_orders[],MATCH(northwind_order_details[[#This Row],[order_id]], northwind_orders[order_id], 0), MATCH("employee_id", northwind_orders[#Headers], 0))</f>
        <v>1</v>
      </c>
      <c r="H1381">
        <f>northwind_order_details[[#This Row],[unit_price]]*northwind_order_details[[#This Row],[quantity]]</f>
        <v>190</v>
      </c>
      <c r="I1381" s="1">
        <f>northwind_order_details[[#This Row],[purchase amount]]*northwind_order_details[[#This Row],[discount]]</f>
        <v>0</v>
      </c>
      <c r="J1381" s="1">
        <f>northwind_order_details[[#This Row],[purchase amount]]-northwind_order_details[[#This Row],[discount amount]]</f>
        <v>190</v>
      </c>
      <c r="K1381" s="6" t="str">
        <f>IF(northwind_order_details[[#This Row],[discount amount]]&gt;0,"Yes","No")</f>
        <v>No</v>
      </c>
      <c r="L1381" s="1" t="str">
        <f>IF(northwind_order_details[[#This Row],[Revenue]]&gt;1000,"High",IF(northwind_order_details[[#This Row],[Revenue]]&gt;300,"Medium","Low"))</f>
        <v>Low</v>
      </c>
      <c r="M13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82" spans="1:13" x14ac:dyDescent="0.25">
      <c r="A1382">
        <v>10792</v>
      </c>
      <c r="B1382">
        <v>54</v>
      </c>
      <c r="C1382" s="6">
        <v>7.45</v>
      </c>
      <c r="D1382">
        <v>3</v>
      </c>
      <c r="E1382" s="6" t="s">
        <v>6</v>
      </c>
      <c r="F1382" t="str">
        <f>_xlfn.XLOOKUP(northwind_order_details[[#This Row],[order_id]],northwind_orders[order_id],northwind_orders[ship_country])</f>
        <v>Poland</v>
      </c>
      <c r="G1382">
        <f>INDEX(northwind_orders[],MATCH(northwind_order_details[[#This Row],[order_id]], northwind_orders[order_id], 0), MATCH("employee_id", northwind_orders[#Headers], 0))</f>
        <v>1</v>
      </c>
      <c r="H1382">
        <f>northwind_order_details[[#This Row],[unit_price]]*northwind_order_details[[#This Row],[quantity]]</f>
        <v>22.35</v>
      </c>
      <c r="I1382" s="1">
        <f>northwind_order_details[[#This Row],[purchase amount]]*northwind_order_details[[#This Row],[discount]]</f>
        <v>0</v>
      </c>
      <c r="J1382" s="1">
        <f>northwind_order_details[[#This Row],[purchase amount]]-northwind_order_details[[#This Row],[discount amount]]</f>
        <v>22.35</v>
      </c>
      <c r="K1382" s="6" t="str">
        <f>IF(northwind_order_details[[#This Row],[discount amount]]&gt;0,"Yes","No")</f>
        <v>No</v>
      </c>
      <c r="L1382" s="1" t="str">
        <f>IF(northwind_order_details[[#This Row],[Revenue]]&gt;1000,"High",IF(northwind_order_details[[#This Row],[Revenue]]&gt;300,"Medium","Low"))</f>
        <v>Low</v>
      </c>
      <c r="M13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3" spans="1:13" x14ac:dyDescent="0.25">
      <c r="A1383">
        <v>10792</v>
      </c>
      <c r="B1383">
        <v>68</v>
      </c>
      <c r="C1383" s="6">
        <v>12.5</v>
      </c>
      <c r="D1383">
        <v>15</v>
      </c>
      <c r="E1383" s="6" t="s">
        <v>6</v>
      </c>
      <c r="F1383" t="str">
        <f>_xlfn.XLOOKUP(northwind_order_details[[#This Row],[order_id]],northwind_orders[order_id],northwind_orders[ship_country])</f>
        <v>Poland</v>
      </c>
      <c r="G1383">
        <f>INDEX(northwind_orders[],MATCH(northwind_order_details[[#This Row],[order_id]], northwind_orders[order_id], 0), MATCH("employee_id", northwind_orders[#Headers], 0))</f>
        <v>1</v>
      </c>
      <c r="H1383">
        <f>northwind_order_details[[#This Row],[unit_price]]*northwind_order_details[[#This Row],[quantity]]</f>
        <v>187.5</v>
      </c>
      <c r="I1383" s="1">
        <f>northwind_order_details[[#This Row],[purchase amount]]*northwind_order_details[[#This Row],[discount]]</f>
        <v>0</v>
      </c>
      <c r="J1383" s="1">
        <f>northwind_order_details[[#This Row],[purchase amount]]-northwind_order_details[[#This Row],[discount amount]]</f>
        <v>187.5</v>
      </c>
      <c r="K1383" s="6" t="str">
        <f>IF(northwind_order_details[[#This Row],[discount amount]]&gt;0,"Yes","No")</f>
        <v>No</v>
      </c>
      <c r="L1383" s="1" t="str">
        <f>IF(northwind_order_details[[#This Row],[Revenue]]&gt;1000,"High",IF(northwind_order_details[[#This Row],[Revenue]]&gt;300,"Medium","Low"))</f>
        <v>Low</v>
      </c>
      <c r="M13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4" spans="1:13" x14ac:dyDescent="0.25">
      <c r="A1384">
        <v>10793</v>
      </c>
      <c r="B1384">
        <v>41</v>
      </c>
      <c r="C1384" s="6">
        <v>9.65</v>
      </c>
      <c r="D1384">
        <v>14</v>
      </c>
      <c r="E1384" s="6" t="s">
        <v>6</v>
      </c>
      <c r="F1384" t="str">
        <f>_xlfn.XLOOKUP(northwind_order_details[[#This Row],[order_id]],northwind_orders[order_id],northwind_orders[ship_country])</f>
        <v>UK</v>
      </c>
      <c r="G1384">
        <f>INDEX(northwind_orders[],MATCH(northwind_order_details[[#This Row],[order_id]], northwind_orders[order_id], 0), MATCH("employee_id", northwind_orders[#Headers], 0))</f>
        <v>3</v>
      </c>
      <c r="H1384">
        <f>northwind_order_details[[#This Row],[unit_price]]*northwind_order_details[[#This Row],[quantity]]</f>
        <v>135.1</v>
      </c>
      <c r="I1384" s="1">
        <f>northwind_order_details[[#This Row],[purchase amount]]*northwind_order_details[[#This Row],[discount]]</f>
        <v>0</v>
      </c>
      <c r="J1384" s="1">
        <f>northwind_order_details[[#This Row],[purchase amount]]-northwind_order_details[[#This Row],[discount amount]]</f>
        <v>135.1</v>
      </c>
      <c r="K1384" s="6" t="str">
        <f>IF(northwind_order_details[[#This Row],[discount amount]]&gt;0,"Yes","No")</f>
        <v>No</v>
      </c>
      <c r="L1384" s="1" t="str">
        <f>IF(northwind_order_details[[#This Row],[Revenue]]&gt;1000,"High",IF(northwind_order_details[[#This Row],[Revenue]]&gt;300,"Medium","Low"))</f>
        <v>Low</v>
      </c>
      <c r="M13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5" spans="1:13" x14ac:dyDescent="0.25">
      <c r="A1385">
        <v>10793</v>
      </c>
      <c r="B1385">
        <v>52</v>
      </c>
      <c r="C1385" s="6" t="s">
        <v>32</v>
      </c>
      <c r="D1385">
        <v>8</v>
      </c>
      <c r="E1385" s="6" t="s">
        <v>6</v>
      </c>
      <c r="F1385" t="str">
        <f>_xlfn.XLOOKUP(northwind_order_details[[#This Row],[order_id]],northwind_orders[order_id],northwind_orders[ship_country])</f>
        <v>UK</v>
      </c>
      <c r="G1385">
        <f>INDEX(northwind_orders[],MATCH(northwind_order_details[[#This Row],[order_id]], northwind_orders[order_id], 0), MATCH("employee_id", northwind_orders[#Headers], 0))</f>
        <v>3</v>
      </c>
      <c r="H1385">
        <f>northwind_order_details[[#This Row],[unit_price]]*northwind_order_details[[#This Row],[quantity]]</f>
        <v>56</v>
      </c>
      <c r="I1385" s="1">
        <f>northwind_order_details[[#This Row],[purchase amount]]*northwind_order_details[[#This Row],[discount]]</f>
        <v>0</v>
      </c>
      <c r="J1385" s="1">
        <f>northwind_order_details[[#This Row],[purchase amount]]-northwind_order_details[[#This Row],[discount amount]]</f>
        <v>56</v>
      </c>
      <c r="K1385" s="6" t="str">
        <f>IF(northwind_order_details[[#This Row],[discount amount]]&gt;0,"Yes","No")</f>
        <v>No</v>
      </c>
      <c r="L1385" s="1" t="str">
        <f>IF(northwind_order_details[[#This Row],[Revenue]]&gt;1000,"High",IF(northwind_order_details[[#This Row],[Revenue]]&gt;300,"Medium","Low"))</f>
        <v>Low</v>
      </c>
      <c r="M13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86" spans="1:13" x14ac:dyDescent="0.25">
      <c r="A1386">
        <v>10794</v>
      </c>
      <c r="B1386">
        <v>14</v>
      </c>
      <c r="C1386" s="6">
        <v>23.25</v>
      </c>
      <c r="D1386">
        <v>15</v>
      </c>
      <c r="E1386" s="6">
        <v>0.2</v>
      </c>
      <c r="F1386" t="str">
        <f>_xlfn.XLOOKUP(northwind_order_details[[#This Row],[order_id]],northwind_orders[order_id],northwind_orders[ship_country])</f>
        <v>Brazil</v>
      </c>
      <c r="G1386">
        <f>INDEX(northwind_orders[],MATCH(northwind_order_details[[#This Row],[order_id]], northwind_orders[order_id], 0), MATCH("employee_id", northwind_orders[#Headers], 0))</f>
        <v>6</v>
      </c>
      <c r="H1386">
        <f>northwind_order_details[[#This Row],[unit_price]]*northwind_order_details[[#This Row],[quantity]]</f>
        <v>348.75</v>
      </c>
      <c r="I1386" s="1">
        <f>northwind_order_details[[#This Row],[purchase amount]]*northwind_order_details[[#This Row],[discount]]</f>
        <v>69.75</v>
      </c>
      <c r="J1386" s="1">
        <f>northwind_order_details[[#This Row],[purchase amount]]-northwind_order_details[[#This Row],[discount amount]]</f>
        <v>279</v>
      </c>
      <c r="K1386" s="6" t="str">
        <f>IF(northwind_order_details[[#This Row],[discount amount]]&gt;0,"Yes","No")</f>
        <v>Yes</v>
      </c>
      <c r="L1386" s="1" t="str">
        <f>IF(northwind_order_details[[#This Row],[Revenue]]&gt;1000,"High",IF(northwind_order_details[[#This Row],[Revenue]]&gt;300,"Medium","Low"))</f>
        <v>Low</v>
      </c>
      <c r="M13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7" spans="1:13" x14ac:dyDescent="0.25">
      <c r="A1387">
        <v>10794</v>
      </c>
      <c r="B1387">
        <v>54</v>
      </c>
      <c r="C1387" s="6">
        <v>7.45</v>
      </c>
      <c r="D1387">
        <v>6</v>
      </c>
      <c r="E1387" s="6">
        <v>0.2</v>
      </c>
      <c r="F1387" t="str">
        <f>_xlfn.XLOOKUP(northwind_order_details[[#This Row],[order_id]],northwind_orders[order_id],northwind_orders[ship_country])</f>
        <v>Brazil</v>
      </c>
      <c r="G1387">
        <f>INDEX(northwind_orders[],MATCH(northwind_order_details[[#This Row],[order_id]], northwind_orders[order_id], 0), MATCH("employee_id", northwind_orders[#Headers], 0))</f>
        <v>6</v>
      </c>
      <c r="H1387">
        <f>northwind_order_details[[#This Row],[unit_price]]*northwind_order_details[[#This Row],[quantity]]</f>
        <v>44.7</v>
      </c>
      <c r="I1387" s="1">
        <f>northwind_order_details[[#This Row],[purchase amount]]*northwind_order_details[[#This Row],[discount]]</f>
        <v>8.9400000000000013</v>
      </c>
      <c r="J1387" s="1">
        <f>northwind_order_details[[#This Row],[purchase amount]]-northwind_order_details[[#This Row],[discount amount]]</f>
        <v>35.760000000000005</v>
      </c>
      <c r="K1387" s="6" t="str">
        <f>IF(northwind_order_details[[#This Row],[discount amount]]&gt;0,"Yes","No")</f>
        <v>Yes</v>
      </c>
      <c r="L1387" s="1" t="str">
        <f>IF(northwind_order_details[[#This Row],[Revenue]]&gt;1000,"High",IF(northwind_order_details[[#This Row],[Revenue]]&gt;300,"Medium","Low"))</f>
        <v>Low</v>
      </c>
      <c r="M138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8" spans="1:13" x14ac:dyDescent="0.25">
      <c r="A1388">
        <v>10795</v>
      </c>
      <c r="B1388">
        <v>16</v>
      </c>
      <c r="C1388" s="6">
        <v>17.45</v>
      </c>
      <c r="D1388">
        <v>65</v>
      </c>
      <c r="E1388" s="6" t="s">
        <v>6</v>
      </c>
      <c r="F1388" t="str">
        <f>_xlfn.XLOOKUP(northwind_order_details[[#This Row],[order_id]],northwind_orders[order_id],northwind_orders[ship_country])</f>
        <v>Austria</v>
      </c>
      <c r="G1388">
        <f>INDEX(northwind_orders[],MATCH(northwind_order_details[[#This Row],[order_id]], northwind_orders[order_id], 0), MATCH("employee_id", northwind_orders[#Headers], 0))</f>
        <v>8</v>
      </c>
      <c r="H1388">
        <f>northwind_order_details[[#This Row],[unit_price]]*northwind_order_details[[#This Row],[quantity]]</f>
        <v>1134.25</v>
      </c>
      <c r="I1388" s="1">
        <f>northwind_order_details[[#This Row],[purchase amount]]*northwind_order_details[[#This Row],[discount]]</f>
        <v>0</v>
      </c>
      <c r="J1388" s="1">
        <f>northwind_order_details[[#This Row],[purchase amount]]-northwind_order_details[[#This Row],[discount amount]]</f>
        <v>1134.25</v>
      </c>
      <c r="K1388" s="6" t="str">
        <f>IF(northwind_order_details[[#This Row],[discount amount]]&gt;0,"Yes","No")</f>
        <v>No</v>
      </c>
      <c r="L1388" s="1" t="str">
        <f>IF(northwind_order_details[[#This Row],[Revenue]]&gt;1000,"High",IF(northwind_order_details[[#This Row],[Revenue]]&gt;300,"Medium","Low"))</f>
        <v>High</v>
      </c>
      <c r="M13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89" spans="1:13" x14ac:dyDescent="0.25">
      <c r="A1389">
        <v>10795</v>
      </c>
      <c r="B1389">
        <v>17</v>
      </c>
      <c r="C1389" s="6" t="s">
        <v>35</v>
      </c>
      <c r="D1389">
        <v>35</v>
      </c>
      <c r="E1389" s="6">
        <v>0.25</v>
      </c>
      <c r="F1389" t="str">
        <f>_xlfn.XLOOKUP(northwind_order_details[[#This Row],[order_id]],northwind_orders[order_id],northwind_orders[ship_country])</f>
        <v>Austria</v>
      </c>
      <c r="G1389">
        <f>INDEX(northwind_orders[],MATCH(northwind_order_details[[#This Row],[order_id]], northwind_orders[order_id], 0), MATCH("employee_id", northwind_orders[#Headers], 0))</f>
        <v>8</v>
      </c>
      <c r="H1389">
        <f>northwind_order_details[[#This Row],[unit_price]]*northwind_order_details[[#This Row],[quantity]]</f>
        <v>1365</v>
      </c>
      <c r="I1389" s="1">
        <f>northwind_order_details[[#This Row],[purchase amount]]*northwind_order_details[[#This Row],[discount]]</f>
        <v>341.25</v>
      </c>
      <c r="J1389" s="1">
        <f>northwind_order_details[[#This Row],[purchase amount]]-northwind_order_details[[#This Row],[discount amount]]</f>
        <v>1023.75</v>
      </c>
      <c r="K1389" s="6" t="str">
        <f>IF(northwind_order_details[[#This Row],[discount amount]]&gt;0,"Yes","No")</f>
        <v>Yes</v>
      </c>
      <c r="L1389" s="1" t="str">
        <f>IF(northwind_order_details[[#This Row],[Revenue]]&gt;1000,"High",IF(northwind_order_details[[#This Row],[Revenue]]&gt;300,"Medium","Low"))</f>
        <v>High</v>
      </c>
      <c r="M13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90" spans="1:13" x14ac:dyDescent="0.25">
      <c r="A1390">
        <v>10796</v>
      </c>
      <c r="B1390">
        <v>26</v>
      </c>
      <c r="C1390" s="6">
        <v>31.23</v>
      </c>
      <c r="D1390">
        <v>21</v>
      </c>
      <c r="E1390" s="6">
        <v>0.2</v>
      </c>
      <c r="F1390" t="str">
        <f>_xlfn.XLOOKUP(northwind_order_details[[#This Row],[order_id]],northwind_orders[order_id],northwind_orders[ship_country])</f>
        <v>Venezuela</v>
      </c>
      <c r="G1390">
        <f>INDEX(northwind_orders[],MATCH(northwind_order_details[[#This Row],[order_id]], northwind_orders[order_id], 0), MATCH("employee_id", northwind_orders[#Headers], 0))</f>
        <v>3</v>
      </c>
      <c r="H1390">
        <f>northwind_order_details[[#This Row],[unit_price]]*northwind_order_details[[#This Row],[quantity]]</f>
        <v>655.83</v>
      </c>
      <c r="I1390" s="1">
        <f>northwind_order_details[[#This Row],[purchase amount]]*northwind_order_details[[#This Row],[discount]]</f>
        <v>131.16600000000003</v>
      </c>
      <c r="J1390" s="1">
        <f>northwind_order_details[[#This Row],[purchase amount]]-northwind_order_details[[#This Row],[discount amount]]</f>
        <v>524.66399999999999</v>
      </c>
      <c r="K1390" s="6" t="str">
        <f>IF(northwind_order_details[[#This Row],[discount amount]]&gt;0,"Yes","No")</f>
        <v>Yes</v>
      </c>
      <c r="L1390" s="1" t="str">
        <f>IF(northwind_order_details[[#This Row],[Revenue]]&gt;1000,"High",IF(northwind_order_details[[#This Row],[Revenue]]&gt;300,"Medium","Low"))</f>
        <v>Medium</v>
      </c>
      <c r="M13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91" spans="1:13" x14ac:dyDescent="0.25">
      <c r="A1391">
        <v>10796</v>
      </c>
      <c r="B1391">
        <v>44</v>
      </c>
      <c r="C1391" s="6">
        <v>19.45</v>
      </c>
      <c r="D1391">
        <v>10</v>
      </c>
      <c r="E1391" s="6" t="s">
        <v>6</v>
      </c>
      <c r="F1391" t="str">
        <f>_xlfn.XLOOKUP(northwind_order_details[[#This Row],[order_id]],northwind_orders[order_id],northwind_orders[ship_country])</f>
        <v>Venezuela</v>
      </c>
      <c r="G1391">
        <f>INDEX(northwind_orders[],MATCH(northwind_order_details[[#This Row],[order_id]], northwind_orders[order_id], 0), MATCH("employee_id", northwind_orders[#Headers], 0))</f>
        <v>3</v>
      </c>
      <c r="H1391">
        <f>northwind_order_details[[#This Row],[unit_price]]*northwind_order_details[[#This Row],[quantity]]</f>
        <v>194.5</v>
      </c>
      <c r="I1391" s="1">
        <f>northwind_order_details[[#This Row],[purchase amount]]*northwind_order_details[[#This Row],[discount]]</f>
        <v>0</v>
      </c>
      <c r="J1391" s="1">
        <f>northwind_order_details[[#This Row],[purchase amount]]-northwind_order_details[[#This Row],[discount amount]]</f>
        <v>194.5</v>
      </c>
      <c r="K1391" s="6" t="str">
        <f>IF(northwind_order_details[[#This Row],[discount amount]]&gt;0,"Yes","No")</f>
        <v>No</v>
      </c>
      <c r="L1391" s="1" t="str">
        <f>IF(northwind_order_details[[#This Row],[Revenue]]&gt;1000,"High",IF(northwind_order_details[[#This Row],[Revenue]]&gt;300,"Medium","Low"))</f>
        <v>Low</v>
      </c>
      <c r="M13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92" spans="1:13" x14ac:dyDescent="0.25">
      <c r="A1392">
        <v>10796</v>
      </c>
      <c r="B1392">
        <v>64</v>
      </c>
      <c r="C1392" s="6">
        <v>33.25</v>
      </c>
      <c r="D1392">
        <v>35</v>
      </c>
      <c r="E1392" s="6">
        <v>0.2</v>
      </c>
      <c r="F1392" t="str">
        <f>_xlfn.XLOOKUP(northwind_order_details[[#This Row],[order_id]],northwind_orders[order_id],northwind_orders[ship_country])</f>
        <v>Venezuela</v>
      </c>
      <c r="G1392">
        <f>INDEX(northwind_orders[],MATCH(northwind_order_details[[#This Row],[order_id]], northwind_orders[order_id], 0), MATCH("employee_id", northwind_orders[#Headers], 0))</f>
        <v>3</v>
      </c>
      <c r="H1392">
        <f>northwind_order_details[[#This Row],[unit_price]]*northwind_order_details[[#This Row],[quantity]]</f>
        <v>1163.75</v>
      </c>
      <c r="I1392" s="1">
        <f>northwind_order_details[[#This Row],[purchase amount]]*northwind_order_details[[#This Row],[discount]]</f>
        <v>232.75</v>
      </c>
      <c r="J1392" s="1">
        <f>northwind_order_details[[#This Row],[purchase amount]]-northwind_order_details[[#This Row],[discount amount]]</f>
        <v>931</v>
      </c>
      <c r="K1392" s="6" t="str">
        <f>IF(northwind_order_details[[#This Row],[discount amount]]&gt;0,"Yes","No")</f>
        <v>Yes</v>
      </c>
      <c r="L1392" s="1" t="str">
        <f>IF(northwind_order_details[[#This Row],[Revenue]]&gt;1000,"High",IF(northwind_order_details[[#This Row],[Revenue]]&gt;300,"Medium","Low"))</f>
        <v>Medium</v>
      </c>
      <c r="M139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93" spans="1:13" x14ac:dyDescent="0.25">
      <c r="A1393">
        <v>10796</v>
      </c>
      <c r="B1393">
        <v>69</v>
      </c>
      <c r="C1393" s="6" t="s">
        <v>38</v>
      </c>
      <c r="D1393">
        <v>24</v>
      </c>
      <c r="E1393" s="6">
        <v>0.2</v>
      </c>
      <c r="F1393" t="str">
        <f>_xlfn.XLOOKUP(northwind_order_details[[#This Row],[order_id]],northwind_orders[order_id],northwind_orders[ship_country])</f>
        <v>Venezuela</v>
      </c>
      <c r="G1393">
        <f>INDEX(northwind_orders[],MATCH(northwind_order_details[[#This Row],[order_id]], northwind_orders[order_id], 0), MATCH("employee_id", northwind_orders[#Headers], 0))</f>
        <v>3</v>
      </c>
      <c r="H1393">
        <f>northwind_order_details[[#This Row],[unit_price]]*northwind_order_details[[#This Row],[quantity]]</f>
        <v>864</v>
      </c>
      <c r="I1393" s="1">
        <f>northwind_order_details[[#This Row],[purchase amount]]*northwind_order_details[[#This Row],[discount]]</f>
        <v>172.8</v>
      </c>
      <c r="J1393" s="1">
        <f>northwind_order_details[[#This Row],[purchase amount]]-northwind_order_details[[#This Row],[discount amount]]</f>
        <v>691.2</v>
      </c>
      <c r="K1393" s="6" t="str">
        <f>IF(northwind_order_details[[#This Row],[discount amount]]&gt;0,"Yes","No")</f>
        <v>Yes</v>
      </c>
      <c r="L1393" s="1" t="str">
        <f>IF(northwind_order_details[[#This Row],[Revenue]]&gt;1000,"High",IF(northwind_order_details[[#This Row],[Revenue]]&gt;300,"Medium","Low"))</f>
        <v>Medium</v>
      </c>
      <c r="M13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94" spans="1:13" x14ac:dyDescent="0.25">
      <c r="A1394">
        <v>10797</v>
      </c>
      <c r="B1394">
        <v>11</v>
      </c>
      <c r="C1394" s="6" t="s">
        <v>37</v>
      </c>
      <c r="D1394">
        <v>20</v>
      </c>
      <c r="E1394" s="6" t="s">
        <v>6</v>
      </c>
      <c r="F1394" t="str">
        <f>_xlfn.XLOOKUP(northwind_order_details[[#This Row],[order_id]],northwind_orders[order_id],northwind_orders[ship_country])</f>
        <v>Germany</v>
      </c>
      <c r="G1394">
        <f>INDEX(northwind_orders[],MATCH(northwind_order_details[[#This Row],[order_id]], northwind_orders[order_id], 0), MATCH("employee_id", northwind_orders[#Headers], 0))</f>
        <v>7</v>
      </c>
      <c r="H1394">
        <f>northwind_order_details[[#This Row],[unit_price]]*northwind_order_details[[#This Row],[quantity]]</f>
        <v>420</v>
      </c>
      <c r="I1394" s="1">
        <f>northwind_order_details[[#This Row],[purchase amount]]*northwind_order_details[[#This Row],[discount]]</f>
        <v>0</v>
      </c>
      <c r="J1394" s="1">
        <f>northwind_order_details[[#This Row],[purchase amount]]-northwind_order_details[[#This Row],[discount amount]]</f>
        <v>420</v>
      </c>
      <c r="K1394" s="6" t="str">
        <f>IF(northwind_order_details[[#This Row],[discount amount]]&gt;0,"Yes","No")</f>
        <v>No</v>
      </c>
      <c r="L1394" s="1" t="str">
        <f>IF(northwind_order_details[[#This Row],[Revenue]]&gt;1000,"High",IF(northwind_order_details[[#This Row],[Revenue]]&gt;300,"Medium","Low"))</f>
        <v>Medium</v>
      </c>
      <c r="M13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95" spans="1:13" x14ac:dyDescent="0.25">
      <c r="A1395">
        <v>10798</v>
      </c>
      <c r="B1395">
        <v>62</v>
      </c>
      <c r="C1395" s="6">
        <v>49.3</v>
      </c>
      <c r="D1395">
        <v>2</v>
      </c>
      <c r="E1395" s="6" t="s">
        <v>6</v>
      </c>
      <c r="F1395" t="str">
        <f>_xlfn.XLOOKUP(northwind_order_details[[#This Row],[order_id]],northwind_orders[order_id],northwind_orders[ship_country])</f>
        <v>UK</v>
      </c>
      <c r="G1395">
        <f>INDEX(northwind_orders[],MATCH(northwind_order_details[[#This Row],[order_id]], northwind_orders[order_id], 0), MATCH("employee_id", northwind_orders[#Headers], 0))</f>
        <v>2</v>
      </c>
      <c r="H1395">
        <f>northwind_order_details[[#This Row],[unit_price]]*northwind_order_details[[#This Row],[quantity]]</f>
        <v>98.6</v>
      </c>
      <c r="I1395" s="1">
        <f>northwind_order_details[[#This Row],[purchase amount]]*northwind_order_details[[#This Row],[discount]]</f>
        <v>0</v>
      </c>
      <c r="J1395" s="1">
        <f>northwind_order_details[[#This Row],[purchase amount]]-northwind_order_details[[#This Row],[discount amount]]</f>
        <v>98.6</v>
      </c>
      <c r="K1395" s="6" t="str">
        <f>IF(northwind_order_details[[#This Row],[discount amount]]&gt;0,"Yes","No")</f>
        <v>No</v>
      </c>
      <c r="L1395" s="1" t="str">
        <f>IF(northwind_order_details[[#This Row],[Revenue]]&gt;1000,"High",IF(northwind_order_details[[#This Row],[Revenue]]&gt;300,"Medium","Low"))</f>
        <v>Low</v>
      </c>
      <c r="M13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96" spans="1:13" x14ac:dyDescent="0.25">
      <c r="A1396">
        <v>10798</v>
      </c>
      <c r="B1396">
        <v>72</v>
      </c>
      <c r="C1396" s="6">
        <v>34.799999999999997</v>
      </c>
      <c r="D1396">
        <v>10</v>
      </c>
      <c r="E1396" s="6" t="s">
        <v>6</v>
      </c>
      <c r="F1396" t="str">
        <f>_xlfn.XLOOKUP(northwind_order_details[[#This Row],[order_id]],northwind_orders[order_id],northwind_orders[ship_country])</f>
        <v>UK</v>
      </c>
      <c r="G1396">
        <f>INDEX(northwind_orders[],MATCH(northwind_order_details[[#This Row],[order_id]], northwind_orders[order_id], 0), MATCH("employee_id", northwind_orders[#Headers], 0))</f>
        <v>2</v>
      </c>
      <c r="H1396">
        <f>northwind_order_details[[#This Row],[unit_price]]*northwind_order_details[[#This Row],[quantity]]</f>
        <v>348</v>
      </c>
      <c r="I1396" s="1">
        <f>northwind_order_details[[#This Row],[purchase amount]]*northwind_order_details[[#This Row],[discount]]</f>
        <v>0</v>
      </c>
      <c r="J1396" s="1">
        <f>northwind_order_details[[#This Row],[purchase amount]]-northwind_order_details[[#This Row],[discount amount]]</f>
        <v>348</v>
      </c>
      <c r="K1396" s="6" t="str">
        <f>IF(northwind_order_details[[#This Row],[discount amount]]&gt;0,"Yes","No")</f>
        <v>No</v>
      </c>
      <c r="L1396" s="1" t="str">
        <f>IF(northwind_order_details[[#This Row],[Revenue]]&gt;1000,"High",IF(northwind_order_details[[#This Row],[Revenue]]&gt;300,"Medium","Low"))</f>
        <v>Medium</v>
      </c>
      <c r="M139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97" spans="1:13" x14ac:dyDescent="0.25">
      <c r="A1397">
        <v>10799</v>
      </c>
      <c r="B1397">
        <v>13</v>
      </c>
      <c r="C1397" s="6" t="s">
        <v>23</v>
      </c>
      <c r="D1397">
        <v>20</v>
      </c>
      <c r="E1397" s="6">
        <v>0.15</v>
      </c>
      <c r="F1397" t="str">
        <f>_xlfn.XLOOKUP(northwind_order_details[[#This Row],[order_id]],northwind_orders[order_id],northwind_orders[ship_country])</f>
        <v>Germany</v>
      </c>
      <c r="G1397">
        <f>INDEX(northwind_orders[],MATCH(northwind_order_details[[#This Row],[order_id]], northwind_orders[order_id], 0), MATCH("employee_id", northwind_orders[#Headers], 0))</f>
        <v>9</v>
      </c>
      <c r="H1397">
        <f>northwind_order_details[[#This Row],[unit_price]]*northwind_order_details[[#This Row],[quantity]]</f>
        <v>120</v>
      </c>
      <c r="I1397" s="1">
        <f>northwind_order_details[[#This Row],[purchase amount]]*northwind_order_details[[#This Row],[discount]]</f>
        <v>18</v>
      </c>
      <c r="J1397" s="1">
        <f>northwind_order_details[[#This Row],[purchase amount]]-northwind_order_details[[#This Row],[discount amount]]</f>
        <v>102</v>
      </c>
      <c r="K1397" s="6" t="str">
        <f>IF(northwind_order_details[[#This Row],[discount amount]]&gt;0,"Yes","No")</f>
        <v>Yes</v>
      </c>
      <c r="L1397" s="1" t="str">
        <f>IF(northwind_order_details[[#This Row],[Revenue]]&gt;1000,"High",IF(northwind_order_details[[#This Row],[Revenue]]&gt;300,"Medium","Low"))</f>
        <v>Low</v>
      </c>
      <c r="M13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398" spans="1:13" x14ac:dyDescent="0.25">
      <c r="A1398">
        <v>10799</v>
      </c>
      <c r="B1398">
        <v>24</v>
      </c>
      <c r="C1398" s="6">
        <v>4.5</v>
      </c>
      <c r="D1398">
        <v>20</v>
      </c>
      <c r="E1398" s="6">
        <v>0.15</v>
      </c>
      <c r="F1398" t="str">
        <f>_xlfn.XLOOKUP(northwind_order_details[[#This Row],[order_id]],northwind_orders[order_id],northwind_orders[ship_country])</f>
        <v>Germany</v>
      </c>
      <c r="G1398">
        <f>INDEX(northwind_orders[],MATCH(northwind_order_details[[#This Row],[order_id]], northwind_orders[order_id], 0), MATCH("employee_id", northwind_orders[#Headers], 0))</f>
        <v>9</v>
      </c>
      <c r="H1398">
        <f>northwind_order_details[[#This Row],[unit_price]]*northwind_order_details[[#This Row],[quantity]]</f>
        <v>90</v>
      </c>
      <c r="I1398" s="1">
        <f>northwind_order_details[[#This Row],[purchase amount]]*northwind_order_details[[#This Row],[discount]]</f>
        <v>13.5</v>
      </c>
      <c r="J1398" s="1">
        <f>northwind_order_details[[#This Row],[purchase amount]]-northwind_order_details[[#This Row],[discount amount]]</f>
        <v>76.5</v>
      </c>
      <c r="K1398" s="6" t="str">
        <f>IF(northwind_order_details[[#This Row],[discount amount]]&gt;0,"Yes","No")</f>
        <v>Yes</v>
      </c>
      <c r="L1398" s="1" t="str">
        <f>IF(northwind_order_details[[#This Row],[Revenue]]&gt;1000,"High",IF(northwind_order_details[[#This Row],[Revenue]]&gt;300,"Medium","Low"))</f>
        <v>Low</v>
      </c>
      <c r="M13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399" spans="1:13" x14ac:dyDescent="0.25">
      <c r="A1399">
        <v>10799</v>
      </c>
      <c r="B1399">
        <v>59</v>
      </c>
      <c r="C1399" s="6" t="s">
        <v>33</v>
      </c>
      <c r="D1399">
        <v>25</v>
      </c>
      <c r="E1399" s="6" t="s">
        <v>6</v>
      </c>
      <c r="F1399" t="str">
        <f>_xlfn.XLOOKUP(northwind_order_details[[#This Row],[order_id]],northwind_orders[order_id],northwind_orders[ship_country])</f>
        <v>Germany</v>
      </c>
      <c r="G1399">
        <f>INDEX(northwind_orders[],MATCH(northwind_order_details[[#This Row],[order_id]], northwind_orders[order_id], 0), MATCH("employee_id", northwind_orders[#Headers], 0))</f>
        <v>9</v>
      </c>
      <c r="H1399">
        <f>northwind_order_details[[#This Row],[unit_price]]*northwind_order_details[[#This Row],[quantity]]</f>
        <v>1375</v>
      </c>
      <c r="I1399" s="1">
        <f>northwind_order_details[[#This Row],[purchase amount]]*northwind_order_details[[#This Row],[discount]]</f>
        <v>0</v>
      </c>
      <c r="J1399" s="1">
        <f>northwind_order_details[[#This Row],[purchase amount]]-northwind_order_details[[#This Row],[discount amount]]</f>
        <v>1375</v>
      </c>
      <c r="K1399" s="6" t="str">
        <f>IF(northwind_order_details[[#This Row],[discount amount]]&gt;0,"Yes","No")</f>
        <v>No</v>
      </c>
      <c r="L1399" s="1" t="str">
        <f>IF(northwind_order_details[[#This Row],[Revenue]]&gt;1000,"High",IF(northwind_order_details[[#This Row],[Revenue]]&gt;300,"Medium","Low"))</f>
        <v>High</v>
      </c>
      <c r="M13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0" spans="1:13" x14ac:dyDescent="0.25">
      <c r="A1400">
        <v>10800</v>
      </c>
      <c r="B1400">
        <v>11</v>
      </c>
      <c r="C1400" s="6" t="s">
        <v>37</v>
      </c>
      <c r="D1400">
        <v>50</v>
      </c>
      <c r="E1400" s="6">
        <v>0.1</v>
      </c>
      <c r="F1400" t="str">
        <f>_xlfn.XLOOKUP(northwind_order_details[[#This Row],[order_id]],northwind_orders[order_id],northwind_orders[ship_country])</f>
        <v>UK</v>
      </c>
      <c r="G1400">
        <f>INDEX(northwind_orders[],MATCH(northwind_order_details[[#This Row],[order_id]], northwind_orders[order_id], 0), MATCH("employee_id", northwind_orders[#Headers], 0))</f>
        <v>1</v>
      </c>
      <c r="H1400">
        <f>northwind_order_details[[#This Row],[unit_price]]*northwind_order_details[[#This Row],[quantity]]</f>
        <v>1050</v>
      </c>
      <c r="I1400" s="1">
        <f>northwind_order_details[[#This Row],[purchase amount]]*northwind_order_details[[#This Row],[discount]]</f>
        <v>105</v>
      </c>
      <c r="J1400" s="1">
        <f>northwind_order_details[[#This Row],[purchase amount]]-northwind_order_details[[#This Row],[discount amount]]</f>
        <v>945</v>
      </c>
      <c r="K1400" s="6" t="str">
        <f>IF(northwind_order_details[[#This Row],[discount amount]]&gt;0,"Yes","No")</f>
        <v>Yes</v>
      </c>
      <c r="L1400" s="1" t="str">
        <f>IF(northwind_order_details[[#This Row],[Revenue]]&gt;1000,"High",IF(northwind_order_details[[#This Row],[Revenue]]&gt;300,"Medium","Low"))</f>
        <v>Medium</v>
      </c>
      <c r="M14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1" spans="1:13" x14ac:dyDescent="0.25">
      <c r="A1401">
        <v>10800</v>
      </c>
      <c r="B1401">
        <v>51</v>
      </c>
      <c r="C1401" s="6" t="s">
        <v>39</v>
      </c>
      <c r="D1401">
        <v>10</v>
      </c>
      <c r="E1401" s="6">
        <v>0.1</v>
      </c>
      <c r="F1401" t="str">
        <f>_xlfn.XLOOKUP(northwind_order_details[[#This Row],[order_id]],northwind_orders[order_id],northwind_orders[ship_country])</f>
        <v>UK</v>
      </c>
      <c r="G1401">
        <f>INDEX(northwind_orders[],MATCH(northwind_order_details[[#This Row],[order_id]], northwind_orders[order_id], 0), MATCH("employee_id", northwind_orders[#Headers], 0))</f>
        <v>1</v>
      </c>
      <c r="H1401">
        <f>northwind_order_details[[#This Row],[unit_price]]*northwind_order_details[[#This Row],[quantity]]</f>
        <v>530</v>
      </c>
      <c r="I1401" s="1">
        <f>northwind_order_details[[#This Row],[purchase amount]]*northwind_order_details[[#This Row],[discount]]</f>
        <v>53</v>
      </c>
      <c r="J1401" s="1">
        <f>northwind_order_details[[#This Row],[purchase amount]]-northwind_order_details[[#This Row],[discount amount]]</f>
        <v>477</v>
      </c>
      <c r="K1401" s="6" t="str">
        <f>IF(northwind_order_details[[#This Row],[discount amount]]&gt;0,"Yes","No")</f>
        <v>Yes</v>
      </c>
      <c r="L1401" s="1" t="str">
        <f>IF(northwind_order_details[[#This Row],[Revenue]]&gt;1000,"High",IF(northwind_order_details[[#This Row],[Revenue]]&gt;300,"Medium","Low"))</f>
        <v>Medium</v>
      </c>
      <c r="M14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2" spans="1:13" x14ac:dyDescent="0.25">
      <c r="A1402">
        <v>10800</v>
      </c>
      <c r="B1402">
        <v>54</v>
      </c>
      <c r="C1402" s="6">
        <v>7.45</v>
      </c>
      <c r="D1402">
        <v>7</v>
      </c>
      <c r="E1402" s="6">
        <v>0.1</v>
      </c>
      <c r="F1402" t="str">
        <f>_xlfn.XLOOKUP(northwind_order_details[[#This Row],[order_id]],northwind_orders[order_id],northwind_orders[ship_country])</f>
        <v>UK</v>
      </c>
      <c r="G1402">
        <f>INDEX(northwind_orders[],MATCH(northwind_order_details[[#This Row],[order_id]], northwind_orders[order_id], 0), MATCH("employee_id", northwind_orders[#Headers], 0))</f>
        <v>1</v>
      </c>
      <c r="H1402">
        <f>northwind_order_details[[#This Row],[unit_price]]*northwind_order_details[[#This Row],[quantity]]</f>
        <v>52.15</v>
      </c>
      <c r="I1402" s="1">
        <f>northwind_order_details[[#This Row],[purchase amount]]*northwind_order_details[[#This Row],[discount]]</f>
        <v>5.2149999999999999</v>
      </c>
      <c r="J1402" s="1">
        <f>northwind_order_details[[#This Row],[purchase amount]]-northwind_order_details[[#This Row],[discount amount]]</f>
        <v>46.935000000000002</v>
      </c>
      <c r="K1402" s="6" t="str">
        <f>IF(northwind_order_details[[#This Row],[discount amount]]&gt;0,"Yes","No")</f>
        <v>Yes</v>
      </c>
      <c r="L1402" s="1" t="str">
        <f>IF(northwind_order_details[[#This Row],[Revenue]]&gt;1000,"High",IF(northwind_order_details[[#This Row],[Revenue]]&gt;300,"Medium","Low"))</f>
        <v>Low</v>
      </c>
      <c r="M14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03" spans="1:13" x14ac:dyDescent="0.25">
      <c r="A1403">
        <v>10801</v>
      </c>
      <c r="B1403">
        <v>17</v>
      </c>
      <c r="C1403" s="6" t="s">
        <v>35</v>
      </c>
      <c r="D1403">
        <v>40</v>
      </c>
      <c r="E1403" s="6">
        <v>0.25</v>
      </c>
      <c r="F1403" t="str">
        <f>_xlfn.XLOOKUP(northwind_order_details[[#This Row],[order_id]],northwind_orders[order_id],northwind_orders[ship_country])</f>
        <v>Spain</v>
      </c>
      <c r="G1403">
        <f>INDEX(northwind_orders[],MATCH(northwind_order_details[[#This Row],[order_id]], northwind_orders[order_id], 0), MATCH("employee_id", northwind_orders[#Headers], 0))</f>
        <v>4</v>
      </c>
      <c r="H1403">
        <f>northwind_order_details[[#This Row],[unit_price]]*northwind_order_details[[#This Row],[quantity]]</f>
        <v>1560</v>
      </c>
      <c r="I1403" s="1">
        <f>northwind_order_details[[#This Row],[purchase amount]]*northwind_order_details[[#This Row],[discount]]</f>
        <v>390</v>
      </c>
      <c r="J1403" s="1">
        <f>northwind_order_details[[#This Row],[purchase amount]]-northwind_order_details[[#This Row],[discount amount]]</f>
        <v>1170</v>
      </c>
      <c r="K1403" s="6" t="str">
        <f>IF(northwind_order_details[[#This Row],[discount amount]]&gt;0,"Yes","No")</f>
        <v>Yes</v>
      </c>
      <c r="L1403" s="1" t="str">
        <f>IF(northwind_order_details[[#This Row],[Revenue]]&gt;1000,"High",IF(northwind_order_details[[#This Row],[Revenue]]&gt;300,"Medium","Low"))</f>
        <v>High</v>
      </c>
      <c r="M14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4" spans="1:13" x14ac:dyDescent="0.25">
      <c r="A1404">
        <v>10801</v>
      </c>
      <c r="B1404">
        <v>29</v>
      </c>
      <c r="C1404" s="6">
        <v>123.79</v>
      </c>
      <c r="D1404">
        <v>20</v>
      </c>
      <c r="E1404" s="6">
        <v>0.25</v>
      </c>
      <c r="F1404" t="str">
        <f>_xlfn.XLOOKUP(northwind_order_details[[#This Row],[order_id]],northwind_orders[order_id],northwind_orders[ship_country])</f>
        <v>Spain</v>
      </c>
      <c r="G1404">
        <f>INDEX(northwind_orders[],MATCH(northwind_order_details[[#This Row],[order_id]], northwind_orders[order_id], 0), MATCH("employee_id", northwind_orders[#Headers], 0))</f>
        <v>4</v>
      </c>
      <c r="H1404">
        <f>northwind_order_details[[#This Row],[unit_price]]*northwind_order_details[[#This Row],[quantity]]</f>
        <v>2475.8000000000002</v>
      </c>
      <c r="I1404" s="1">
        <f>northwind_order_details[[#This Row],[purchase amount]]*northwind_order_details[[#This Row],[discount]]</f>
        <v>618.95000000000005</v>
      </c>
      <c r="J1404" s="1">
        <f>northwind_order_details[[#This Row],[purchase amount]]-northwind_order_details[[#This Row],[discount amount]]</f>
        <v>1856.8500000000001</v>
      </c>
      <c r="K1404" s="6" t="str">
        <f>IF(northwind_order_details[[#This Row],[discount amount]]&gt;0,"Yes","No")</f>
        <v>Yes</v>
      </c>
      <c r="L1404" s="1" t="str">
        <f>IF(northwind_order_details[[#This Row],[Revenue]]&gt;1000,"High",IF(northwind_order_details[[#This Row],[Revenue]]&gt;300,"Medium","Low"))</f>
        <v>High</v>
      </c>
      <c r="M14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05" spans="1:13" x14ac:dyDescent="0.25">
      <c r="A1405">
        <v>10802</v>
      </c>
      <c r="B1405">
        <v>30</v>
      </c>
      <c r="C1405" s="6">
        <v>25.89</v>
      </c>
      <c r="D1405">
        <v>25</v>
      </c>
      <c r="E1405" s="6">
        <v>0.25</v>
      </c>
      <c r="F1405" t="str">
        <f>_xlfn.XLOOKUP(northwind_order_details[[#This Row],[order_id]],northwind_orders[order_id],northwind_orders[ship_country])</f>
        <v>Denmark</v>
      </c>
      <c r="G1405">
        <f>INDEX(northwind_orders[],MATCH(northwind_order_details[[#This Row],[order_id]], northwind_orders[order_id], 0), MATCH("employee_id", northwind_orders[#Headers], 0))</f>
        <v>4</v>
      </c>
      <c r="H1405">
        <f>northwind_order_details[[#This Row],[unit_price]]*northwind_order_details[[#This Row],[quantity]]</f>
        <v>647.25</v>
      </c>
      <c r="I1405" s="1">
        <f>northwind_order_details[[#This Row],[purchase amount]]*northwind_order_details[[#This Row],[discount]]</f>
        <v>161.8125</v>
      </c>
      <c r="J1405" s="1">
        <f>northwind_order_details[[#This Row],[purchase amount]]-northwind_order_details[[#This Row],[discount amount]]</f>
        <v>485.4375</v>
      </c>
      <c r="K1405" s="6" t="str">
        <f>IF(northwind_order_details[[#This Row],[discount amount]]&gt;0,"Yes","No")</f>
        <v>Yes</v>
      </c>
      <c r="L1405" s="1" t="str">
        <f>IF(northwind_order_details[[#This Row],[Revenue]]&gt;1000,"High",IF(northwind_order_details[[#This Row],[Revenue]]&gt;300,"Medium","Low"))</f>
        <v>Medium</v>
      </c>
      <c r="M140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06" spans="1:13" x14ac:dyDescent="0.25">
      <c r="A1406">
        <v>10802</v>
      </c>
      <c r="B1406">
        <v>51</v>
      </c>
      <c r="C1406" s="6" t="s">
        <v>39</v>
      </c>
      <c r="D1406">
        <v>30</v>
      </c>
      <c r="E1406" s="6">
        <v>0.25</v>
      </c>
      <c r="F1406" t="str">
        <f>_xlfn.XLOOKUP(northwind_order_details[[#This Row],[order_id]],northwind_orders[order_id],northwind_orders[ship_country])</f>
        <v>Denmark</v>
      </c>
      <c r="G1406">
        <f>INDEX(northwind_orders[],MATCH(northwind_order_details[[#This Row],[order_id]], northwind_orders[order_id], 0), MATCH("employee_id", northwind_orders[#Headers], 0))</f>
        <v>4</v>
      </c>
      <c r="H1406">
        <f>northwind_order_details[[#This Row],[unit_price]]*northwind_order_details[[#This Row],[quantity]]</f>
        <v>1590</v>
      </c>
      <c r="I1406" s="1">
        <f>northwind_order_details[[#This Row],[purchase amount]]*northwind_order_details[[#This Row],[discount]]</f>
        <v>397.5</v>
      </c>
      <c r="J1406" s="1">
        <f>northwind_order_details[[#This Row],[purchase amount]]-northwind_order_details[[#This Row],[discount amount]]</f>
        <v>1192.5</v>
      </c>
      <c r="K1406" s="6" t="str">
        <f>IF(northwind_order_details[[#This Row],[discount amount]]&gt;0,"Yes","No")</f>
        <v>Yes</v>
      </c>
      <c r="L1406" s="1" t="str">
        <f>IF(northwind_order_details[[#This Row],[Revenue]]&gt;1000,"High",IF(northwind_order_details[[#This Row],[Revenue]]&gt;300,"Medium","Low"))</f>
        <v>High</v>
      </c>
      <c r="M14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7" spans="1:13" x14ac:dyDescent="0.25">
      <c r="A1407">
        <v>10802</v>
      </c>
      <c r="B1407">
        <v>55</v>
      </c>
      <c r="C1407" s="6" t="s">
        <v>14</v>
      </c>
      <c r="D1407">
        <v>60</v>
      </c>
      <c r="E1407" s="6">
        <v>0.25</v>
      </c>
      <c r="F1407" t="str">
        <f>_xlfn.XLOOKUP(northwind_order_details[[#This Row],[order_id]],northwind_orders[order_id],northwind_orders[ship_country])</f>
        <v>Denmark</v>
      </c>
      <c r="G1407">
        <f>INDEX(northwind_orders[],MATCH(northwind_order_details[[#This Row],[order_id]], northwind_orders[order_id], 0), MATCH("employee_id", northwind_orders[#Headers], 0))</f>
        <v>4</v>
      </c>
      <c r="H1407">
        <f>northwind_order_details[[#This Row],[unit_price]]*northwind_order_details[[#This Row],[quantity]]</f>
        <v>1440</v>
      </c>
      <c r="I1407" s="1">
        <f>northwind_order_details[[#This Row],[purchase amount]]*northwind_order_details[[#This Row],[discount]]</f>
        <v>360</v>
      </c>
      <c r="J1407" s="1">
        <f>northwind_order_details[[#This Row],[purchase amount]]-northwind_order_details[[#This Row],[discount amount]]</f>
        <v>1080</v>
      </c>
      <c r="K1407" s="6" t="str">
        <f>IF(northwind_order_details[[#This Row],[discount amount]]&gt;0,"Yes","No")</f>
        <v>Yes</v>
      </c>
      <c r="L1407" s="1" t="str">
        <f>IF(northwind_order_details[[#This Row],[Revenue]]&gt;1000,"High",IF(northwind_order_details[[#This Row],[Revenue]]&gt;300,"Medium","Low"))</f>
        <v>High</v>
      </c>
      <c r="M14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08" spans="1:13" x14ac:dyDescent="0.25">
      <c r="A1408">
        <v>10802</v>
      </c>
      <c r="B1408">
        <v>62</v>
      </c>
      <c r="C1408" s="6">
        <v>49.3</v>
      </c>
      <c r="D1408">
        <v>5</v>
      </c>
      <c r="E1408" s="6">
        <v>0.25</v>
      </c>
      <c r="F1408" t="str">
        <f>_xlfn.XLOOKUP(northwind_order_details[[#This Row],[order_id]],northwind_orders[order_id],northwind_orders[ship_country])</f>
        <v>Denmark</v>
      </c>
      <c r="G1408">
        <f>INDEX(northwind_orders[],MATCH(northwind_order_details[[#This Row],[order_id]], northwind_orders[order_id], 0), MATCH("employee_id", northwind_orders[#Headers], 0))</f>
        <v>4</v>
      </c>
      <c r="H1408">
        <f>northwind_order_details[[#This Row],[unit_price]]*northwind_order_details[[#This Row],[quantity]]</f>
        <v>246.5</v>
      </c>
      <c r="I1408" s="1">
        <f>northwind_order_details[[#This Row],[purchase amount]]*northwind_order_details[[#This Row],[discount]]</f>
        <v>61.625</v>
      </c>
      <c r="J1408" s="1">
        <f>northwind_order_details[[#This Row],[purchase amount]]-northwind_order_details[[#This Row],[discount amount]]</f>
        <v>184.875</v>
      </c>
      <c r="K1408" s="6" t="str">
        <f>IF(northwind_order_details[[#This Row],[discount amount]]&gt;0,"Yes","No")</f>
        <v>Yes</v>
      </c>
      <c r="L1408" s="1" t="str">
        <f>IF(northwind_order_details[[#This Row],[Revenue]]&gt;1000,"High",IF(northwind_order_details[[#This Row],[Revenue]]&gt;300,"Medium","Low"))</f>
        <v>Low</v>
      </c>
      <c r="M14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09" spans="1:13" x14ac:dyDescent="0.25">
      <c r="A1409">
        <v>10803</v>
      </c>
      <c r="B1409">
        <v>19</v>
      </c>
      <c r="C1409" s="6">
        <v>9.1999999999999993</v>
      </c>
      <c r="D1409">
        <v>24</v>
      </c>
      <c r="E1409" s="6">
        <v>0.05</v>
      </c>
      <c r="F1409" t="str">
        <f>_xlfn.XLOOKUP(northwind_order_details[[#This Row],[order_id]],northwind_orders[order_id],northwind_orders[ship_country])</f>
        <v>Brazil</v>
      </c>
      <c r="G1409">
        <f>INDEX(northwind_orders[],MATCH(northwind_order_details[[#This Row],[order_id]], northwind_orders[order_id], 0), MATCH("employee_id", northwind_orders[#Headers], 0))</f>
        <v>4</v>
      </c>
      <c r="H1409">
        <f>northwind_order_details[[#This Row],[unit_price]]*northwind_order_details[[#This Row],[quantity]]</f>
        <v>220.79999999999998</v>
      </c>
      <c r="I1409" s="1">
        <f>northwind_order_details[[#This Row],[purchase amount]]*northwind_order_details[[#This Row],[discount]]</f>
        <v>11.04</v>
      </c>
      <c r="J1409" s="1">
        <f>northwind_order_details[[#This Row],[purchase amount]]-northwind_order_details[[#This Row],[discount amount]]</f>
        <v>209.76</v>
      </c>
      <c r="K1409" s="6" t="str">
        <f>IF(northwind_order_details[[#This Row],[discount amount]]&gt;0,"Yes","No")</f>
        <v>Yes</v>
      </c>
      <c r="L1409" s="1" t="str">
        <f>IF(northwind_order_details[[#This Row],[Revenue]]&gt;1000,"High",IF(northwind_order_details[[#This Row],[Revenue]]&gt;300,"Medium","Low"))</f>
        <v>Low</v>
      </c>
      <c r="M140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10" spans="1:13" x14ac:dyDescent="0.25">
      <c r="A1410">
        <v>10803</v>
      </c>
      <c r="B1410">
        <v>25</v>
      </c>
      <c r="C1410" s="6" t="s">
        <v>5</v>
      </c>
      <c r="D1410">
        <v>15</v>
      </c>
      <c r="E1410" s="6">
        <v>0.05</v>
      </c>
      <c r="F1410" t="str">
        <f>_xlfn.XLOOKUP(northwind_order_details[[#This Row],[order_id]],northwind_orders[order_id],northwind_orders[ship_country])</f>
        <v>Brazil</v>
      </c>
      <c r="G1410">
        <f>INDEX(northwind_orders[],MATCH(northwind_order_details[[#This Row],[order_id]], northwind_orders[order_id], 0), MATCH("employee_id", northwind_orders[#Headers], 0))</f>
        <v>4</v>
      </c>
      <c r="H1410">
        <f>northwind_order_details[[#This Row],[unit_price]]*northwind_order_details[[#This Row],[quantity]]</f>
        <v>210</v>
      </c>
      <c r="I1410" s="1">
        <f>northwind_order_details[[#This Row],[purchase amount]]*northwind_order_details[[#This Row],[discount]]</f>
        <v>10.5</v>
      </c>
      <c r="J1410" s="1">
        <f>northwind_order_details[[#This Row],[purchase amount]]-northwind_order_details[[#This Row],[discount amount]]</f>
        <v>199.5</v>
      </c>
      <c r="K1410" s="6" t="str">
        <f>IF(northwind_order_details[[#This Row],[discount amount]]&gt;0,"Yes","No")</f>
        <v>Yes</v>
      </c>
      <c r="L1410" s="1" t="str">
        <f>IF(northwind_order_details[[#This Row],[Revenue]]&gt;1000,"High",IF(northwind_order_details[[#This Row],[Revenue]]&gt;300,"Medium","Low"))</f>
        <v>Low</v>
      </c>
      <c r="M14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1" spans="1:13" x14ac:dyDescent="0.25">
      <c r="A1411">
        <v>10803</v>
      </c>
      <c r="B1411">
        <v>59</v>
      </c>
      <c r="C1411" s="6" t="s">
        <v>33</v>
      </c>
      <c r="D1411">
        <v>15</v>
      </c>
      <c r="E1411" s="6">
        <v>0.05</v>
      </c>
      <c r="F1411" t="str">
        <f>_xlfn.XLOOKUP(northwind_order_details[[#This Row],[order_id]],northwind_orders[order_id],northwind_orders[ship_country])</f>
        <v>Brazil</v>
      </c>
      <c r="G1411">
        <f>INDEX(northwind_orders[],MATCH(northwind_order_details[[#This Row],[order_id]], northwind_orders[order_id], 0), MATCH("employee_id", northwind_orders[#Headers], 0))</f>
        <v>4</v>
      </c>
      <c r="H1411">
        <f>northwind_order_details[[#This Row],[unit_price]]*northwind_order_details[[#This Row],[quantity]]</f>
        <v>825</v>
      </c>
      <c r="I1411" s="1">
        <f>northwind_order_details[[#This Row],[purchase amount]]*northwind_order_details[[#This Row],[discount]]</f>
        <v>41.25</v>
      </c>
      <c r="J1411" s="1">
        <f>northwind_order_details[[#This Row],[purchase amount]]-northwind_order_details[[#This Row],[discount amount]]</f>
        <v>783.75</v>
      </c>
      <c r="K1411" s="6" t="str">
        <f>IF(northwind_order_details[[#This Row],[discount amount]]&gt;0,"Yes","No")</f>
        <v>Yes</v>
      </c>
      <c r="L1411" s="1" t="str">
        <f>IF(northwind_order_details[[#This Row],[Revenue]]&gt;1000,"High",IF(northwind_order_details[[#This Row],[Revenue]]&gt;300,"Medium","Low"))</f>
        <v>Medium</v>
      </c>
      <c r="M14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2" spans="1:13" x14ac:dyDescent="0.25">
      <c r="A1412">
        <v>10804</v>
      </c>
      <c r="B1412">
        <v>10</v>
      </c>
      <c r="C1412" s="6" t="s">
        <v>34</v>
      </c>
      <c r="D1412">
        <v>36</v>
      </c>
      <c r="E1412" s="6" t="s">
        <v>6</v>
      </c>
      <c r="F1412" t="str">
        <f>_xlfn.XLOOKUP(northwind_order_details[[#This Row],[order_id]],northwind_orders[order_id],northwind_orders[ship_country])</f>
        <v>UK</v>
      </c>
      <c r="G1412">
        <f>INDEX(northwind_orders[],MATCH(northwind_order_details[[#This Row],[order_id]], northwind_orders[order_id], 0), MATCH("employee_id", northwind_orders[#Headers], 0))</f>
        <v>6</v>
      </c>
      <c r="H1412">
        <f>northwind_order_details[[#This Row],[unit_price]]*northwind_order_details[[#This Row],[quantity]]</f>
        <v>1116</v>
      </c>
      <c r="I1412" s="1">
        <f>northwind_order_details[[#This Row],[purchase amount]]*northwind_order_details[[#This Row],[discount]]</f>
        <v>0</v>
      </c>
      <c r="J1412" s="1">
        <f>northwind_order_details[[#This Row],[purchase amount]]-northwind_order_details[[#This Row],[discount amount]]</f>
        <v>1116</v>
      </c>
      <c r="K1412" s="6" t="str">
        <f>IF(northwind_order_details[[#This Row],[discount amount]]&gt;0,"Yes","No")</f>
        <v>No</v>
      </c>
      <c r="L1412" s="1" t="str">
        <f>IF(northwind_order_details[[#This Row],[Revenue]]&gt;1000,"High",IF(northwind_order_details[[#This Row],[Revenue]]&gt;300,"Medium","Low"))</f>
        <v>High</v>
      </c>
      <c r="M14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3" spans="1:13" x14ac:dyDescent="0.25">
      <c r="A1413">
        <v>10804</v>
      </c>
      <c r="B1413">
        <v>28</v>
      </c>
      <c r="C1413" s="6">
        <v>45.6</v>
      </c>
      <c r="D1413">
        <v>24</v>
      </c>
      <c r="E1413" s="6" t="s">
        <v>6</v>
      </c>
      <c r="F1413" t="str">
        <f>_xlfn.XLOOKUP(northwind_order_details[[#This Row],[order_id]],northwind_orders[order_id],northwind_orders[ship_country])</f>
        <v>UK</v>
      </c>
      <c r="G1413">
        <f>INDEX(northwind_orders[],MATCH(northwind_order_details[[#This Row],[order_id]], northwind_orders[order_id], 0), MATCH("employee_id", northwind_orders[#Headers], 0))</f>
        <v>6</v>
      </c>
      <c r="H1413">
        <f>northwind_order_details[[#This Row],[unit_price]]*northwind_order_details[[#This Row],[quantity]]</f>
        <v>1094.4000000000001</v>
      </c>
      <c r="I1413" s="1">
        <f>northwind_order_details[[#This Row],[purchase amount]]*northwind_order_details[[#This Row],[discount]]</f>
        <v>0</v>
      </c>
      <c r="J1413" s="1">
        <f>northwind_order_details[[#This Row],[purchase amount]]-northwind_order_details[[#This Row],[discount amount]]</f>
        <v>1094.4000000000001</v>
      </c>
      <c r="K1413" s="6" t="str">
        <f>IF(northwind_order_details[[#This Row],[discount amount]]&gt;0,"Yes","No")</f>
        <v>No</v>
      </c>
      <c r="L1413" s="1" t="str">
        <f>IF(northwind_order_details[[#This Row],[Revenue]]&gt;1000,"High",IF(northwind_order_details[[#This Row],[Revenue]]&gt;300,"Medium","Low"))</f>
        <v>High</v>
      </c>
      <c r="M14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14" spans="1:13" x14ac:dyDescent="0.25">
      <c r="A1414">
        <v>10804</v>
      </c>
      <c r="B1414">
        <v>49</v>
      </c>
      <c r="C1414" s="6" t="s">
        <v>17</v>
      </c>
      <c r="D1414">
        <v>4</v>
      </c>
      <c r="E1414" s="6">
        <v>0.15</v>
      </c>
      <c r="F1414" t="str">
        <f>_xlfn.XLOOKUP(northwind_order_details[[#This Row],[order_id]],northwind_orders[order_id],northwind_orders[ship_country])</f>
        <v>UK</v>
      </c>
      <c r="G1414">
        <f>INDEX(northwind_orders[],MATCH(northwind_order_details[[#This Row],[order_id]], northwind_orders[order_id], 0), MATCH("employee_id", northwind_orders[#Headers], 0))</f>
        <v>6</v>
      </c>
      <c r="H1414">
        <f>northwind_order_details[[#This Row],[unit_price]]*northwind_order_details[[#This Row],[quantity]]</f>
        <v>80</v>
      </c>
      <c r="I1414" s="1">
        <f>northwind_order_details[[#This Row],[purchase amount]]*northwind_order_details[[#This Row],[discount]]</f>
        <v>12</v>
      </c>
      <c r="J1414" s="1">
        <f>northwind_order_details[[#This Row],[purchase amount]]-northwind_order_details[[#This Row],[discount amount]]</f>
        <v>68</v>
      </c>
      <c r="K1414" s="6" t="str">
        <f>IF(northwind_order_details[[#This Row],[discount amount]]&gt;0,"Yes","No")</f>
        <v>Yes</v>
      </c>
      <c r="L1414" s="1" t="str">
        <f>IF(northwind_order_details[[#This Row],[Revenue]]&gt;1000,"High",IF(northwind_order_details[[#This Row],[Revenue]]&gt;300,"Medium","Low"))</f>
        <v>Low</v>
      </c>
      <c r="M14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5" spans="1:13" x14ac:dyDescent="0.25">
      <c r="A1415">
        <v>10805</v>
      </c>
      <c r="B1415">
        <v>34</v>
      </c>
      <c r="C1415" s="6" t="s">
        <v>5</v>
      </c>
      <c r="D1415">
        <v>10</v>
      </c>
      <c r="E1415" s="6" t="s">
        <v>6</v>
      </c>
      <c r="F1415" t="str">
        <f>_xlfn.XLOOKUP(northwind_order_details[[#This Row],[order_id]],northwind_orders[order_id],northwind_orders[ship_country])</f>
        <v>USA</v>
      </c>
      <c r="G1415">
        <f>INDEX(northwind_orders[],MATCH(northwind_order_details[[#This Row],[order_id]], northwind_orders[order_id], 0), MATCH("employee_id", northwind_orders[#Headers], 0))</f>
        <v>2</v>
      </c>
      <c r="H1415">
        <f>northwind_order_details[[#This Row],[unit_price]]*northwind_order_details[[#This Row],[quantity]]</f>
        <v>140</v>
      </c>
      <c r="I1415" s="1">
        <f>northwind_order_details[[#This Row],[purchase amount]]*northwind_order_details[[#This Row],[discount]]</f>
        <v>0</v>
      </c>
      <c r="J1415" s="1">
        <f>northwind_order_details[[#This Row],[purchase amount]]-northwind_order_details[[#This Row],[discount amount]]</f>
        <v>140</v>
      </c>
      <c r="K1415" s="6" t="str">
        <f>IF(northwind_order_details[[#This Row],[discount amount]]&gt;0,"Yes","No")</f>
        <v>No</v>
      </c>
      <c r="L1415" s="1" t="str">
        <f>IF(northwind_order_details[[#This Row],[Revenue]]&gt;1000,"High",IF(northwind_order_details[[#This Row],[Revenue]]&gt;300,"Medium","Low"))</f>
        <v>Low</v>
      </c>
      <c r="M14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6" spans="1:13" x14ac:dyDescent="0.25">
      <c r="A1416">
        <v>10805</v>
      </c>
      <c r="B1416">
        <v>38</v>
      </c>
      <c r="C1416" s="6">
        <v>263.5</v>
      </c>
      <c r="D1416">
        <v>10</v>
      </c>
      <c r="E1416" s="6" t="s">
        <v>6</v>
      </c>
      <c r="F1416" t="str">
        <f>_xlfn.XLOOKUP(northwind_order_details[[#This Row],[order_id]],northwind_orders[order_id],northwind_orders[ship_country])</f>
        <v>USA</v>
      </c>
      <c r="G1416">
        <f>INDEX(northwind_orders[],MATCH(northwind_order_details[[#This Row],[order_id]], northwind_orders[order_id], 0), MATCH("employee_id", northwind_orders[#Headers], 0))</f>
        <v>2</v>
      </c>
      <c r="H1416">
        <f>northwind_order_details[[#This Row],[unit_price]]*northwind_order_details[[#This Row],[quantity]]</f>
        <v>2635</v>
      </c>
      <c r="I1416" s="1">
        <f>northwind_order_details[[#This Row],[purchase amount]]*northwind_order_details[[#This Row],[discount]]</f>
        <v>0</v>
      </c>
      <c r="J1416" s="1">
        <f>northwind_order_details[[#This Row],[purchase amount]]-northwind_order_details[[#This Row],[discount amount]]</f>
        <v>2635</v>
      </c>
      <c r="K1416" s="6" t="str">
        <f>IF(northwind_order_details[[#This Row],[discount amount]]&gt;0,"Yes","No")</f>
        <v>No</v>
      </c>
      <c r="L1416" s="1" t="str">
        <f>IF(northwind_order_details[[#This Row],[Revenue]]&gt;1000,"High",IF(northwind_order_details[[#This Row],[Revenue]]&gt;300,"Medium","Low"))</f>
        <v>High</v>
      </c>
      <c r="M141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17" spans="1:13" x14ac:dyDescent="0.25">
      <c r="A1417">
        <v>10806</v>
      </c>
      <c r="B1417">
        <v>2</v>
      </c>
      <c r="C1417" s="6" t="s">
        <v>20</v>
      </c>
      <c r="D1417">
        <v>20</v>
      </c>
      <c r="E1417" s="6">
        <v>0.25</v>
      </c>
      <c r="F1417" t="str">
        <f>_xlfn.XLOOKUP(northwind_order_details[[#This Row],[order_id]],northwind_orders[order_id],northwind_orders[ship_country])</f>
        <v>France</v>
      </c>
      <c r="G1417">
        <f>INDEX(northwind_orders[],MATCH(northwind_order_details[[#This Row],[order_id]], northwind_orders[order_id], 0), MATCH("employee_id", northwind_orders[#Headers], 0))</f>
        <v>3</v>
      </c>
      <c r="H1417">
        <f>northwind_order_details[[#This Row],[unit_price]]*northwind_order_details[[#This Row],[quantity]]</f>
        <v>380</v>
      </c>
      <c r="I1417" s="1">
        <f>northwind_order_details[[#This Row],[purchase amount]]*northwind_order_details[[#This Row],[discount]]</f>
        <v>95</v>
      </c>
      <c r="J1417" s="1">
        <f>northwind_order_details[[#This Row],[purchase amount]]-northwind_order_details[[#This Row],[discount amount]]</f>
        <v>285</v>
      </c>
      <c r="K1417" s="6" t="str">
        <f>IF(northwind_order_details[[#This Row],[discount amount]]&gt;0,"Yes","No")</f>
        <v>Yes</v>
      </c>
      <c r="L1417" s="1" t="str">
        <f>IF(northwind_order_details[[#This Row],[Revenue]]&gt;1000,"High",IF(northwind_order_details[[#This Row],[Revenue]]&gt;300,"Medium","Low"))</f>
        <v>Low</v>
      </c>
      <c r="M14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18" spans="1:13" x14ac:dyDescent="0.25">
      <c r="A1418">
        <v>10806</v>
      </c>
      <c r="B1418">
        <v>65</v>
      </c>
      <c r="C1418" s="6">
        <v>21.05</v>
      </c>
      <c r="D1418">
        <v>2</v>
      </c>
      <c r="E1418" s="6" t="s">
        <v>6</v>
      </c>
      <c r="F1418" t="str">
        <f>_xlfn.XLOOKUP(northwind_order_details[[#This Row],[order_id]],northwind_orders[order_id],northwind_orders[ship_country])</f>
        <v>France</v>
      </c>
      <c r="G1418">
        <f>INDEX(northwind_orders[],MATCH(northwind_order_details[[#This Row],[order_id]], northwind_orders[order_id], 0), MATCH("employee_id", northwind_orders[#Headers], 0))</f>
        <v>3</v>
      </c>
      <c r="H1418">
        <f>northwind_order_details[[#This Row],[unit_price]]*northwind_order_details[[#This Row],[quantity]]</f>
        <v>42.1</v>
      </c>
      <c r="I1418" s="1">
        <f>northwind_order_details[[#This Row],[purchase amount]]*northwind_order_details[[#This Row],[discount]]</f>
        <v>0</v>
      </c>
      <c r="J1418" s="1">
        <f>northwind_order_details[[#This Row],[purchase amount]]-northwind_order_details[[#This Row],[discount amount]]</f>
        <v>42.1</v>
      </c>
      <c r="K1418" s="6" t="str">
        <f>IF(northwind_order_details[[#This Row],[discount amount]]&gt;0,"Yes","No")</f>
        <v>No</v>
      </c>
      <c r="L1418" s="1" t="str">
        <f>IF(northwind_order_details[[#This Row],[Revenue]]&gt;1000,"High",IF(northwind_order_details[[#This Row],[Revenue]]&gt;300,"Medium","Low"))</f>
        <v>Low</v>
      </c>
      <c r="M14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19" spans="1:13" x14ac:dyDescent="0.25">
      <c r="A1419">
        <v>10806</v>
      </c>
      <c r="B1419">
        <v>74</v>
      </c>
      <c r="C1419" s="6" t="s">
        <v>8</v>
      </c>
      <c r="D1419">
        <v>15</v>
      </c>
      <c r="E1419" s="6">
        <v>0.25</v>
      </c>
      <c r="F1419" t="str">
        <f>_xlfn.XLOOKUP(northwind_order_details[[#This Row],[order_id]],northwind_orders[order_id],northwind_orders[ship_country])</f>
        <v>France</v>
      </c>
      <c r="G1419">
        <f>INDEX(northwind_orders[],MATCH(northwind_order_details[[#This Row],[order_id]], northwind_orders[order_id], 0), MATCH("employee_id", northwind_orders[#Headers], 0))</f>
        <v>3</v>
      </c>
      <c r="H1419">
        <f>northwind_order_details[[#This Row],[unit_price]]*northwind_order_details[[#This Row],[quantity]]</f>
        <v>150</v>
      </c>
      <c r="I1419" s="1">
        <f>northwind_order_details[[#This Row],[purchase amount]]*northwind_order_details[[#This Row],[discount]]</f>
        <v>37.5</v>
      </c>
      <c r="J1419" s="1">
        <f>northwind_order_details[[#This Row],[purchase amount]]-northwind_order_details[[#This Row],[discount amount]]</f>
        <v>112.5</v>
      </c>
      <c r="K1419" s="6" t="str">
        <f>IF(northwind_order_details[[#This Row],[discount amount]]&gt;0,"Yes","No")</f>
        <v>Yes</v>
      </c>
      <c r="L1419" s="1" t="str">
        <f>IF(northwind_order_details[[#This Row],[Revenue]]&gt;1000,"High",IF(northwind_order_details[[#This Row],[Revenue]]&gt;300,"Medium","Low"))</f>
        <v>Low</v>
      </c>
      <c r="M14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0" spans="1:13" x14ac:dyDescent="0.25">
      <c r="A1420">
        <v>10807</v>
      </c>
      <c r="B1420">
        <v>40</v>
      </c>
      <c r="C1420" s="6">
        <v>18.399999999999999</v>
      </c>
      <c r="D1420">
        <v>1</v>
      </c>
      <c r="E1420" s="6" t="s">
        <v>6</v>
      </c>
      <c r="F1420" t="str">
        <f>_xlfn.XLOOKUP(northwind_order_details[[#This Row],[order_id]],northwind_orders[order_id],northwind_orders[ship_country])</f>
        <v>Italy</v>
      </c>
      <c r="G1420">
        <f>INDEX(northwind_orders[],MATCH(northwind_order_details[[#This Row],[order_id]], northwind_orders[order_id], 0), MATCH("employee_id", northwind_orders[#Headers], 0))</f>
        <v>4</v>
      </c>
      <c r="H1420">
        <f>northwind_order_details[[#This Row],[unit_price]]*northwind_order_details[[#This Row],[quantity]]</f>
        <v>18.399999999999999</v>
      </c>
      <c r="I1420" s="1">
        <f>northwind_order_details[[#This Row],[purchase amount]]*northwind_order_details[[#This Row],[discount]]</f>
        <v>0</v>
      </c>
      <c r="J1420" s="1">
        <f>northwind_order_details[[#This Row],[purchase amount]]-northwind_order_details[[#This Row],[discount amount]]</f>
        <v>18.399999999999999</v>
      </c>
      <c r="K1420" s="6" t="str">
        <f>IF(northwind_order_details[[#This Row],[discount amount]]&gt;0,"Yes","No")</f>
        <v>No</v>
      </c>
      <c r="L1420" s="1" t="str">
        <f>IF(northwind_order_details[[#This Row],[Revenue]]&gt;1000,"High",IF(northwind_order_details[[#This Row],[Revenue]]&gt;300,"Medium","Low"))</f>
        <v>Low</v>
      </c>
      <c r="M14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21" spans="1:13" x14ac:dyDescent="0.25">
      <c r="A1421">
        <v>10808</v>
      </c>
      <c r="B1421">
        <v>56</v>
      </c>
      <c r="C1421" s="6" t="s">
        <v>30</v>
      </c>
      <c r="D1421">
        <v>20</v>
      </c>
      <c r="E1421" s="6">
        <v>0.15</v>
      </c>
      <c r="F1421" t="str">
        <f>_xlfn.XLOOKUP(northwind_order_details[[#This Row],[order_id]],northwind_orders[order_id],northwind_orders[ship_country])</f>
        <v>USA</v>
      </c>
      <c r="G1421">
        <f>INDEX(northwind_orders[],MATCH(northwind_order_details[[#This Row],[order_id]], northwind_orders[order_id], 0), MATCH("employee_id", northwind_orders[#Headers], 0))</f>
        <v>2</v>
      </c>
      <c r="H1421">
        <f>northwind_order_details[[#This Row],[unit_price]]*northwind_order_details[[#This Row],[quantity]]</f>
        <v>760</v>
      </c>
      <c r="I1421" s="1">
        <f>northwind_order_details[[#This Row],[purchase amount]]*northwind_order_details[[#This Row],[discount]]</f>
        <v>114</v>
      </c>
      <c r="J1421" s="1">
        <f>northwind_order_details[[#This Row],[purchase amount]]-northwind_order_details[[#This Row],[discount amount]]</f>
        <v>646</v>
      </c>
      <c r="K1421" s="6" t="str">
        <f>IF(northwind_order_details[[#This Row],[discount amount]]&gt;0,"Yes","No")</f>
        <v>Yes</v>
      </c>
      <c r="L1421" s="1" t="str">
        <f>IF(northwind_order_details[[#This Row],[Revenue]]&gt;1000,"High",IF(northwind_order_details[[#This Row],[Revenue]]&gt;300,"Medium","Low"))</f>
        <v>Medium</v>
      </c>
      <c r="M14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2" spans="1:13" x14ac:dyDescent="0.25">
      <c r="A1422">
        <v>10808</v>
      </c>
      <c r="B1422">
        <v>76</v>
      </c>
      <c r="C1422" s="6" t="s">
        <v>24</v>
      </c>
      <c r="D1422">
        <v>50</v>
      </c>
      <c r="E1422" s="6">
        <v>0.15</v>
      </c>
      <c r="F1422" t="str">
        <f>_xlfn.XLOOKUP(northwind_order_details[[#This Row],[order_id]],northwind_orders[order_id],northwind_orders[ship_country])</f>
        <v>USA</v>
      </c>
      <c r="G1422">
        <f>INDEX(northwind_orders[],MATCH(northwind_order_details[[#This Row],[order_id]], northwind_orders[order_id], 0), MATCH("employee_id", northwind_orders[#Headers], 0))</f>
        <v>2</v>
      </c>
      <c r="H1422">
        <f>northwind_order_details[[#This Row],[unit_price]]*northwind_order_details[[#This Row],[quantity]]</f>
        <v>900</v>
      </c>
      <c r="I1422" s="1">
        <f>northwind_order_details[[#This Row],[purchase amount]]*northwind_order_details[[#This Row],[discount]]</f>
        <v>135</v>
      </c>
      <c r="J1422" s="1">
        <f>northwind_order_details[[#This Row],[purchase amount]]-northwind_order_details[[#This Row],[discount amount]]</f>
        <v>765</v>
      </c>
      <c r="K1422" s="6" t="str">
        <f>IF(northwind_order_details[[#This Row],[discount amount]]&gt;0,"Yes","No")</f>
        <v>Yes</v>
      </c>
      <c r="L1422" s="1" t="str">
        <f>IF(northwind_order_details[[#This Row],[Revenue]]&gt;1000,"High",IF(northwind_order_details[[#This Row],[Revenue]]&gt;300,"Medium","Low"))</f>
        <v>Medium</v>
      </c>
      <c r="M14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3" spans="1:13" x14ac:dyDescent="0.25">
      <c r="A1423">
        <v>10809</v>
      </c>
      <c r="B1423">
        <v>52</v>
      </c>
      <c r="C1423" s="6" t="s">
        <v>32</v>
      </c>
      <c r="D1423">
        <v>20</v>
      </c>
      <c r="E1423" s="6" t="s">
        <v>6</v>
      </c>
      <c r="F1423" t="str">
        <f>_xlfn.XLOOKUP(northwind_order_details[[#This Row],[order_id]],northwind_orders[order_id],northwind_orders[ship_country])</f>
        <v>Brazil</v>
      </c>
      <c r="G1423">
        <f>INDEX(northwind_orders[],MATCH(northwind_order_details[[#This Row],[order_id]], northwind_orders[order_id], 0), MATCH("employee_id", northwind_orders[#Headers], 0))</f>
        <v>7</v>
      </c>
      <c r="H1423">
        <f>northwind_order_details[[#This Row],[unit_price]]*northwind_order_details[[#This Row],[quantity]]</f>
        <v>140</v>
      </c>
      <c r="I1423" s="1">
        <f>northwind_order_details[[#This Row],[purchase amount]]*northwind_order_details[[#This Row],[discount]]</f>
        <v>0</v>
      </c>
      <c r="J1423" s="1">
        <f>northwind_order_details[[#This Row],[purchase amount]]-northwind_order_details[[#This Row],[discount amount]]</f>
        <v>140</v>
      </c>
      <c r="K1423" s="6" t="str">
        <f>IF(northwind_order_details[[#This Row],[discount amount]]&gt;0,"Yes","No")</f>
        <v>No</v>
      </c>
      <c r="L1423" s="1" t="str">
        <f>IF(northwind_order_details[[#This Row],[Revenue]]&gt;1000,"High",IF(northwind_order_details[[#This Row],[Revenue]]&gt;300,"Medium","Low"))</f>
        <v>Low</v>
      </c>
      <c r="M14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4" spans="1:13" x14ac:dyDescent="0.25">
      <c r="A1424">
        <v>10810</v>
      </c>
      <c r="B1424">
        <v>13</v>
      </c>
      <c r="C1424" s="6" t="s">
        <v>23</v>
      </c>
      <c r="D1424">
        <v>7</v>
      </c>
      <c r="E1424" s="6" t="s">
        <v>6</v>
      </c>
      <c r="F1424" t="str">
        <f>_xlfn.XLOOKUP(northwind_order_details[[#This Row],[order_id]],northwind_orders[order_id],northwind_orders[ship_country])</f>
        <v>Canada</v>
      </c>
      <c r="G1424">
        <f>INDEX(northwind_orders[],MATCH(northwind_order_details[[#This Row],[order_id]], northwind_orders[order_id], 0), MATCH("employee_id", northwind_orders[#Headers], 0))</f>
        <v>2</v>
      </c>
      <c r="H1424">
        <f>northwind_order_details[[#This Row],[unit_price]]*northwind_order_details[[#This Row],[quantity]]</f>
        <v>42</v>
      </c>
      <c r="I1424" s="1">
        <f>northwind_order_details[[#This Row],[purchase amount]]*northwind_order_details[[#This Row],[discount]]</f>
        <v>0</v>
      </c>
      <c r="J1424" s="1">
        <f>northwind_order_details[[#This Row],[purchase amount]]-northwind_order_details[[#This Row],[discount amount]]</f>
        <v>42</v>
      </c>
      <c r="K1424" s="6" t="str">
        <f>IF(northwind_order_details[[#This Row],[discount amount]]&gt;0,"Yes","No")</f>
        <v>No</v>
      </c>
      <c r="L1424" s="1" t="str">
        <f>IF(northwind_order_details[[#This Row],[Revenue]]&gt;1000,"High",IF(northwind_order_details[[#This Row],[Revenue]]&gt;300,"Medium","Low"))</f>
        <v>Low</v>
      </c>
      <c r="M14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5" spans="1:13" x14ac:dyDescent="0.25">
      <c r="A1425">
        <v>10810</v>
      </c>
      <c r="B1425">
        <v>25</v>
      </c>
      <c r="C1425" s="6" t="s">
        <v>5</v>
      </c>
      <c r="D1425">
        <v>5</v>
      </c>
      <c r="E1425" s="6" t="s">
        <v>6</v>
      </c>
      <c r="F1425" t="str">
        <f>_xlfn.XLOOKUP(northwind_order_details[[#This Row],[order_id]],northwind_orders[order_id],northwind_orders[ship_country])</f>
        <v>Canada</v>
      </c>
      <c r="G1425">
        <f>INDEX(northwind_orders[],MATCH(northwind_order_details[[#This Row],[order_id]], northwind_orders[order_id], 0), MATCH("employee_id", northwind_orders[#Headers], 0))</f>
        <v>2</v>
      </c>
      <c r="H1425">
        <f>northwind_order_details[[#This Row],[unit_price]]*northwind_order_details[[#This Row],[quantity]]</f>
        <v>70</v>
      </c>
      <c r="I1425" s="1">
        <f>northwind_order_details[[#This Row],[purchase amount]]*northwind_order_details[[#This Row],[discount]]</f>
        <v>0</v>
      </c>
      <c r="J1425" s="1">
        <f>northwind_order_details[[#This Row],[purchase amount]]-northwind_order_details[[#This Row],[discount amount]]</f>
        <v>70</v>
      </c>
      <c r="K1425" s="6" t="str">
        <f>IF(northwind_order_details[[#This Row],[discount amount]]&gt;0,"Yes","No")</f>
        <v>No</v>
      </c>
      <c r="L1425" s="1" t="str">
        <f>IF(northwind_order_details[[#This Row],[Revenue]]&gt;1000,"High",IF(northwind_order_details[[#This Row],[Revenue]]&gt;300,"Medium","Low"))</f>
        <v>Low</v>
      </c>
      <c r="M14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6" spans="1:13" x14ac:dyDescent="0.25">
      <c r="A1426">
        <v>10810</v>
      </c>
      <c r="B1426">
        <v>70</v>
      </c>
      <c r="C1426" s="6" t="s">
        <v>21</v>
      </c>
      <c r="D1426">
        <v>5</v>
      </c>
      <c r="E1426" s="6" t="s">
        <v>6</v>
      </c>
      <c r="F1426" t="str">
        <f>_xlfn.XLOOKUP(northwind_order_details[[#This Row],[order_id]],northwind_orders[order_id],northwind_orders[ship_country])</f>
        <v>Canada</v>
      </c>
      <c r="G1426">
        <f>INDEX(northwind_orders[],MATCH(northwind_order_details[[#This Row],[order_id]], northwind_orders[order_id], 0), MATCH("employee_id", northwind_orders[#Headers], 0))</f>
        <v>2</v>
      </c>
      <c r="H1426">
        <f>northwind_order_details[[#This Row],[unit_price]]*northwind_order_details[[#This Row],[quantity]]</f>
        <v>75</v>
      </c>
      <c r="I1426" s="1">
        <f>northwind_order_details[[#This Row],[purchase amount]]*northwind_order_details[[#This Row],[discount]]</f>
        <v>0</v>
      </c>
      <c r="J1426" s="1">
        <f>northwind_order_details[[#This Row],[purchase amount]]-northwind_order_details[[#This Row],[discount amount]]</f>
        <v>75</v>
      </c>
      <c r="K1426" s="6" t="str">
        <f>IF(northwind_order_details[[#This Row],[discount amount]]&gt;0,"Yes","No")</f>
        <v>No</v>
      </c>
      <c r="L1426" s="1" t="str">
        <f>IF(northwind_order_details[[#This Row],[Revenue]]&gt;1000,"High",IF(northwind_order_details[[#This Row],[Revenue]]&gt;300,"Medium","Low"))</f>
        <v>Low</v>
      </c>
      <c r="M14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7" spans="1:13" x14ac:dyDescent="0.25">
      <c r="A1427">
        <v>10811</v>
      </c>
      <c r="B1427">
        <v>19</v>
      </c>
      <c r="C1427" s="6">
        <v>9.1999999999999993</v>
      </c>
      <c r="D1427">
        <v>15</v>
      </c>
      <c r="E1427" s="6" t="s">
        <v>6</v>
      </c>
      <c r="F1427" t="str">
        <f>_xlfn.XLOOKUP(northwind_order_details[[#This Row],[order_id]],northwind_orders[order_id],northwind_orders[ship_country])</f>
        <v>Venezuela</v>
      </c>
      <c r="G1427">
        <f>INDEX(northwind_orders[],MATCH(northwind_order_details[[#This Row],[order_id]], northwind_orders[order_id], 0), MATCH("employee_id", northwind_orders[#Headers], 0))</f>
        <v>8</v>
      </c>
      <c r="H1427">
        <f>northwind_order_details[[#This Row],[unit_price]]*northwind_order_details[[#This Row],[quantity]]</f>
        <v>138</v>
      </c>
      <c r="I1427" s="1">
        <f>northwind_order_details[[#This Row],[purchase amount]]*northwind_order_details[[#This Row],[discount]]</f>
        <v>0</v>
      </c>
      <c r="J1427" s="1">
        <f>northwind_order_details[[#This Row],[purchase amount]]-northwind_order_details[[#This Row],[discount amount]]</f>
        <v>138</v>
      </c>
      <c r="K1427" s="6" t="str">
        <f>IF(northwind_order_details[[#This Row],[discount amount]]&gt;0,"Yes","No")</f>
        <v>No</v>
      </c>
      <c r="L1427" s="1" t="str">
        <f>IF(northwind_order_details[[#This Row],[Revenue]]&gt;1000,"High",IF(northwind_order_details[[#This Row],[Revenue]]&gt;300,"Medium","Low"))</f>
        <v>Low</v>
      </c>
      <c r="M14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28" spans="1:13" x14ac:dyDescent="0.25">
      <c r="A1428">
        <v>10811</v>
      </c>
      <c r="B1428">
        <v>23</v>
      </c>
      <c r="C1428" s="6" t="s">
        <v>40</v>
      </c>
      <c r="D1428">
        <v>18</v>
      </c>
      <c r="E1428" s="6" t="s">
        <v>6</v>
      </c>
      <c r="F1428" t="str">
        <f>_xlfn.XLOOKUP(northwind_order_details[[#This Row],[order_id]],northwind_orders[order_id],northwind_orders[ship_country])</f>
        <v>Venezuela</v>
      </c>
      <c r="G1428">
        <f>INDEX(northwind_orders[],MATCH(northwind_order_details[[#This Row],[order_id]], northwind_orders[order_id], 0), MATCH("employee_id", northwind_orders[#Headers], 0))</f>
        <v>8</v>
      </c>
      <c r="H1428">
        <f>northwind_order_details[[#This Row],[unit_price]]*northwind_order_details[[#This Row],[quantity]]</f>
        <v>162</v>
      </c>
      <c r="I1428" s="1">
        <f>northwind_order_details[[#This Row],[purchase amount]]*northwind_order_details[[#This Row],[discount]]</f>
        <v>0</v>
      </c>
      <c r="J1428" s="1">
        <f>northwind_order_details[[#This Row],[purchase amount]]-northwind_order_details[[#This Row],[discount amount]]</f>
        <v>162</v>
      </c>
      <c r="K1428" s="6" t="str">
        <f>IF(northwind_order_details[[#This Row],[discount amount]]&gt;0,"Yes","No")</f>
        <v>No</v>
      </c>
      <c r="L1428" s="1" t="str">
        <f>IF(northwind_order_details[[#This Row],[Revenue]]&gt;1000,"High",IF(northwind_order_details[[#This Row],[Revenue]]&gt;300,"Medium","Low"))</f>
        <v>Low</v>
      </c>
      <c r="M14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29" spans="1:13" x14ac:dyDescent="0.25">
      <c r="A1429">
        <v>10811</v>
      </c>
      <c r="B1429">
        <v>40</v>
      </c>
      <c r="C1429" s="6">
        <v>18.399999999999999</v>
      </c>
      <c r="D1429">
        <v>30</v>
      </c>
      <c r="E1429" s="6" t="s">
        <v>6</v>
      </c>
      <c r="F1429" t="str">
        <f>_xlfn.XLOOKUP(northwind_order_details[[#This Row],[order_id]],northwind_orders[order_id],northwind_orders[ship_country])</f>
        <v>Venezuela</v>
      </c>
      <c r="G1429">
        <f>INDEX(northwind_orders[],MATCH(northwind_order_details[[#This Row],[order_id]], northwind_orders[order_id], 0), MATCH("employee_id", northwind_orders[#Headers], 0))</f>
        <v>8</v>
      </c>
      <c r="H1429">
        <f>northwind_order_details[[#This Row],[unit_price]]*northwind_order_details[[#This Row],[quantity]]</f>
        <v>552</v>
      </c>
      <c r="I1429" s="1">
        <f>northwind_order_details[[#This Row],[purchase amount]]*northwind_order_details[[#This Row],[discount]]</f>
        <v>0</v>
      </c>
      <c r="J1429" s="1">
        <f>northwind_order_details[[#This Row],[purchase amount]]-northwind_order_details[[#This Row],[discount amount]]</f>
        <v>552</v>
      </c>
      <c r="K1429" s="6" t="str">
        <f>IF(northwind_order_details[[#This Row],[discount amount]]&gt;0,"Yes","No")</f>
        <v>No</v>
      </c>
      <c r="L1429" s="1" t="str">
        <f>IF(northwind_order_details[[#This Row],[Revenue]]&gt;1000,"High",IF(northwind_order_details[[#This Row],[Revenue]]&gt;300,"Medium","Low"))</f>
        <v>Medium</v>
      </c>
      <c r="M14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30" spans="1:13" x14ac:dyDescent="0.25">
      <c r="A1430">
        <v>10812</v>
      </c>
      <c r="B1430">
        <v>31</v>
      </c>
      <c r="C1430" s="6">
        <v>12.5</v>
      </c>
      <c r="D1430">
        <v>16</v>
      </c>
      <c r="E1430" s="6">
        <v>0.1</v>
      </c>
      <c r="F1430" t="str">
        <f>_xlfn.XLOOKUP(northwind_order_details[[#This Row],[order_id]],northwind_orders[order_id],northwind_orders[ship_country])</f>
        <v>Italy</v>
      </c>
      <c r="G1430">
        <f>INDEX(northwind_orders[],MATCH(northwind_order_details[[#This Row],[order_id]], northwind_orders[order_id], 0), MATCH("employee_id", northwind_orders[#Headers], 0))</f>
        <v>5</v>
      </c>
      <c r="H1430">
        <f>northwind_order_details[[#This Row],[unit_price]]*northwind_order_details[[#This Row],[quantity]]</f>
        <v>200</v>
      </c>
      <c r="I1430" s="1">
        <f>northwind_order_details[[#This Row],[purchase amount]]*northwind_order_details[[#This Row],[discount]]</f>
        <v>20</v>
      </c>
      <c r="J1430" s="1">
        <f>northwind_order_details[[#This Row],[purchase amount]]-northwind_order_details[[#This Row],[discount amount]]</f>
        <v>180</v>
      </c>
      <c r="K1430" s="6" t="str">
        <f>IF(northwind_order_details[[#This Row],[discount amount]]&gt;0,"Yes","No")</f>
        <v>Yes</v>
      </c>
      <c r="L1430" s="1" t="str">
        <f>IF(northwind_order_details[[#This Row],[Revenue]]&gt;1000,"High",IF(northwind_order_details[[#This Row],[Revenue]]&gt;300,"Medium","Low"))</f>
        <v>Low</v>
      </c>
      <c r="M143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31" spans="1:13" x14ac:dyDescent="0.25">
      <c r="A1431">
        <v>10812</v>
      </c>
      <c r="B1431">
        <v>72</v>
      </c>
      <c r="C1431" s="6">
        <v>34.799999999999997</v>
      </c>
      <c r="D1431">
        <v>40</v>
      </c>
      <c r="E1431" s="6">
        <v>0.1</v>
      </c>
      <c r="F1431" t="str">
        <f>_xlfn.XLOOKUP(northwind_order_details[[#This Row],[order_id]],northwind_orders[order_id],northwind_orders[ship_country])</f>
        <v>Italy</v>
      </c>
      <c r="G1431">
        <f>INDEX(northwind_orders[],MATCH(northwind_order_details[[#This Row],[order_id]], northwind_orders[order_id], 0), MATCH("employee_id", northwind_orders[#Headers], 0))</f>
        <v>5</v>
      </c>
      <c r="H1431">
        <f>northwind_order_details[[#This Row],[unit_price]]*northwind_order_details[[#This Row],[quantity]]</f>
        <v>1392</v>
      </c>
      <c r="I1431" s="1">
        <f>northwind_order_details[[#This Row],[purchase amount]]*northwind_order_details[[#This Row],[discount]]</f>
        <v>139.20000000000002</v>
      </c>
      <c r="J1431" s="1">
        <f>northwind_order_details[[#This Row],[purchase amount]]-northwind_order_details[[#This Row],[discount amount]]</f>
        <v>1252.8</v>
      </c>
      <c r="K1431" s="6" t="str">
        <f>IF(northwind_order_details[[#This Row],[discount amount]]&gt;0,"Yes","No")</f>
        <v>Yes</v>
      </c>
      <c r="L1431" s="1" t="str">
        <f>IF(northwind_order_details[[#This Row],[Revenue]]&gt;1000,"High",IF(northwind_order_details[[#This Row],[Revenue]]&gt;300,"Medium","Low"))</f>
        <v>High</v>
      </c>
      <c r="M143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32" spans="1:13" x14ac:dyDescent="0.25">
      <c r="A1432">
        <v>10812</v>
      </c>
      <c r="B1432">
        <v>77</v>
      </c>
      <c r="C1432" s="6" t="s">
        <v>19</v>
      </c>
      <c r="D1432">
        <v>20</v>
      </c>
      <c r="E1432" s="6" t="s">
        <v>6</v>
      </c>
      <c r="F1432" t="str">
        <f>_xlfn.XLOOKUP(northwind_order_details[[#This Row],[order_id]],northwind_orders[order_id],northwind_orders[ship_country])</f>
        <v>Italy</v>
      </c>
      <c r="G1432">
        <f>INDEX(northwind_orders[],MATCH(northwind_order_details[[#This Row],[order_id]], northwind_orders[order_id], 0), MATCH("employee_id", northwind_orders[#Headers], 0))</f>
        <v>5</v>
      </c>
      <c r="H1432">
        <f>northwind_order_details[[#This Row],[unit_price]]*northwind_order_details[[#This Row],[quantity]]</f>
        <v>260</v>
      </c>
      <c r="I1432" s="1">
        <f>northwind_order_details[[#This Row],[purchase amount]]*northwind_order_details[[#This Row],[discount]]</f>
        <v>0</v>
      </c>
      <c r="J1432" s="1">
        <f>northwind_order_details[[#This Row],[purchase amount]]-northwind_order_details[[#This Row],[discount amount]]</f>
        <v>260</v>
      </c>
      <c r="K1432" s="6" t="str">
        <f>IF(northwind_order_details[[#This Row],[discount amount]]&gt;0,"Yes","No")</f>
        <v>No</v>
      </c>
      <c r="L1432" s="1" t="str">
        <f>IF(northwind_order_details[[#This Row],[Revenue]]&gt;1000,"High",IF(northwind_order_details[[#This Row],[Revenue]]&gt;300,"Medium","Low"))</f>
        <v>Low</v>
      </c>
      <c r="M14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33" spans="1:13" x14ac:dyDescent="0.25">
      <c r="A1433">
        <v>10813</v>
      </c>
      <c r="B1433">
        <v>2</v>
      </c>
      <c r="C1433" s="6" t="s">
        <v>20</v>
      </c>
      <c r="D1433">
        <v>12</v>
      </c>
      <c r="E1433" s="6">
        <v>0.2</v>
      </c>
      <c r="F1433" t="str">
        <f>_xlfn.XLOOKUP(northwind_order_details[[#This Row],[order_id]],northwind_orders[order_id],northwind_orders[ship_country])</f>
        <v>Brazil</v>
      </c>
      <c r="G1433">
        <f>INDEX(northwind_orders[],MATCH(northwind_order_details[[#This Row],[order_id]], northwind_orders[order_id], 0), MATCH("employee_id", northwind_orders[#Headers], 0))</f>
        <v>1</v>
      </c>
      <c r="H1433">
        <f>northwind_order_details[[#This Row],[unit_price]]*northwind_order_details[[#This Row],[quantity]]</f>
        <v>228</v>
      </c>
      <c r="I1433" s="1">
        <f>northwind_order_details[[#This Row],[purchase amount]]*northwind_order_details[[#This Row],[discount]]</f>
        <v>45.6</v>
      </c>
      <c r="J1433" s="1">
        <f>northwind_order_details[[#This Row],[purchase amount]]-northwind_order_details[[#This Row],[discount amount]]</f>
        <v>182.4</v>
      </c>
      <c r="K1433" s="6" t="str">
        <f>IF(northwind_order_details[[#This Row],[discount amount]]&gt;0,"Yes","No")</f>
        <v>Yes</v>
      </c>
      <c r="L1433" s="1" t="str">
        <f>IF(northwind_order_details[[#This Row],[Revenue]]&gt;1000,"High",IF(northwind_order_details[[#This Row],[Revenue]]&gt;300,"Medium","Low"))</f>
        <v>Low</v>
      </c>
      <c r="M14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34" spans="1:13" x14ac:dyDescent="0.25">
      <c r="A1434">
        <v>10813</v>
      </c>
      <c r="B1434">
        <v>46</v>
      </c>
      <c r="C1434" s="6" t="s">
        <v>13</v>
      </c>
      <c r="D1434">
        <v>35</v>
      </c>
      <c r="E1434" s="6" t="s">
        <v>6</v>
      </c>
      <c r="F1434" t="str">
        <f>_xlfn.XLOOKUP(northwind_order_details[[#This Row],[order_id]],northwind_orders[order_id],northwind_orders[ship_country])</f>
        <v>Brazil</v>
      </c>
      <c r="G1434">
        <f>INDEX(northwind_orders[],MATCH(northwind_order_details[[#This Row],[order_id]], northwind_orders[order_id], 0), MATCH("employee_id", northwind_orders[#Headers], 0))</f>
        <v>1</v>
      </c>
      <c r="H1434">
        <f>northwind_order_details[[#This Row],[unit_price]]*northwind_order_details[[#This Row],[quantity]]</f>
        <v>420</v>
      </c>
      <c r="I1434" s="1">
        <f>northwind_order_details[[#This Row],[purchase amount]]*northwind_order_details[[#This Row],[discount]]</f>
        <v>0</v>
      </c>
      <c r="J1434" s="1">
        <f>northwind_order_details[[#This Row],[purchase amount]]-northwind_order_details[[#This Row],[discount amount]]</f>
        <v>420</v>
      </c>
      <c r="K1434" s="6" t="str">
        <f>IF(northwind_order_details[[#This Row],[discount amount]]&gt;0,"Yes","No")</f>
        <v>No</v>
      </c>
      <c r="L1434" s="1" t="str">
        <f>IF(northwind_order_details[[#This Row],[Revenue]]&gt;1000,"High",IF(northwind_order_details[[#This Row],[Revenue]]&gt;300,"Medium","Low"))</f>
        <v>Medium</v>
      </c>
      <c r="M14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35" spans="1:13" x14ac:dyDescent="0.25">
      <c r="A1435">
        <v>10814</v>
      </c>
      <c r="B1435">
        <v>41</v>
      </c>
      <c r="C1435" s="6">
        <v>9.65</v>
      </c>
      <c r="D1435">
        <v>20</v>
      </c>
      <c r="E1435" s="6" t="s">
        <v>6</v>
      </c>
      <c r="F1435" t="str">
        <f>_xlfn.XLOOKUP(northwind_order_details[[#This Row],[order_id]],northwind_orders[order_id],northwind_orders[ship_country])</f>
        <v>France</v>
      </c>
      <c r="G1435">
        <f>INDEX(northwind_orders[],MATCH(northwind_order_details[[#This Row],[order_id]], northwind_orders[order_id], 0), MATCH("employee_id", northwind_orders[#Headers], 0))</f>
        <v>3</v>
      </c>
      <c r="H1435">
        <f>northwind_order_details[[#This Row],[unit_price]]*northwind_order_details[[#This Row],[quantity]]</f>
        <v>193</v>
      </c>
      <c r="I1435" s="1">
        <f>northwind_order_details[[#This Row],[purchase amount]]*northwind_order_details[[#This Row],[discount]]</f>
        <v>0</v>
      </c>
      <c r="J1435" s="1">
        <f>northwind_order_details[[#This Row],[purchase amount]]-northwind_order_details[[#This Row],[discount amount]]</f>
        <v>193</v>
      </c>
      <c r="K1435" s="6" t="str">
        <f>IF(northwind_order_details[[#This Row],[discount amount]]&gt;0,"Yes","No")</f>
        <v>No</v>
      </c>
      <c r="L1435" s="1" t="str">
        <f>IF(northwind_order_details[[#This Row],[Revenue]]&gt;1000,"High",IF(northwind_order_details[[#This Row],[Revenue]]&gt;300,"Medium","Low"))</f>
        <v>Low</v>
      </c>
      <c r="M143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36" spans="1:13" x14ac:dyDescent="0.25">
      <c r="A1436">
        <v>10814</v>
      </c>
      <c r="B1436">
        <v>43</v>
      </c>
      <c r="C1436" s="6" t="s">
        <v>22</v>
      </c>
      <c r="D1436">
        <v>20</v>
      </c>
      <c r="E1436" s="6">
        <v>0.15</v>
      </c>
      <c r="F1436" t="str">
        <f>_xlfn.XLOOKUP(northwind_order_details[[#This Row],[order_id]],northwind_orders[order_id],northwind_orders[ship_country])</f>
        <v>France</v>
      </c>
      <c r="G1436">
        <f>INDEX(northwind_orders[],MATCH(northwind_order_details[[#This Row],[order_id]], northwind_orders[order_id], 0), MATCH("employee_id", northwind_orders[#Headers], 0))</f>
        <v>3</v>
      </c>
      <c r="H1436">
        <f>northwind_order_details[[#This Row],[unit_price]]*northwind_order_details[[#This Row],[quantity]]</f>
        <v>920</v>
      </c>
      <c r="I1436" s="1">
        <f>northwind_order_details[[#This Row],[purchase amount]]*northwind_order_details[[#This Row],[discount]]</f>
        <v>138</v>
      </c>
      <c r="J1436" s="1">
        <f>northwind_order_details[[#This Row],[purchase amount]]-northwind_order_details[[#This Row],[discount amount]]</f>
        <v>782</v>
      </c>
      <c r="K1436" s="6" t="str">
        <f>IF(northwind_order_details[[#This Row],[discount amount]]&gt;0,"Yes","No")</f>
        <v>Yes</v>
      </c>
      <c r="L1436" s="1" t="str">
        <f>IF(northwind_order_details[[#This Row],[Revenue]]&gt;1000,"High",IF(northwind_order_details[[#This Row],[Revenue]]&gt;300,"Medium","Low"))</f>
        <v>Medium</v>
      </c>
      <c r="M14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37" spans="1:13" x14ac:dyDescent="0.25">
      <c r="A1437">
        <v>10814</v>
      </c>
      <c r="B1437">
        <v>48</v>
      </c>
      <c r="C1437" s="6">
        <v>12.75</v>
      </c>
      <c r="D1437">
        <v>8</v>
      </c>
      <c r="E1437" s="6">
        <v>0.15</v>
      </c>
      <c r="F1437" t="str">
        <f>_xlfn.XLOOKUP(northwind_order_details[[#This Row],[order_id]],northwind_orders[order_id],northwind_orders[ship_country])</f>
        <v>France</v>
      </c>
      <c r="G1437">
        <f>INDEX(northwind_orders[],MATCH(northwind_order_details[[#This Row],[order_id]], northwind_orders[order_id], 0), MATCH("employee_id", northwind_orders[#Headers], 0))</f>
        <v>3</v>
      </c>
      <c r="H1437">
        <f>northwind_order_details[[#This Row],[unit_price]]*northwind_order_details[[#This Row],[quantity]]</f>
        <v>102</v>
      </c>
      <c r="I1437" s="1">
        <f>northwind_order_details[[#This Row],[purchase amount]]*northwind_order_details[[#This Row],[discount]]</f>
        <v>15.299999999999999</v>
      </c>
      <c r="J1437" s="1">
        <f>northwind_order_details[[#This Row],[purchase amount]]-northwind_order_details[[#This Row],[discount amount]]</f>
        <v>86.7</v>
      </c>
      <c r="K1437" s="6" t="str">
        <f>IF(northwind_order_details[[#This Row],[discount amount]]&gt;0,"Yes","No")</f>
        <v>Yes</v>
      </c>
      <c r="L1437" s="1" t="str">
        <f>IF(northwind_order_details[[#This Row],[Revenue]]&gt;1000,"High",IF(northwind_order_details[[#This Row],[Revenue]]&gt;300,"Medium","Low"))</f>
        <v>Low</v>
      </c>
      <c r="M143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38" spans="1:13" x14ac:dyDescent="0.25">
      <c r="A1438">
        <v>10814</v>
      </c>
      <c r="B1438">
        <v>61</v>
      </c>
      <c r="C1438" s="6">
        <v>28.5</v>
      </c>
      <c r="D1438">
        <v>30</v>
      </c>
      <c r="E1438" s="6">
        <v>0.15</v>
      </c>
      <c r="F1438" t="str">
        <f>_xlfn.XLOOKUP(northwind_order_details[[#This Row],[order_id]],northwind_orders[order_id],northwind_orders[ship_country])</f>
        <v>France</v>
      </c>
      <c r="G1438">
        <f>INDEX(northwind_orders[],MATCH(northwind_order_details[[#This Row],[order_id]], northwind_orders[order_id], 0), MATCH("employee_id", northwind_orders[#Headers], 0))</f>
        <v>3</v>
      </c>
      <c r="H1438">
        <f>northwind_order_details[[#This Row],[unit_price]]*northwind_order_details[[#This Row],[quantity]]</f>
        <v>855</v>
      </c>
      <c r="I1438" s="1">
        <f>northwind_order_details[[#This Row],[purchase amount]]*northwind_order_details[[#This Row],[discount]]</f>
        <v>128.25</v>
      </c>
      <c r="J1438" s="1">
        <f>northwind_order_details[[#This Row],[purchase amount]]-northwind_order_details[[#This Row],[discount amount]]</f>
        <v>726.75</v>
      </c>
      <c r="K1438" s="6" t="str">
        <f>IF(northwind_order_details[[#This Row],[discount amount]]&gt;0,"Yes","No")</f>
        <v>Yes</v>
      </c>
      <c r="L1438" s="1" t="str">
        <f>IF(northwind_order_details[[#This Row],[Revenue]]&gt;1000,"High",IF(northwind_order_details[[#This Row],[Revenue]]&gt;300,"Medium","Low"))</f>
        <v>Medium</v>
      </c>
      <c r="M143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39" spans="1:13" x14ac:dyDescent="0.25">
      <c r="A1439">
        <v>10815</v>
      </c>
      <c r="B1439">
        <v>33</v>
      </c>
      <c r="C1439" s="6">
        <v>2.5</v>
      </c>
      <c r="D1439">
        <v>16</v>
      </c>
      <c r="E1439" s="6" t="s">
        <v>6</v>
      </c>
      <c r="F1439" t="str">
        <f>_xlfn.XLOOKUP(northwind_order_details[[#This Row],[order_id]],northwind_orders[order_id],northwind_orders[ship_country])</f>
        <v>USA</v>
      </c>
      <c r="G1439">
        <f>INDEX(northwind_orders[],MATCH(northwind_order_details[[#This Row],[order_id]], northwind_orders[order_id], 0), MATCH("employee_id", northwind_orders[#Headers], 0))</f>
        <v>2</v>
      </c>
      <c r="H1439">
        <f>northwind_order_details[[#This Row],[unit_price]]*northwind_order_details[[#This Row],[quantity]]</f>
        <v>40</v>
      </c>
      <c r="I1439" s="1">
        <f>northwind_order_details[[#This Row],[purchase amount]]*northwind_order_details[[#This Row],[discount]]</f>
        <v>0</v>
      </c>
      <c r="J1439" s="1">
        <f>northwind_order_details[[#This Row],[purchase amount]]-northwind_order_details[[#This Row],[discount amount]]</f>
        <v>40</v>
      </c>
      <c r="K1439" s="6" t="str">
        <f>IF(northwind_order_details[[#This Row],[discount amount]]&gt;0,"Yes","No")</f>
        <v>No</v>
      </c>
      <c r="L1439" s="1" t="str">
        <f>IF(northwind_order_details[[#This Row],[Revenue]]&gt;1000,"High",IF(northwind_order_details[[#This Row],[Revenue]]&gt;300,"Medium","Low"))</f>
        <v>Low</v>
      </c>
      <c r="M14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0" spans="1:13" x14ac:dyDescent="0.25">
      <c r="A1440">
        <v>10816</v>
      </c>
      <c r="B1440">
        <v>38</v>
      </c>
      <c r="C1440" s="6">
        <v>263.5</v>
      </c>
      <c r="D1440">
        <v>30</v>
      </c>
      <c r="E1440" s="6">
        <v>0.05</v>
      </c>
      <c r="F1440" t="str">
        <f>_xlfn.XLOOKUP(northwind_order_details[[#This Row],[order_id]],northwind_orders[order_id],northwind_orders[ship_country])</f>
        <v>USA</v>
      </c>
      <c r="G1440">
        <f>INDEX(northwind_orders[],MATCH(northwind_order_details[[#This Row],[order_id]], northwind_orders[order_id], 0), MATCH("employee_id", northwind_orders[#Headers], 0))</f>
        <v>4</v>
      </c>
      <c r="H1440">
        <f>northwind_order_details[[#This Row],[unit_price]]*northwind_order_details[[#This Row],[quantity]]</f>
        <v>7905</v>
      </c>
      <c r="I1440" s="1">
        <f>northwind_order_details[[#This Row],[purchase amount]]*northwind_order_details[[#This Row],[discount]]</f>
        <v>395.25</v>
      </c>
      <c r="J1440" s="1">
        <f>northwind_order_details[[#This Row],[purchase amount]]-northwind_order_details[[#This Row],[discount amount]]</f>
        <v>7509.75</v>
      </c>
      <c r="K1440" s="6" t="str">
        <f>IF(northwind_order_details[[#This Row],[discount amount]]&gt;0,"Yes","No")</f>
        <v>Yes</v>
      </c>
      <c r="L1440" s="1" t="str">
        <f>IF(northwind_order_details[[#This Row],[Revenue]]&gt;1000,"High",IF(northwind_order_details[[#This Row],[Revenue]]&gt;300,"Medium","Low"))</f>
        <v>High</v>
      </c>
      <c r="M14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1" spans="1:13" x14ac:dyDescent="0.25">
      <c r="A1441">
        <v>10816</v>
      </c>
      <c r="B1441">
        <v>62</v>
      </c>
      <c r="C1441" s="6">
        <v>49.3</v>
      </c>
      <c r="D1441">
        <v>20</v>
      </c>
      <c r="E1441" s="6">
        <v>0.05</v>
      </c>
      <c r="F1441" t="str">
        <f>_xlfn.XLOOKUP(northwind_order_details[[#This Row],[order_id]],northwind_orders[order_id],northwind_orders[ship_country])</f>
        <v>USA</v>
      </c>
      <c r="G1441">
        <f>INDEX(northwind_orders[],MATCH(northwind_order_details[[#This Row],[order_id]], northwind_orders[order_id], 0), MATCH("employee_id", northwind_orders[#Headers], 0))</f>
        <v>4</v>
      </c>
      <c r="H1441">
        <f>northwind_order_details[[#This Row],[unit_price]]*northwind_order_details[[#This Row],[quantity]]</f>
        <v>986</v>
      </c>
      <c r="I1441" s="1">
        <f>northwind_order_details[[#This Row],[purchase amount]]*northwind_order_details[[#This Row],[discount]]</f>
        <v>49.300000000000004</v>
      </c>
      <c r="J1441" s="1">
        <f>northwind_order_details[[#This Row],[purchase amount]]-northwind_order_details[[#This Row],[discount amount]]</f>
        <v>936.7</v>
      </c>
      <c r="K1441" s="6" t="str">
        <f>IF(northwind_order_details[[#This Row],[discount amount]]&gt;0,"Yes","No")</f>
        <v>Yes</v>
      </c>
      <c r="L1441" s="1" t="str">
        <f>IF(northwind_order_details[[#This Row],[Revenue]]&gt;1000,"High",IF(northwind_order_details[[#This Row],[Revenue]]&gt;300,"Medium","Low"))</f>
        <v>Medium</v>
      </c>
      <c r="M14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2" spans="1:13" x14ac:dyDescent="0.25">
      <c r="A1442">
        <v>10817</v>
      </c>
      <c r="B1442">
        <v>26</v>
      </c>
      <c r="C1442" s="6">
        <v>31.23</v>
      </c>
      <c r="D1442">
        <v>40</v>
      </c>
      <c r="E1442" s="6">
        <v>0.15</v>
      </c>
      <c r="F1442" t="str">
        <f>_xlfn.XLOOKUP(northwind_order_details[[#This Row],[order_id]],northwind_orders[order_id],northwind_orders[ship_country])</f>
        <v>Germany</v>
      </c>
      <c r="G1442">
        <f>INDEX(northwind_orders[],MATCH(northwind_order_details[[#This Row],[order_id]], northwind_orders[order_id], 0), MATCH("employee_id", northwind_orders[#Headers], 0))</f>
        <v>3</v>
      </c>
      <c r="H1442">
        <f>northwind_order_details[[#This Row],[unit_price]]*northwind_order_details[[#This Row],[quantity]]</f>
        <v>1249.2</v>
      </c>
      <c r="I1442" s="1">
        <f>northwind_order_details[[#This Row],[purchase amount]]*northwind_order_details[[#This Row],[discount]]</f>
        <v>187.38</v>
      </c>
      <c r="J1442" s="1">
        <f>northwind_order_details[[#This Row],[purchase amount]]-northwind_order_details[[#This Row],[discount amount]]</f>
        <v>1061.8200000000002</v>
      </c>
      <c r="K1442" s="6" t="str">
        <f>IF(northwind_order_details[[#This Row],[discount amount]]&gt;0,"Yes","No")</f>
        <v>Yes</v>
      </c>
      <c r="L1442" s="1" t="str">
        <f>IF(northwind_order_details[[#This Row],[Revenue]]&gt;1000,"High",IF(northwind_order_details[[#This Row],[Revenue]]&gt;300,"Medium","Low"))</f>
        <v>High</v>
      </c>
      <c r="M144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3" spans="1:13" x14ac:dyDescent="0.25">
      <c r="A1443">
        <v>10817</v>
      </c>
      <c r="B1443">
        <v>38</v>
      </c>
      <c r="C1443" s="6">
        <v>263.5</v>
      </c>
      <c r="D1443">
        <v>30</v>
      </c>
      <c r="E1443" s="6" t="s">
        <v>6</v>
      </c>
      <c r="F1443" t="str">
        <f>_xlfn.XLOOKUP(northwind_order_details[[#This Row],[order_id]],northwind_orders[order_id],northwind_orders[ship_country])</f>
        <v>Germany</v>
      </c>
      <c r="G1443">
        <f>INDEX(northwind_orders[],MATCH(northwind_order_details[[#This Row],[order_id]], northwind_orders[order_id], 0), MATCH("employee_id", northwind_orders[#Headers], 0))</f>
        <v>3</v>
      </c>
      <c r="H1443">
        <f>northwind_order_details[[#This Row],[unit_price]]*northwind_order_details[[#This Row],[quantity]]</f>
        <v>7905</v>
      </c>
      <c r="I1443" s="1">
        <f>northwind_order_details[[#This Row],[purchase amount]]*northwind_order_details[[#This Row],[discount]]</f>
        <v>0</v>
      </c>
      <c r="J1443" s="1">
        <f>northwind_order_details[[#This Row],[purchase amount]]-northwind_order_details[[#This Row],[discount amount]]</f>
        <v>7905</v>
      </c>
      <c r="K1443" s="6" t="str">
        <f>IF(northwind_order_details[[#This Row],[discount amount]]&gt;0,"Yes","No")</f>
        <v>No</v>
      </c>
      <c r="L1443" s="1" t="str">
        <f>IF(northwind_order_details[[#This Row],[Revenue]]&gt;1000,"High",IF(northwind_order_details[[#This Row],[Revenue]]&gt;300,"Medium","Low"))</f>
        <v>High</v>
      </c>
      <c r="M14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4" spans="1:13" x14ac:dyDescent="0.25">
      <c r="A1444">
        <v>10817</v>
      </c>
      <c r="B1444">
        <v>40</v>
      </c>
      <c r="C1444" s="6">
        <v>18.399999999999999</v>
      </c>
      <c r="D1444">
        <v>60</v>
      </c>
      <c r="E1444" s="6">
        <v>0.15</v>
      </c>
      <c r="F1444" t="str">
        <f>_xlfn.XLOOKUP(northwind_order_details[[#This Row],[order_id]],northwind_orders[order_id],northwind_orders[ship_country])</f>
        <v>Germany</v>
      </c>
      <c r="G1444">
        <f>INDEX(northwind_orders[],MATCH(northwind_order_details[[#This Row],[order_id]], northwind_orders[order_id], 0), MATCH("employee_id", northwind_orders[#Headers], 0))</f>
        <v>3</v>
      </c>
      <c r="H1444">
        <f>northwind_order_details[[#This Row],[unit_price]]*northwind_order_details[[#This Row],[quantity]]</f>
        <v>1104</v>
      </c>
      <c r="I1444" s="1">
        <f>northwind_order_details[[#This Row],[purchase amount]]*northwind_order_details[[#This Row],[discount]]</f>
        <v>165.6</v>
      </c>
      <c r="J1444" s="1">
        <f>northwind_order_details[[#This Row],[purchase amount]]-northwind_order_details[[#This Row],[discount amount]]</f>
        <v>938.4</v>
      </c>
      <c r="K1444" s="6" t="str">
        <f>IF(northwind_order_details[[#This Row],[discount amount]]&gt;0,"Yes","No")</f>
        <v>Yes</v>
      </c>
      <c r="L1444" s="1" t="str">
        <f>IF(northwind_order_details[[#This Row],[Revenue]]&gt;1000,"High",IF(northwind_order_details[[#This Row],[Revenue]]&gt;300,"Medium","Low"))</f>
        <v>Medium</v>
      </c>
      <c r="M14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5" spans="1:13" x14ac:dyDescent="0.25">
      <c r="A1445">
        <v>10817</v>
      </c>
      <c r="B1445">
        <v>62</v>
      </c>
      <c r="C1445" s="6">
        <v>49.3</v>
      </c>
      <c r="D1445">
        <v>25</v>
      </c>
      <c r="E1445" s="6">
        <v>0.15</v>
      </c>
      <c r="F1445" t="str">
        <f>_xlfn.XLOOKUP(northwind_order_details[[#This Row],[order_id]],northwind_orders[order_id],northwind_orders[ship_country])</f>
        <v>Germany</v>
      </c>
      <c r="G1445">
        <f>INDEX(northwind_orders[],MATCH(northwind_order_details[[#This Row],[order_id]], northwind_orders[order_id], 0), MATCH("employee_id", northwind_orders[#Headers], 0))</f>
        <v>3</v>
      </c>
      <c r="H1445">
        <f>northwind_order_details[[#This Row],[unit_price]]*northwind_order_details[[#This Row],[quantity]]</f>
        <v>1232.5</v>
      </c>
      <c r="I1445" s="1">
        <f>northwind_order_details[[#This Row],[purchase amount]]*northwind_order_details[[#This Row],[discount]]</f>
        <v>184.875</v>
      </c>
      <c r="J1445" s="1">
        <f>northwind_order_details[[#This Row],[purchase amount]]-northwind_order_details[[#This Row],[discount amount]]</f>
        <v>1047.625</v>
      </c>
      <c r="K1445" s="6" t="str">
        <f>IF(northwind_order_details[[#This Row],[discount amount]]&gt;0,"Yes","No")</f>
        <v>Yes</v>
      </c>
      <c r="L1445" s="1" t="str">
        <f>IF(northwind_order_details[[#This Row],[Revenue]]&gt;1000,"High",IF(northwind_order_details[[#This Row],[Revenue]]&gt;300,"Medium","Low"))</f>
        <v>High</v>
      </c>
      <c r="M14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6" spans="1:13" x14ac:dyDescent="0.25">
      <c r="A1446">
        <v>10818</v>
      </c>
      <c r="B1446">
        <v>32</v>
      </c>
      <c r="C1446" s="6" t="s">
        <v>18</v>
      </c>
      <c r="D1446">
        <v>20</v>
      </c>
      <c r="E1446" s="6" t="s">
        <v>6</v>
      </c>
      <c r="F1446" t="str">
        <f>_xlfn.XLOOKUP(northwind_order_details[[#This Row],[order_id]],northwind_orders[order_id],northwind_orders[ship_country])</f>
        <v>Italy</v>
      </c>
      <c r="G1446">
        <f>INDEX(northwind_orders[],MATCH(northwind_order_details[[#This Row],[order_id]], northwind_orders[order_id], 0), MATCH("employee_id", northwind_orders[#Headers], 0))</f>
        <v>7</v>
      </c>
      <c r="H1446">
        <f>northwind_order_details[[#This Row],[unit_price]]*northwind_order_details[[#This Row],[quantity]]</f>
        <v>640</v>
      </c>
      <c r="I1446" s="1">
        <f>northwind_order_details[[#This Row],[purchase amount]]*northwind_order_details[[#This Row],[discount]]</f>
        <v>0</v>
      </c>
      <c r="J1446" s="1">
        <f>northwind_order_details[[#This Row],[purchase amount]]-northwind_order_details[[#This Row],[discount amount]]</f>
        <v>640</v>
      </c>
      <c r="K1446" s="6" t="str">
        <f>IF(northwind_order_details[[#This Row],[discount amount]]&gt;0,"Yes","No")</f>
        <v>No</v>
      </c>
      <c r="L1446" s="1" t="str">
        <f>IF(northwind_order_details[[#This Row],[Revenue]]&gt;1000,"High",IF(northwind_order_details[[#This Row],[Revenue]]&gt;300,"Medium","Low"))</f>
        <v>Medium</v>
      </c>
      <c r="M14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47" spans="1:13" x14ac:dyDescent="0.25">
      <c r="A1447">
        <v>10818</v>
      </c>
      <c r="B1447">
        <v>41</v>
      </c>
      <c r="C1447" s="6">
        <v>9.65</v>
      </c>
      <c r="D1447">
        <v>20</v>
      </c>
      <c r="E1447" s="6" t="s">
        <v>6</v>
      </c>
      <c r="F1447" t="str">
        <f>_xlfn.XLOOKUP(northwind_order_details[[#This Row],[order_id]],northwind_orders[order_id],northwind_orders[ship_country])</f>
        <v>Italy</v>
      </c>
      <c r="G1447">
        <f>INDEX(northwind_orders[],MATCH(northwind_order_details[[#This Row],[order_id]], northwind_orders[order_id], 0), MATCH("employee_id", northwind_orders[#Headers], 0))</f>
        <v>7</v>
      </c>
      <c r="H1447">
        <f>northwind_order_details[[#This Row],[unit_price]]*northwind_order_details[[#This Row],[quantity]]</f>
        <v>193</v>
      </c>
      <c r="I1447" s="1">
        <f>northwind_order_details[[#This Row],[purchase amount]]*northwind_order_details[[#This Row],[discount]]</f>
        <v>0</v>
      </c>
      <c r="J1447" s="1">
        <f>northwind_order_details[[#This Row],[purchase amount]]-northwind_order_details[[#This Row],[discount amount]]</f>
        <v>193</v>
      </c>
      <c r="K1447" s="6" t="str">
        <f>IF(northwind_order_details[[#This Row],[discount amount]]&gt;0,"Yes","No")</f>
        <v>No</v>
      </c>
      <c r="L1447" s="1" t="str">
        <f>IF(northwind_order_details[[#This Row],[Revenue]]&gt;1000,"High",IF(northwind_order_details[[#This Row],[Revenue]]&gt;300,"Medium","Low"))</f>
        <v>Low</v>
      </c>
      <c r="M144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48" spans="1:13" x14ac:dyDescent="0.25">
      <c r="A1448">
        <v>10819</v>
      </c>
      <c r="B1448">
        <v>43</v>
      </c>
      <c r="C1448" s="6" t="s">
        <v>22</v>
      </c>
      <c r="D1448">
        <v>7</v>
      </c>
      <c r="E1448" s="6" t="s">
        <v>6</v>
      </c>
      <c r="F1448" t="str">
        <f>_xlfn.XLOOKUP(northwind_order_details[[#This Row],[order_id]],northwind_orders[order_id],northwind_orders[ship_country])</f>
        <v>Argentina</v>
      </c>
      <c r="G1448">
        <f>INDEX(northwind_orders[],MATCH(northwind_order_details[[#This Row],[order_id]], northwind_orders[order_id], 0), MATCH("employee_id", northwind_orders[#Headers], 0))</f>
        <v>2</v>
      </c>
      <c r="H1448">
        <f>northwind_order_details[[#This Row],[unit_price]]*northwind_order_details[[#This Row],[quantity]]</f>
        <v>322</v>
      </c>
      <c r="I1448" s="1">
        <f>northwind_order_details[[#This Row],[purchase amount]]*northwind_order_details[[#This Row],[discount]]</f>
        <v>0</v>
      </c>
      <c r="J1448" s="1">
        <f>northwind_order_details[[#This Row],[purchase amount]]-northwind_order_details[[#This Row],[discount amount]]</f>
        <v>322</v>
      </c>
      <c r="K1448" s="6" t="str">
        <f>IF(northwind_order_details[[#This Row],[discount amount]]&gt;0,"Yes","No")</f>
        <v>No</v>
      </c>
      <c r="L1448" s="1" t="str">
        <f>IF(northwind_order_details[[#This Row],[Revenue]]&gt;1000,"High",IF(northwind_order_details[[#This Row],[Revenue]]&gt;300,"Medium","Low"))</f>
        <v>Medium</v>
      </c>
      <c r="M14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49" spans="1:13" x14ac:dyDescent="0.25">
      <c r="A1449">
        <v>10819</v>
      </c>
      <c r="B1449">
        <v>75</v>
      </c>
      <c r="C1449" s="6">
        <v>7.75</v>
      </c>
      <c r="D1449">
        <v>20</v>
      </c>
      <c r="E1449" s="6" t="s">
        <v>6</v>
      </c>
      <c r="F1449" t="str">
        <f>_xlfn.XLOOKUP(northwind_order_details[[#This Row],[order_id]],northwind_orders[order_id],northwind_orders[ship_country])</f>
        <v>Argentina</v>
      </c>
      <c r="G1449">
        <f>INDEX(northwind_orders[],MATCH(northwind_order_details[[#This Row],[order_id]], northwind_orders[order_id], 0), MATCH("employee_id", northwind_orders[#Headers], 0))</f>
        <v>2</v>
      </c>
      <c r="H1449">
        <f>northwind_order_details[[#This Row],[unit_price]]*northwind_order_details[[#This Row],[quantity]]</f>
        <v>155</v>
      </c>
      <c r="I1449" s="1">
        <f>northwind_order_details[[#This Row],[purchase amount]]*northwind_order_details[[#This Row],[discount]]</f>
        <v>0</v>
      </c>
      <c r="J1449" s="1">
        <f>northwind_order_details[[#This Row],[purchase amount]]-northwind_order_details[[#This Row],[discount amount]]</f>
        <v>155</v>
      </c>
      <c r="K1449" s="6" t="str">
        <f>IF(northwind_order_details[[#This Row],[discount amount]]&gt;0,"Yes","No")</f>
        <v>No</v>
      </c>
      <c r="L1449" s="1" t="str">
        <f>IF(northwind_order_details[[#This Row],[Revenue]]&gt;1000,"High",IF(northwind_order_details[[#This Row],[Revenue]]&gt;300,"Medium","Low"))</f>
        <v>Low</v>
      </c>
      <c r="M14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50" spans="1:13" x14ac:dyDescent="0.25">
      <c r="A1450">
        <v>10820</v>
      </c>
      <c r="B1450">
        <v>56</v>
      </c>
      <c r="C1450" s="6" t="s">
        <v>30</v>
      </c>
      <c r="D1450">
        <v>30</v>
      </c>
      <c r="E1450" s="6" t="s">
        <v>6</v>
      </c>
      <c r="F1450" t="str">
        <f>_xlfn.XLOOKUP(northwind_order_details[[#This Row],[order_id]],northwind_orders[order_id],northwind_orders[ship_country])</f>
        <v>USA</v>
      </c>
      <c r="G1450">
        <f>INDEX(northwind_orders[],MATCH(northwind_order_details[[#This Row],[order_id]], northwind_orders[order_id], 0), MATCH("employee_id", northwind_orders[#Headers], 0))</f>
        <v>3</v>
      </c>
      <c r="H1450">
        <f>northwind_order_details[[#This Row],[unit_price]]*northwind_order_details[[#This Row],[quantity]]</f>
        <v>1140</v>
      </c>
      <c r="I1450" s="1">
        <f>northwind_order_details[[#This Row],[purchase amount]]*northwind_order_details[[#This Row],[discount]]</f>
        <v>0</v>
      </c>
      <c r="J1450" s="1">
        <f>northwind_order_details[[#This Row],[purchase amount]]-northwind_order_details[[#This Row],[discount amount]]</f>
        <v>1140</v>
      </c>
      <c r="K1450" s="6" t="str">
        <f>IF(northwind_order_details[[#This Row],[discount amount]]&gt;0,"Yes","No")</f>
        <v>No</v>
      </c>
      <c r="L1450" s="1" t="str">
        <f>IF(northwind_order_details[[#This Row],[Revenue]]&gt;1000,"High",IF(northwind_order_details[[#This Row],[Revenue]]&gt;300,"Medium","Low"))</f>
        <v>High</v>
      </c>
      <c r="M14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1" spans="1:13" x14ac:dyDescent="0.25">
      <c r="A1451">
        <v>10821</v>
      </c>
      <c r="B1451">
        <v>35</v>
      </c>
      <c r="C1451" s="6" t="s">
        <v>24</v>
      </c>
      <c r="D1451">
        <v>20</v>
      </c>
      <c r="E1451" s="6" t="s">
        <v>6</v>
      </c>
      <c r="F1451" t="str">
        <f>_xlfn.XLOOKUP(northwind_order_details[[#This Row],[order_id]],northwind_orders[order_id],northwind_orders[ship_country])</f>
        <v>USA</v>
      </c>
      <c r="G1451">
        <f>INDEX(northwind_orders[],MATCH(northwind_order_details[[#This Row],[order_id]], northwind_orders[order_id], 0), MATCH("employee_id", northwind_orders[#Headers], 0))</f>
        <v>1</v>
      </c>
      <c r="H1451">
        <f>northwind_order_details[[#This Row],[unit_price]]*northwind_order_details[[#This Row],[quantity]]</f>
        <v>360</v>
      </c>
      <c r="I1451" s="1">
        <f>northwind_order_details[[#This Row],[purchase amount]]*northwind_order_details[[#This Row],[discount]]</f>
        <v>0</v>
      </c>
      <c r="J1451" s="1">
        <f>northwind_order_details[[#This Row],[purchase amount]]-northwind_order_details[[#This Row],[discount amount]]</f>
        <v>360</v>
      </c>
      <c r="K1451" s="6" t="str">
        <f>IF(northwind_order_details[[#This Row],[discount amount]]&gt;0,"Yes","No")</f>
        <v>No</v>
      </c>
      <c r="L1451" s="1" t="str">
        <f>IF(northwind_order_details[[#This Row],[Revenue]]&gt;1000,"High",IF(northwind_order_details[[#This Row],[Revenue]]&gt;300,"Medium","Low"))</f>
        <v>Medium</v>
      </c>
      <c r="M14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2" spans="1:13" x14ac:dyDescent="0.25">
      <c r="A1452">
        <v>10821</v>
      </c>
      <c r="B1452">
        <v>51</v>
      </c>
      <c r="C1452" s="6" t="s">
        <v>39</v>
      </c>
      <c r="D1452">
        <v>6</v>
      </c>
      <c r="E1452" s="6" t="s">
        <v>6</v>
      </c>
      <c r="F1452" t="str">
        <f>_xlfn.XLOOKUP(northwind_order_details[[#This Row],[order_id]],northwind_orders[order_id],northwind_orders[ship_country])</f>
        <v>USA</v>
      </c>
      <c r="G1452">
        <f>INDEX(northwind_orders[],MATCH(northwind_order_details[[#This Row],[order_id]], northwind_orders[order_id], 0), MATCH("employee_id", northwind_orders[#Headers], 0))</f>
        <v>1</v>
      </c>
      <c r="H1452">
        <f>northwind_order_details[[#This Row],[unit_price]]*northwind_order_details[[#This Row],[quantity]]</f>
        <v>318</v>
      </c>
      <c r="I1452" s="1">
        <f>northwind_order_details[[#This Row],[purchase amount]]*northwind_order_details[[#This Row],[discount]]</f>
        <v>0</v>
      </c>
      <c r="J1452" s="1">
        <f>northwind_order_details[[#This Row],[purchase amount]]-northwind_order_details[[#This Row],[discount amount]]</f>
        <v>318</v>
      </c>
      <c r="K1452" s="6" t="str">
        <f>IF(northwind_order_details[[#This Row],[discount amount]]&gt;0,"Yes","No")</f>
        <v>No</v>
      </c>
      <c r="L1452" s="1" t="str">
        <f>IF(northwind_order_details[[#This Row],[Revenue]]&gt;1000,"High",IF(northwind_order_details[[#This Row],[Revenue]]&gt;300,"Medium","Low"))</f>
        <v>Medium</v>
      </c>
      <c r="M14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3" spans="1:13" x14ac:dyDescent="0.25">
      <c r="A1453">
        <v>10822</v>
      </c>
      <c r="B1453">
        <v>62</v>
      </c>
      <c r="C1453" s="6">
        <v>49.3</v>
      </c>
      <c r="D1453">
        <v>3</v>
      </c>
      <c r="E1453" s="6" t="s">
        <v>6</v>
      </c>
      <c r="F1453" t="str">
        <f>_xlfn.XLOOKUP(northwind_order_details[[#This Row],[order_id]],northwind_orders[order_id],northwind_orders[ship_country])</f>
        <v>USA</v>
      </c>
      <c r="G1453">
        <f>INDEX(northwind_orders[],MATCH(northwind_order_details[[#This Row],[order_id]], northwind_orders[order_id], 0), MATCH("employee_id", northwind_orders[#Headers], 0))</f>
        <v>6</v>
      </c>
      <c r="H1453">
        <f>northwind_order_details[[#This Row],[unit_price]]*northwind_order_details[[#This Row],[quantity]]</f>
        <v>147.89999999999998</v>
      </c>
      <c r="I1453" s="1">
        <f>northwind_order_details[[#This Row],[purchase amount]]*northwind_order_details[[#This Row],[discount]]</f>
        <v>0</v>
      </c>
      <c r="J1453" s="1">
        <f>northwind_order_details[[#This Row],[purchase amount]]-northwind_order_details[[#This Row],[discount amount]]</f>
        <v>147.89999999999998</v>
      </c>
      <c r="K1453" s="6" t="str">
        <f>IF(northwind_order_details[[#This Row],[discount amount]]&gt;0,"Yes","No")</f>
        <v>No</v>
      </c>
      <c r="L1453" s="1" t="str">
        <f>IF(northwind_order_details[[#This Row],[Revenue]]&gt;1000,"High",IF(northwind_order_details[[#This Row],[Revenue]]&gt;300,"Medium","Low"))</f>
        <v>Low</v>
      </c>
      <c r="M14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54" spans="1:13" x14ac:dyDescent="0.25">
      <c r="A1454">
        <v>10822</v>
      </c>
      <c r="B1454">
        <v>70</v>
      </c>
      <c r="C1454" s="6" t="s">
        <v>21</v>
      </c>
      <c r="D1454">
        <v>6</v>
      </c>
      <c r="E1454" s="6" t="s">
        <v>6</v>
      </c>
      <c r="F1454" t="str">
        <f>_xlfn.XLOOKUP(northwind_order_details[[#This Row],[order_id]],northwind_orders[order_id],northwind_orders[ship_country])</f>
        <v>USA</v>
      </c>
      <c r="G1454">
        <f>INDEX(northwind_orders[],MATCH(northwind_order_details[[#This Row],[order_id]], northwind_orders[order_id], 0), MATCH("employee_id", northwind_orders[#Headers], 0))</f>
        <v>6</v>
      </c>
      <c r="H1454">
        <f>northwind_order_details[[#This Row],[unit_price]]*northwind_order_details[[#This Row],[quantity]]</f>
        <v>90</v>
      </c>
      <c r="I1454" s="1">
        <f>northwind_order_details[[#This Row],[purchase amount]]*northwind_order_details[[#This Row],[discount]]</f>
        <v>0</v>
      </c>
      <c r="J1454" s="1">
        <f>northwind_order_details[[#This Row],[purchase amount]]-northwind_order_details[[#This Row],[discount amount]]</f>
        <v>90</v>
      </c>
      <c r="K1454" s="6" t="str">
        <f>IF(northwind_order_details[[#This Row],[discount amount]]&gt;0,"Yes","No")</f>
        <v>No</v>
      </c>
      <c r="L1454" s="1" t="str">
        <f>IF(northwind_order_details[[#This Row],[Revenue]]&gt;1000,"High",IF(northwind_order_details[[#This Row],[Revenue]]&gt;300,"Medium","Low"))</f>
        <v>Low</v>
      </c>
      <c r="M14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5" spans="1:13" x14ac:dyDescent="0.25">
      <c r="A1455">
        <v>10823</v>
      </c>
      <c r="B1455">
        <v>11</v>
      </c>
      <c r="C1455" s="6" t="s">
        <v>37</v>
      </c>
      <c r="D1455">
        <v>20</v>
      </c>
      <c r="E1455" s="6">
        <v>0.1</v>
      </c>
      <c r="F1455" t="str">
        <f>_xlfn.XLOOKUP(northwind_order_details[[#This Row],[order_id]],northwind_orders[order_id],northwind_orders[ship_country])</f>
        <v>Venezuela</v>
      </c>
      <c r="G1455">
        <f>INDEX(northwind_orders[],MATCH(northwind_order_details[[#This Row],[order_id]], northwind_orders[order_id], 0), MATCH("employee_id", northwind_orders[#Headers], 0))</f>
        <v>5</v>
      </c>
      <c r="H1455">
        <f>northwind_order_details[[#This Row],[unit_price]]*northwind_order_details[[#This Row],[quantity]]</f>
        <v>420</v>
      </c>
      <c r="I1455" s="1">
        <f>northwind_order_details[[#This Row],[purchase amount]]*northwind_order_details[[#This Row],[discount]]</f>
        <v>42</v>
      </c>
      <c r="J1455" s="1">
        <f>northwind_order_details[[#This Row],[purchase amount]]-northwind_order_details[[#This Row],[discount amount]]</f>
        <v>378</v>
      </c>
      <c r="K1455" s="6" t="str">
        <f>IF(northwind_order_details[[#This Row],[discount amount]]&gt;0,"Yes","No")</f>
        <v>Yes</v>
      </c>
      <c r="L1455" s="1" t="str">
        <f>IF(northwind_order_details[[#This Row],[Revenue]]&gt;1000,"High",IF(northwind_order_details[[#This Row],[Revenue]]&gt;300,"Medium","Low"))</f>
        <v>Medium</v>
      </c>
      <c r="M14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6" spans="1:13" x14ac:dyDescent="0.25">
      <c r="A1456">
        <v>10823</v>
      </c>
      <c r="B1456">
        <v>57</v>
      </c>
      <c r="C1456" s="6">
        <v>19.5</v>
      </c>
      <c r="D1456">
        <v>15</v>
      </c>
      <c r="E1456" s="6" t="s">
        <v>6</v>
      </c>
      <c r="F1456" t="str">
        <f>_xlfn.XLOOKUP(northwind_order_details[[#This Row],[order_id]],northwind_orders[order_id],northwind_orders[ship_country])</f>
        <v>Venezuela</v>
      </c>
      <c r="G1456">
        <f>INDEX(northwind_orders[],MATCH(northwind_order_details[[#This Row],[order_id]], northwind_orders[order_id], 0), MATCH("employee_id", northwind_orders[#Headers], 0))</f>
        <v>5</v>
      </c>
      <c r="H1456">
        <f>northwind_order_details[[#This Row],[unit_price]]*northwind_order_details[[#This Row],[quantity]]</f>
        <v>292.5</v>
      </c>
      <c r="I1456" s="1">
        <f>northwind_order_details[[#This Row],[purchase amount]]*northwind_order_details[[#This Row],[discount]]</f>
        <v>0</v>
      </c>
      <c r="J1456" s="1">
        <f>northwind_order_details[[#This Row],[purchase amount]]-northwind_order_details[[#This Row],[discount amount]]</f>
        <v>292.5</v>
      </c>
      <c r="K1456" s="6" t="str">
        <f>IF(northwind_order_details[[#This Row],[discount amount]]&gt;0,"Yes","No")</f>
        <v>No</v>
      </c>
      <c r="L1456" s="1" t="str">
        <f>IF(northwind_order_details[[#This Row],[Revenue]]&gt;1000,"High",IF(northwind_order_details[[#This Row],[Revenue]]&gt;300,"Medium","Low"))</f>
        <v>Low</v>
      </c>
      <c r="M14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57" spans="1:13" x14ac:dyDescent="0.25">
      <c r="A1457">
        <v>10823</v>
      </c>
      <c r="B1457">
        <v>59</v>
      </c>
      <c r="C1457" s="6" t="s">
        <v>33</v>
      </c>
      <c r="D1457">
        <v>40</v>
      </c>
      <c r="E1457" s="6">
        <v>0.1</v>
      </c>
      <c r="F1457" t="str">
        <f>_xlfn.XLOOKUP(northwind_order_details[[#This Row],[order_id]],northwind_orders[order_id],northwind_orders[ship_country])</f>
        <v>Venezuela</v>
      </c>
      <c r="G1457">
        <f>INDEX(northwind_orders[],MATCH(northwind_order_details[[#This Row],[order_id]], northwind_orders[order_id], 0), MATCH("employee_id", northwind_orders[#Headers], 0))</f>
        <v>5</v>
      </c>
      <c r="H1457">
        <f>northwind_order_details[[#This Row],[unit_price]]*northwind_order_details[[#This Row],[quantity]]</f>
        <v>2200</v>
      </c>
      <c r="I1457" s="1">
        <f>northwind_order_details[[#This Row],[purchase amount]]*northwind_order_details[[#This Row],[discount]]</f>
        <v>220</v>
      </c>
      <c r="J1457" s="1">
        <f>northwind_order_details[[#This Row],[purchase amount]]-northwind_order_details[[#This Row],[discount amount]]</f>
        <v>1980</v>
      </c>
      <c r="K1457" s="6" t="str">
        <f>IF(northwind_order_details[[#This Row],[discount amount]]&gt;0,"Yes","No")</f>
        <v>Yes</v>
      </c>
      <c r="L1457" s="1" t="str">
        <f>IF(northwind_order_details[[#This Row],[Revenue]]&gt;1000,"High",IF(northwind_order_details[[#This Row],[Revenue]]&gt;300,"Medium","Low"))</f>
        <v>High</v>
      </c>
      <c r="M14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8" spans="1:13" x14ac:dyDescent="0.25">
      <c r="A1458">
        <v>10823</v>
      </c>
      <c r="B1458">
        <v>77</v>
      </c>
      <c r="C1458" s="6" t="s">
        <v>19</v>
      </c>
      <c r="D1458">
        <v>15</v>
      </c>
      <c r="E1458" s="6">
        <v>0.1</v>
      </c>
      <c r="F1458" t="str">
        <f>_xlfn.XLOOKUP(northwind_order_details[[#This Row],[order_id]],northwind_orders[order_id],northwind_orders[ship_country])</f>
        <v>Venezuela</v>
      </c>
      <c r="G1458">
        <f>INDEX(northwind_orders[],MATCH(northwind_order_details[[#This Row],[order_id]], northwind_orders[order_id], 0), MATCH("employee_id", northwind_orders[#Headers], 0))</f>
        <v>5</v>
      </c>
      <c r="H1458">
        <f>northwind_order_details[[#This Row],[unit_price]]*northwind_order_details[[#This Row],[quantity]]</f>
        <v>195</v>
      </c>
      <c r="I1458" s="1">
        <f>northwind_order_details[[#This Row],[purchase amount]]*northwind_order_details[[#This Row],[discount]]</f>
        <v>19.5</v>
      </c>
      <c r="J1458" s="1">
        <f>northwind_order_details[[#This Row],[purchase amount]]-northwind_order_details[[#This Row],[discount amount]]</f>
        <v>175.5</v>
      </c>
      <c r="K1458" s="6" t="str">
        <f>IF(northwind_order_details[[#This Row],[discount amount]]&gt;0,"Yes","No")</f>
        <v>Yes</v>
      </c>
      <c r="L1458" s="1" t="str">
        <f>IF(northwind_order_details[[#This Row],[Revenue]]&gt;1000,"High",IF(northwind_order_details[[#This Row],[Revenue]]&gt;300,"Medium","Low"))</f>
        <v>Low</v>
      </c>
      <c r="M14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59" spans="1:13" x14ac:dyDescent="0.25">
      <c r="A1459">
        <v>10824</v>
      </c>
      <c r="B1459">
        <v>41</v>
      </c>
      <c r="C1459" s="6">
        <v>9.65</v>
      </c>
      <c r="D1459">
        <v>12</v>
      </c>
      <c r="E1459" s="6" t="s">
        <v>6</v>
      </c>
      <c r="F1459" t="str">
        <f>_xlfn.XLOOKUP(northwind_order_details[[#This Row],[order_id]],northwind_orders[order_id],northwind_orders[ship_country])</f>
        <v>Sweden</v>
      </c>
      <c r="G1459">
        <f>INDEX(northwind_orders[],MATCH(northwind_order_details[[#This Row],[order_id]], northwind_orders[order_id], 0), MATCH("employee_id", northwind_orders[#Headers], 0))</f>
        <v>8</v>
      </c>
      <c r="H1459">
        <f>northwind_order_details[[#This Row],[unit_price]]*northwind_order_details[[#This Row],[quantity]]</f>
        <v>115.80000000000001</v>
      </c>
      <c r="I1459" s="1">
        <f>northwind_order_details[[#This Row],[purchase amount]]*northwind_order_details[[#This Row],[discount]]</f>
        <v>0</v>
      </c>
      <c r="J1459" s="1">
        <f>northwind_order_details[[#This Row],[purchase amount]]-northwind_order_details[[#This Row],[discount amount]]</f>
        <v>115.80000000000001</v>
      </c>
      <c r="K1459" s="6" t="str">
        <f>IF(northwind_order_details[[#This Row],[discount amount]]&gt;0,"Yes","No")</f>
        <v>No</v>
      </c>
      <c r="L1459" s="1" t="str">
        <f>IF(northwind_order_details[[#This Row],[Revenue]]&gt;1000,"High",IF(northwind_order_details[[#This Row],[Revenue]]&gt;300,"Medium","Low"))</f>
        <v>Low</v>
      </c>
      <c r="M14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60" spans="1:13" x14ac:dyDescent="0.25">
      <c r="A1460">
        <v>10824</v>
      </c>
      <c r="B1460">
        <v>70</v>
      </c>
      <c r="C1460" s="6" t="s">
        <v>21</v>
      </c>
      <c r="D1460">
        <v>9</v>
      </c>
      <c r="E1460" s="6" t="s">
        <v>6</v>
      </c>
      <c r="F1460" t="str">
        <f>_xlfn.XLOOKUP(northwind_order_details[[#This Row],[order_id]],northwind_orders[order_id],northwind_orders[ship_country])</f>
        <v>Sweden</v>
      </c>
      <c r="G1460">
        <f>INDEX(northwind_orders[],MATCH(northwind_order_details[[#This Row],[order_id]], northwind_orders[order_id], 0), MATCH("employee_id", northwind_orders[#Headers], 0))</f>
        <v>8</v>
      </c>
      <c r="H1460">
        <f>northwind_order_details[[#This Row],[unit_price]]*northwind_order_details[[#This Row],[quantity]]</f>
        <v>135</v>
      </c>
      <c r="I1460" s="1">
        <f>northwind_order_details[[#This Row],[purchase amount]]*northwind_order_details[[#This Row],[discount]]</f>
        <v>0</v>
      </c>
      <c r="J1460" s="1">
        <f>northwind_order_details[[#This Row],[purchase amount]]-northwind_order_details[[#This Row],[discount amount]]</f>
        <v>135</v>
      </c>
      <c r="K1460" s="6" t="str">
        <f>IF(northwind_order_details[[#This Row],[discount amount]]&gt;0,"Yes","No")</f>
        <v>No</v>
      </c>
      <c r="L1460" s="1" t="str">
        <f>IF(northwind_order_details[[#This Row],[Revenue]]&gt;1000,"High",IF(northwind_order_details[[#This Row],[Revenue]]&gt;300,"Medium","Low"))</f>
        <v>Low</v>
      </c>
      <c r="M14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61" spans="1:13" x14ac:dyDescent="0.25">
      <c r="A1461">
        <v>10825</v>
      </c>
      <c r="B1461">
        <v>26</v>
      </c>
      <c r="C1461" s="6">
        <v>31.23</v>
      </c>
      <c r="D1461">
        <v>12</v>
      </c>
      <c r="E1461" s="6" t="s">
        <v>6</v>
      </c>
      <c r="F1461" t="str">
        <f>_xlfn.XLOOKUP(northwind_order_details[[#This Row],[order_id]],northwind_orders[order_id],northwind_orders[ship_country])</f>
        <v>Germany</v>
      </c>
      <c r="G1461">
        <f>INDEX(northwind_orders[],MATCH(northwind_order_details[[#This Row],[order_id]], northwind_orders[order_id], 0), MATCH("employee_id", northwind_orders[#Headers], 0))</f>
        <v>1</v>
      </c>
      <c r="H1461">
        <f>northwind_order_details[[#This Row],[unit_price]]*northwind_order_details[[#This Row],[quantity]]</f>
        <v>374.76</v>
      </c>
      <c r="I1461" s="1">
        <f>northwind_order_details[[#This Row],[purchase amount]]*northwind_order_details[[#This Row],[discount]]</f>
        <v>0</v>
      </c>
      <c r="J1461" s="1">
        <f>northwind_order_details[[#This Row],[purchase amount]]-northwind_order_details[[#This Row],[discount amount]]</f>
        <v>374.76</v>
      </c>
      <c r="K1461" s="6" t="str">
        <f>IF(northwind_order_details[[#This Row],[discount amount]]&gt;0,"Yes","No")</f>
        <v>No</v>
      </c>
      <c r="L1461" s="1" t="str">
        <f>IF(northwind_order_details[[#This Row],[Revenue]]&gt;1000,"High",IF(northwind_order_details[[#This Row],[Revenue]]&gt;300,"Medium","Low"))</f>
        <v>Medium</v>
      </c>
      <c r="M14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62" spans="1:13" x14ac:dyDescent="0.25">
      <c r="A1462">
        <v>10825</v>
      </c>
      <c r="B1462">
        <v>53</v>
      </c>
      <c r="C1462" s="6">
        <v>32.799999999999997</v>
      </c>
      <c r="D1462">
        <v>20</v>
      </c>
      <c r="E1462" s="6" t="s">
        <v>6</v>
      </c>
      <c r="F1462" t="str">
        <f>_xlfn.XLOOKUP(northwind_order_details[[#This Row],[order_id]],northwind_orders[order_id],northwind_orders[ship_country])</f>
        <v>Germany</v>
      </c>
      <c r="G1462">
        <f>INDEX(northwind_orders[],MATCH(northwind_order_details[[#This Row],[order_id]], northwind_orders[order_id], 0), MATCH("employee_id", northwind_orders[#Headers], 0))</f>
        <v>1</v>
      </c>
      <c r="H1462">
        <f>northwind_order_details[[#This Row],[unit_price]]*northwind_order_details[[#This Row],[quantity]]</f>
        <v>656</v>
      </c>
      <c r="I1462" s="1">
        <f>northwind_order_details[[#This Row],[purchase amount]]*northwind_order_details[[#This Row],[discount]]</f>
        <v>0</v>
      </c>
      <c r="J1462" s="1">
        <f>northwind_order_details[[#This Row],[purchase amount]]-northwind_order_details[[#This Row],[discount amount]]</f>
        <v>656</v>
      </c>
      <c r="K1462" s="6" t="str">
        <f>IF(northwind_order_details[[#This Row],[discount amount]]&gt;0,"Yes","No")</f>
        <v>No</v>
      </c>
      <c r="L1462" s="1" t="str">
        <f>IF(northwind_order_details[[#This Row],[Revenue]]&gt;1000,"High",IF(northwind_order_details[[#This Row],[Revenue]]&gt;300,"Medium","Low"))</f>
        <v>Medium</v>
      </c>
      <c r="M14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63" spans="1:13" x14ac:dyDescent="0.25">
      <c r="A1463">
        <v>10826</v>
      </c>
      <c r="B1463">
        <v>31</v>
      </c>
      <c r="C1463" s="6">
        <v>12.5</v>
      </c>
      <c r="D1463">
        <v>35</v>
      </c>
      <c r="E1463" s="6" t="s">
        <v>6</v>
      </c>
      <c r="F1463" t="str">
        <f>_xlfn.XLOOKUP(northwind_order_details[[#This Row],[order_id]],northwind_orders[order_id],northwind_orders[ship_country])</f>
        <v>France</v>
      </c>
      <c r="G1463">
        <f>INDEX(northwind_orders[],MATCH(northwind_order_details[[#This Row],[order_id]], northwind_orders[order_id], 0), MATCH("employee_id", northwind_orders[#Headers], 0))</f>
        <v>6</v>
      </c>
      <c r="H1463">
        <f>northwind_order_details[[#This Row],[unit_price]]*northwind_order_details[[#This Row],[quantity]]</f>
        <v>437.5</v>
      </c>
      <c r="I1463" s="1">
        <f>northwind_order_details[[#This Row],[purchase amount]]*northwind_order_details[[#This Row],[discount]]</f>
        <v>0</v>
      </c>
      <c r="J1463" s="1">
        <f>northwind_order_details[[#This Row],[purchase amount]]-northwind_order_details[[#This Row],[discount amount]]</f>
        <v>437.5</v>
      </c>
      <c r="K1463" s="6" t="str">
        <f>IF(northwind_order_details[[#This Row],[discount amount]]&gt;0,"Yes","No")</f>
        <v>No</v>
      </c>
      <c r="L1463" s="1" t="str">
        <f>IF(northwind_order_details[[#This Row],[Revenue]]&gt;1000,"High",IF(northwind_order_details[[#This Row],[Revenue]]&gt;300,"Medium","Low"))</f>
        <v>Medium</v>
      </c>
      <c r="M14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64" spans="1:13" x14ac:dyDescent="0.25">
      <c r="A1464">
        <v>10826</v>
      </c>
      <c r="B1464">
        <v>57</v>
      </c>
      <c r="C1464" s="6">
        <v>19.5</v>
      </c>
      <c r="D1464">
        <v>15</v>
      </c>
      <c r="E1464" s="6" t="s">
        <v>6</v>
      </c>
      <c r="F1464" t="str">
        <f>_xlfn.XLOOKUP(northwind_order_details[[#This Row],[order_id]],northwind_orders[order_id],northwind_orders[ship_country])</f>
        <v>France</v>
      </c>
      <c r="G1464">
        <f>INDEX(northwind_orders[],MATCH(northwind_order_details[[#This Row],[order_id]], northwind_orders[order_id], 0), MATCH("employee_id", northwind_orders[#Headers], 0))</f>
        <v>6</v>
      </c>
      <c r="H1464">
        <f>northwind_order_details[[#This Row],[unit_price]]*northwind_order_details[[#This Row],[quantity]]</f>
        <v>292.5</v>
      </c>
      <c r="I1464" s="1">
        <f>northwind_order_details[[#This Row],[purchase amount]]*northwind_order_details[[#This Row],[discount]]</f>
        <v>0</v>
      </c>
      <c r="J1464" s="1">
        <f>northwind_order_details[[#This Row],[purchase amount]]-northwind_order_details[[#This Row],[discount amount]]</f>
        <v>292.5</v>
      </c>
      <c r="K1464" s="6" t="str">
        <f>IF(northwind_order_details[[#This Row],[discount amount]]&gt;0,"Yes","No")</f>
        <v>No</v>
      </c>
      <c r="L1464" s="1" t="str">
        <f>IF(northwind_order_details[[#This Row],[Revenue]]&gt;1000,"High",IF(northwind_order_details[[#This Row],[Revenue]]&gt;300,"Medium","Low"))</f>
        <v>Low</v>
      </c>
      <c r="M14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65" spans="1:13" x14ac:dyDescent="0.25">
      <c r="A1465">
        <v>10827</v>
      </c>
      <c r="B1465">
        <v>10</v>
      </c>
      <c r="C1465" s="6" t="s">
        <v>34</v>
      </c>
      <c r="D1465">
        <v>15</v>
      </c>
      <c r="E1465" s="6" t="s">
        <v>6</v>
      </c>
      <c r="F1465" t="str">
        <f>_xlfn.XLOOKUP(northwind_order_details[[#This Row],[order_id]],northwind_orders[order_id],northwind_orders[ship_country])</f>
        <v>France</v>
      </c>
      <c r="G1465">
        <f>INDEX(northwind_orders[],MATCH(northwind_order_details[[#This Row],[order_id]], northwind_orders[order_id], 0), MATCH("employee_id", northwind_orders[#Headers], 0))</f>
        <v>1</v>
      </c>
      <c r="H1465">
        <f>northwind_order_details[[#This Row],[unit_price]]*northwind_order_details[[#This Row],[quantity]]</f>
        <v>465</v>
      </c>
      <c r="I1465" s="1">
        <f>northwind_order_details[[#This Row],[purchase amount]]*northwind_order_details[[#This Row],[discount]]</f>
        <v>0</v>
      </c>
      <c r="J1465" s="1">
        <f>northwind_order_details[[#This Row],[purchase amount]]-northwind_order_details[[#This Row],[discount amount]]</f>
        <v>465</v>
      </c>
      <c r="K1465" s="6" t="str">
        <f>IF(northwind_order_details[[#This Row],[discount amount]]&gt;0,"Yes","No")</f>
        <v>No</v>
      </c>
      <c r="L1465" s="1" t="str">
        <f>IF(northwind_order_details[[#This Row],[Revenue]]&gt;1000,"High",IF(northwind_order_details[[#This Row],[Revenue]]&gt;300,"Medium","Low"))</f>
        <v>Medium</v>
      </c>
      <c r="M14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66" spans="1:13" x14ac:dyDescent="0.25">
      <c r="A1466">
        <v>10827</v>
      </c>
      <c r="B1466">
        <v>39</v>
      </c>
      <c r="C1466" s="6" t="s">
        <v>24</v>
      </c>
      <c r="D1466">
        <v>21</v>
      </c>
      <c r="E1466" s="6" t="s">
        <v>6</v>
      </c>
      <c r="F1466" t="str">
        <f>_xlfn.XLOOKUP(northwind_order_details[[#This Row],[order_id]],northwind_orders[order_id],northwind_orders[ship_country])</f>
        <v>France</v>
      </c>
      <c r="G1466">
        <f>INDEX(northwind_orders[],MATCH(northwind_order_details[[#This Row],[order_id]], northwind_orders[order_id], 0), MATCH("employee_id", northwind_orders[#Headers], 0))</f>
        <v>1</v>
      </c>
      <c r="H1466">
        <f>northwind_order_details[[#This Row],[unit_price]]*northwind_order_details[[#This Row],[quantity]]</f>
        <v>378</v>
      </c>
      <c r="I1466" s="1">
        <f>northwind_order_details[[#This Row],[purchase amount]]*northwind_order_details[[#This Row],[discount]]</f>
        <v>0</v>
      </c>
      <c r="J1466" s="1">
        <f>northwind_order_details[[#This Row],[purchase amount]]-northwind_order_details[[#This Row],[discount amount]]</f>
        <v>378</v>
      </c>
      <c r="K1466" s="6" t="str">
        <f>IF(northwind_order_details[[#This Row],[discount amount]]&gt;0,"Yes","No")</f>
        <v>No</v>
      </c>
      <c r="L1466" s="1" t="str">
        <f>IF(northwind_order_details[[#This Row],[Revenue]]&gt;1000,"High",IF(northwind_order_details[[#This Row],[Revenue]]&gt;300,"Medium","Low"))</f>
        <v>Medium</v>
      </c>
      <c r="M14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67" spans="1:13" x14ac:dyDescent="0.25">
      <c r="A1467">
        <v>10828</v>
      </c>
      <c r="B1467">
        <v>20</v>
      </c>
      <c r="C1467" s="6" t="s">
        <v>29</v>
      </c>
      <c r="D1467">
        <v>5</v>
      </c>
      <c r="E1467" s="6" t="s">
        <v>6</v>
      </c>
      <c r="F1467" t="str">
        <f>_xlfn.XLOOKUP(northwind_order_details[[#This Row],[order_id]],northwind_orders[order_id],northwind_orders[ship_country])</f>
        <v>Argentina</v>
      </c>
      <c r="G1467">
        <f>INDEX(northwind_orders[],MATCH(northwind_order_details[[#This Row],[order_id]], northwind_orders[order_id], 0), MATCH("employee_id", northwind_orders[#Headers], 0))</f>
        <v>9</v>
      </c>
      <c r="H1467">
        <f>northwind_order_details[[#This Row],[unit_price]]*northwind_order_details[[#This Row],[quantity]]</f>
        <v>405</v>
      </c>
      <c r="I1467" s="1">
        <f>northwind_order_details[[#This Row],[purchase amount]]*northwind_order_details[[#This Row],[discount]]</f>
        <v>0</v>
      </c>
      <c r="J1467" s="1">
        <f>northwind_order_details[[#This Row],[purchase amount]]-northwind_order_details[[#This Row],[discount amount]]</f>
        <v>405</v>
      </c>
      <c r="K1467" s="6" t="str">
        <f>IF(northwind_order_details[[#This Row],[discount amount]]&gt;0,"Yes","No")</f>
        <v>No</v>
      </c>
      <c r="L1467" s="1" t="str">
        <f>IF(northwind_order_details[[#This Row],[Revenue]]&gt;1000,"High",IF(northwind_order_details[[#This Row],[Revenue]]&gt;300,"Medium","Low"))</f>
        <v>Medium</v>
      </c>
      <c r="M14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68" spans="1:13" x14ac:dyDescent="0.25">
      <c r="A1468">
        <v>10828</v>
      </c>
      <c r="B1468">
        <v>38</v>
      </c>
      <c r="C1468" s="6">
        <v>263.5</v>
      </c>
      <c r="D1468">
        <v>2</v>
      </c>
      <c r="E1468" s="6" t="s">
        <v>6</v>
      </c>
      <c r="F1468" t="str">
        <f>_xlfn.XLOOKUP(northwind_order_details[[#This Row],[order_id]],northwind_orders[order_id],northwind_orders[ship_country])</f>
        <v>Argentina</v>
      </c>
      <c r="G1468">
        <f>INDEX(northwind_orders[],MATCH(northwind_order_details[[#This Row],[order_id]], northwind_orders[order_id], 0), MATCH("employee_id", northwind_orders[#Headers], 0))</f>
        <v>9</v>
      </c>
      <c r="H1468">
        <f>northwind_order_details[[#This Row],[unit_price]]*northwind_order_details[[#This Row],[quantity]]</f>
        <v>527</v>
      </c>
      <c r="I1468" s="1">
        <f>northwind_order_details[[#This Row],[purchase amount]]*northwind_order_details[[#This Row],[discount]]</f>
        <v>0</v>
      </c>
      <c r="J1468" s="1">
        <f>northwind_order_details[[#This Row],[purchase amount]]-northwind_order_details[[#This Row],[discount amount]]</f>
        <v>527</v>
      </c>
      <c r="K1468" s="6" t="str">
        <f>IF(northwind_order_details[[#This Row],[discount amount]]&gt;0,"Yes","No")</f>
        <v>No</v>
      </c>
      <c r="L1468" s="1" t="str">
        <f>IF(northwind_order_details[[#This Row],[Revenue]]&gt;1000,"High",IF(northwind_order_details[[#This Row],[Revenue]]&gt;300,"Medium","Low"))</f>
        <v>Medium</v>
      </c>
      <c r="M14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69" spans="1:13" x14ac:dyDescent="0.25">
      <c r="A1469">
        <v>10829</v>
      </c>
      <c r="B1469">
        <v>2</v>
      </c>
      <c r="C1469" s="6" t="s">
        <v>20</v>
      </c>
      <c r="D1469">
        <v>10</v>
      </c>
      <c r="E1469" s="6" t="s">
        <v>6</v>
      </c>
      <c r="F1469" t="str">
        <f>_xlfn.XLOOKUP(northwind_order_details[[#This Row],[order_id]],northwind_orders[order_id],northwind_orders[ship_country])</f>
        <v>UK</v>
      </c>
      <c r="G1469">
        <f>INDEX(northwind_orders[],MATCH(northwind_order_details[[#This Row],[order_id]], northwind_orders[order_id], 0), MATCH("employee_id", northwind_orders[#Headers], 0))</f>
        <v>9</v>
      </c>
      <c r="H1469">
        <f>northwind_order_details[[#This Row],[unit_price]]*northwind_order_details[[#This Row],[quantity]]</f>
        <v>190</v>
      </c>
      <c r="I1469" s="1">
        <f>northwind_order_details[[#This Row],[purchase amount]]*northwind_order_details[[#This Row],[discount]]</f>
        <v>0</v>
      </c>
      <c r="J1469" s="1">
        <f>northwind_order_details[[#This Row],[purchase amount]]-northwind_order_details[[#This Row],[discount amount]]</f>
        <v>190</v>
      </c>
      <c r="K1469" s="6" t="str">
        <f>IF(northwind_order_details[[#This Row],[discount amount]]&gt;0,"Yes","No")</f>
        <v>No</v>
      </c>
      <c r="L1469" s="1" t="str">
        <f>IF(northwind_order_details[[#This Row],[Revenue]]&gt;1000,"High",IF(northwind_order_details[[#This Row],[Revenue]]&gt;300,"Medium","Low"))</f>
        <v>Low</v>
      </c>
      <c r="M14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0" spans="1:13" x14ac:dyDescent="0.25">
      <c r="A1470">
        <v>10829</v>
      </c>
      <c r="B1470">
        <v>8</v>
      </c>
      <c r="C1470" s="6" t="s">
        <v>27</v>
      </c>
      <c r="D1470">
        <v>20</v>
      </c>
      <c r="E1470" s="6" t="s">
        <v>6</v>
      </c>
      <c r="F1470" t="str">
        <f>_xlfn.XLOOKUP(northwind_order_details[[#This Row],[order_id]],northwind_orders[order_id],northwind_orders[ship_country])</f>
        <v>UK</v>
      </c>
      <c r="G1470">
        <f>INDEX(northwind_orders[],MATCH(northwind_order_details[[#This Row],[order_id]], northwind_orders[order_id], 0), MATCH("employee_id", northwind_orders[#Headers], 0))</f>
        <v>9</v>
      </c>
      <c r="H1470">
        <f>northwind_order_details[[#This Row],[unit_price]]*northwind_order_details[[#This Row],[quantity]]</f>
        <v>800</v>
      </c>
      <c r="I1470" s="1">
        <f>northwind_order_details[[#This Row],[purchase amount]]*northwind_order_details[[#This Row],[discount]]</f>
        <v>0</v>
      </c>
      <c r="J1470" s="1">
        <f>northwind_order_details[[#This Row],[purchase amount]]-northwind_order_details[[#This Row],[discount amount]]</f>
        <v>800</v>
      </c>
      <c r="K1470" s="6" t="str">
        <f>IF(northwind_order_details[[#This Row],[discount amount]]&gt;0,"Yes","No")</f>
        <v>No</v>
      </c>
      <c r="L1470" s="1" t="str">
        <f>IF(northwind_order_details[[#This Row],[Revenue]]&gt;1000,"High",IF(northwind_order_details[[#This Row],[Revenue]]&gt;300,"Medium","Low"))</f>
        <v>Medium</v>
      </c>
      <c r="M14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1" spans="1:13" x14ac:dyDescent="0.25">
      <c r="A1471">
        <v>10829</v>
      </c>
      <c r="B1471">
        <v>13</v>
      </c>
      <c r="C1471" s="6" t="s">
        <v>23</v>
      </c>
      <c r="D1471">
        <v>10</v>
      </c>
      <c r="E1471" s="6" t="s">
        <v>6</v>
      </c>
      <c r="F1471" t="str">
        <f>_xlfn.XLOOKUP(northwind_order_details[[#This Row],[order_id]],northwind_orders[order_id],northwind_orders[ship_country])</f>
        <v>UK</v>
      </c>
      <c r="G1471">
        <f>INDEX(northwind_orders[],MATCH(northwind_order_details[[#This Row],[order_id]], northwind_orders[order_id], 0), MATCH("employee_id", northwind_orders[#Headers], 0))</f>
        <v>9</v>
      </c>
      <c r="H1471">
        <f>northwind_order_details[[#This Row],[unit_price]]*northwind_order_details[[#This Row],[quantity]]</f>
        <v>60</v>
      </c>
      <c r="I1471" s="1">
        <f>northwind_order_details[[#This Row],[purchase amount]]*northwind_order_details[[#This Row],[discount]]</f>
        <v>0</v>
      </c>
      <c r="J1471" s="1">
        <f>northwind_order_details[[#This Row],[purchase amount]]-northwind_order_details[[#This Row],[discount amount]]</f>
        <v>60</v>
      </c>
      <c r="K1471" s="6" t="str">
        <f>IF(northwind_order_details[[#This Row],[discount amount]]&gt;0,"Yes","No")</f>
        <v>No</v>
      </c>
      <c r="L1471" s="1" t="str">
        <f>IF(northwind_order_details[[#This Row],[Revenue]]&gt;1000,"High",IF(northwind_order_details[[#This Row],[Revenue]]&gt;300,"Medium","Low"))</f>
        <v>Low</v>
      </c>
      <c r="M14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2" spans="1:13" x14ac:dyDescent="0.25">
      <c r="A1472">
        <v>10829</v>
      </c>
      <c r="B1472">
        <v>60</v>
      </c>
      <c r="C1472" s="6" t="s">
        <v>28</v>
      </c>
      <c r="D1472">
        <v>21</v>
      </c>
      <c r="E1472" s="6" t="s">
        <v>6</v>
      </c>
      <c r="F1472" t="str">
        <f>_xlfn.XLOOKUP(northwind_order_details[[#This Row],[order_id]],northwind_orders[order_id],northwind_orders[ship_country])</f>
        <v>UK</v>
      </c>
      <c r="G1472">
        <f>INDEX(northwind_orders[],MATCH(northwind_order_details[[#This Row],[order_id]], northwind_orders[order_id], 0), MATCH("employee_id", northwind_orders[#Headers], 0))</f>
        <v>9</v>
      </c>
      <c r="H1472">
        <f>northwind_order_details[[#This Row],[unit_price]]*northwind_order_details[[#This Row],[quantity]]</f>
        <v>714</v>
      </c>
      <c r="I1472" s="1">
        <f>northwind_order_details[[#This Row],[purchase amount]]*northwind_order_details[[#This Row],[discount]]</f>
        <v>0</v>
      </c>
      <c r="J1472" s="1">
        <f>northwind_order_details[[#This Row],[purchase amount]]-northwind_order_details[[#This Row],[discount amount]]</f>
        <v>714</v>
      </c>
      <c r="K1472" s="6" t="str">
        <f>IF(northwind_order_details[[#This Row],[discount amount]]&gt;0,"Yes","No")</f>
        <v>No</v>
      </c>
      <c r="L1472" s="1" t="str">
        <f>IF(northwind_order_details[[#This Row],[Revenue]]&gt;1000,"High",IF(northwind_order_details[[#This Row],[Revenue]]&gt;300,"Medium","Low"))</f>
        <v>Medium</v>
      </c>
      <c r="M14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3" spans="1:13" x14ac:dyDescent="0.25">
      <c r="A1473">
        <v>10830</v>
      </c>
      <c r="B1473">
        <v>6</v>
      </c>
      <c r="C1473" s="6" t="s">
        <v>41</v>
      </c>
      <c r="D1473">
        <v>6</v>
      </c>
      <c r="E1473" s="6" t="s">
        <v>6</v>
      </c>
      <c r="F1473" t="str">
        <f>_xlfn.XLOOKUP(northwind_order_details[[#This Row],[order_id]],northwind_orders[order_id],northwind_orders[ship_country])</f>
        <v>Brazil</v>
      </c>
      <c r="G1473">
        <f>INDEX(northwind_orders[],MATCH(northwind_order_details[[#This Row],[order_id]], northwind_orders[order_id], 0), MATCH("employee_id", northwind_orders[#Headers], 0))</f>
        <v>4</v>
      </c>
      <c r="H1473">
        <f>northwind_order_details[[#This Row],[unit_price]]*northwind_order_details[[#This Row],[quantity]]</f>
        <v>150</v>
      </c>
      <c r="I1473" s="1">
        <f>northwind_order_details[[#This Row],[purchase amount]]*northwind_order_details[[#This Row],[discount]]</f>
        <v>0</v>
      </c>
      <c r="J1473" s="1">
        <f>northwind_order_details[[#This Row],[purchase amount]]-northwind_order_details[[#This Row],[discount amount]]</f>
        <v>150</v>
      </c>
      <c r="K1473" s="6" t="str">
        <f>IF(northwind_order_details[[#This Row],[discount amount]]&gt;0,"Yes","No")</f>
        <v>No</v>
      </c>
      <c r="L1473" s="1" t="str">
        <f>IF(northwind_order_details[[#This Row],[Revenue]]&gt;1000,"High",IF(northwind_order_details[[#This Row],[Revenue]]&gt;300,"Medium","Low"))</f>
        <v>Low</v>
      </c>
      <c r="M14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4" spans="1:13" x14ac:dyDescent="0.25">
      <c r="A1474">
        <v>10830</v>
      </c>
      <c r="B1474">
        <v>39</v>
      </c>
      <c r="C1474" s="6" t="s">
        <v>24</v>
      </c>
      <c r="D1474">
        <v>28</v>
      </c>
      <c r="E1474" s="6" t="s">
        <v>6</v>
      </c>
      <c r="F1474" t="str">
        <f>_xlfn.XLOOKUP(northwind_order_details[[#This Row],[order_id]],northwind_orders[order_id],northwind_orders[ship_country])</f>
        <v>Brazil</v>
      </c>
      <c r="G1474">
        <f>INDEX(northwind_orders[],MATCH(northwind_order_details[[#This Row],[order_id]], northwind_orders[order_id], 0), MATCH("employee_id", northwind_orders[#Headers], 0))</f>
        <v>4</v>
      </c>
      <c r="H1474">
        <f>northwind_order_details[[#This Row],[unit_price]]*northwind_order_details[[#This Row],[quantity]]</f>
        <v>504</v>
      </c>
      <c r="I1474" s="1">
        <f>northwind_order_details[[#This Row],[purchase amount]]*northwind_order_details[[#This Row],[discount]]</f>
        <v>0</v>
      </c>
      <c r="J1474" s="1">
        <f>northwind_order_details[[#This Row],[purchase amount]]-northwind_order_details[[#This Row],[discount amount]]</f>
        <v>504</v>
      </c>
      <c r="K1474" s="6" t="str">
        <f>IF(northwind_order_details[[#This Row],[discount amount]]&gt;0,"Yes","No")</f>
        <v>No</v>
      </c>
      <c r="L1474" s="1" t="str">
        <f>IF(northwind_order_details[[#This Row],[Revenue]]&gt;1000,"High",IF(northwind_order_details[[#This Row],[Revenue]]&gt;300,"Medium","Low"))</f>
        <v>Medium</v>
      </c>
      <c r="M14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5" spans="1:13" x14ac:dyDescent="0.25">
      <c r="A1475">
        <v>10830</v>
      </c>
      <c r="B1475">
        <v>60</v>
      </c>
      <c r="C1475" s="6" t="s">
        <v>28</v>
      </c>
      <c r="D1475">
        <v>30</v>
      </c>
      <c r="E1475" s="6" t="s">
        <v>6</v>
      </c>
      <c r="F1475" t="str">
        <f>_xlfn.XLOOKUP(northwind_order_details[[#This Row],[order_id]],northwind_orders[order_id],northwind_orders[ship_country])</f>
        <v>Brazil</v>
      </c>
      <c r="G1475">
        <f>INDEX(northwind_orders[],MATCH(northwind_order_details[[#This Row],[order_id]], northwind_orders[order_id], 0), MATCH("employee_id", northwind_orders[#Headers], 0))</f>
        <v>4</v>
      </c>
      <c r="H1475">
        <f>northwind_order_details[[#This Row],[unit_price]]*northwind_order_details[[#This Row],[quantity]]</f>
        <v>1020</v>
      </c>
      <c r="I1475" s="1">
        <f>northwind_order_details[[#This Row],[purchase amount]]*northwind_order_details[[#This Row],[discount]]</f>
        <v>0</v>
      </c>
      <c r="J1475" s="1">
        <f>northwind_order_details[[#This Row],[purchase amount]]-northwind_order_details[[#This Row],[discount amount]]</f>
        <v>1020</v>
      </c>
      <c r="K1475" s="6" t="str">
        <f>IF(northwind_order_details[[#This Row],[discount amount]]&gt;0,"Yes","No")</f>
        <v>No</v>
      </c>
      <c r="L1475" s="1" t="str">
        <f>IF(northwind_order_details[[#This Row],[Revenue]]&gt;1000,"High",IF(northwind_order_details[[#This Row],[Revenue]]&gt;300,"Medium","Low"))</f>
        <v>High</v>
      </c>
      <c r="M14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6" spans="1:13" x14ac:dyDescent="0.25">
      <c r="A1476">
        <v>10830</v>
      </c>
      <c r="B1476">
        <v>68</v>
      </c>
      <c r="C1476" s="6">
        <v>12.5</v>
      </c>
      <c r="D1476">
        <v>24</v>
      </c>
      <c r="E1476" s="6" t="s">
        <v>6</v>
      </c>
      <c r="F1476" t="str">
        <f>_xlfn.XLOOKUP(northwind_order_details[[#This Row],[order_id]],northwind_orders[order_id],northwind_orders[ship_country])</f>
        <v>Brazil</v>
      </c>
      <c r="G1476">
        <f>INDEX(northwind_orders[],MATCH(northwind_order_details[[#This Row],[order_id]], northwind_orders[order_id], 0), MATCH("employee_id", northwind_orders[#Headers], 0))</f>
        <v>4</v>
      </c>
      <c r="H1476">
        <f>northwind_order_details[[#This Row],[unit_price]]*northwind_order_details[[#This Row],[quantity]]</f>
        <v>300</v>
      </c>
      <c r="I1476" s="1">
        <f>northwind_order_details[[#This Row],[purchase amount]]*northwind_order_details[[#This Row],[discount]]</f>
        <v>0</v>
      </c>
      <c r="J1476" s="1">
        <f>northwind_order_details[[#This Row],[purchase amount]]-northwind_order_details[[#This Row],[discount amount]]</f>
        <v>300</v>
      </c>
      <c r="K1476" s="6" t="str">
        <f>IF(northwind_order_details[[#This Row],[discount amount]]&gt;0,"Yes","No")</f>
        <v>No</v>
      </c>
      <c r="L1476" s="1" t="str">
        <f>IF(northwind_order_details[[#This Row],[Revenue]]&gt;1000,"High",IF(northwind_order_details[[#This Row],[Revenue]]&gt;300,"Medium","Low"))</f>
        <v>Low</v>
      </c>
      <c r="M147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77" spans="1:13" x14ac:dyDescent="0.25">
      <c r="A1477">
        <v>10831</v>
      </c>
      <c r="B1477">
        <v>19</v>
      </c>
      <c r="C1477" s="6">
        <v>9.1999999999999993</v>
      </c>
      <c r="D1477">
        <v>2</v>
      </c>
      <c r="E1477" s="6" t="s">
        <v>6</v>
      </c>
      <c r="F1477" t="str">
        <f>_xlfn.XLOOKUP(northwind_order_details[[#This Row],[order_id]],northwind_orders[order_id],northwind_orders[ship_country])</f>
        <v>Norway</v>
      </c>
      <c r="G1477">
        <f>INDEX(northwind_orders[],MATCH(northwind_order_details[[#This Row],[order_id]], northwind_orders[order_id], 0), MATCH("employee_id", northwind_orders[#Headers], 0))</f>
        <v>3</v>
      </c>
      <c r="H1477">
        <f>northwind_order_details[[#This Row],[unit_price]]*northwind_order_details[[#This Row],[quantity]]</f>
        <v>18.399999999999999</v>
      </c>
      <c r="I1477" s="1">
        <f>northwind_order_details[[#This Row],[purchase amount]]*northwind_order_details[[#This Row],[discount]]</f>
        <v>0</v>
      </c>
      <c r="J1477" s="1">
        <f>northwind_order_details[[#This Row],[purchase amount]]-northwind_order_details[[#This Row],[discount amount]]</f>
        <v>18.399999999999999</v>
      </c>
      <c r="K1477" s="6" t="str">
        <f>IF(northwind_order_details[[#This Row],[discount amount]]&gt;0,"Yes","No")</f>
        <v>No</v>
      </c>
      <c r="L1477" s="1" t="str">
        <f>IF(northwind_order_details[[#This Row],[Revenue]]&gt;1000,"High",IF(northwind_order_details[[#This Row],[Revenue]]&gt;300,"Medium","Low"))</f>
        <v>Low</v>
      </c>
      <c r="M14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78" spans="1:13" x14ac:dyDescent="0.25">
      <c r="A1478">
        <v>10831</v>
      </c>
      <c r="B1478">
        <v>35</v>
      </c>
      <c r="C1478" s="6" t="s">
        <v>24</v>
      </c>
      <c r="D1478">
        <v>8</v>
      </c>
      <c r="E1478" s="6" t="s">
        <v>6</v>
      </c>
      <c r="F1478" t="str">
        <f>_xlfn.XLOOKUP(northwind_order_details[[#This Row],[order_id]],northwind_orders[order_id],northwind_orders[ship_country])</f>
        <v>Norway</v>
      </c>
      <c r="G1478">
        <f>INDEX(northwind_orders[],MATCH(northwind_order_details[[#This Row],[order_id]], northwind_orders[order_id], 0), MATCH("employee_id", northwind_orders[#Headers], 0))</f>
        <v>3</v>
      </c>
      <c r="H1478">
        <f>northwind_order_details[[#This Row],[unit_price]]*northwind_order_details[[#This Row],[quantity]]</f>
        <v>144</v>
      </c>
      <c r="I1478" s="1">
        <f>northwind_order_details[[#This Row],[purchase amount]]*northwind_order_details[[#This Row],[discount]]</f>
        <v>0</v>
      </c>
      <c r="J1478" s="1">
        <f>northwind_order_details[[#This Row],[purchase amount]]-northwind_order_details[[#This Row],[discount amount]]</f>
        <v>144</v>
      </c>
      <c r="K1478" s="6" t="str">
        <f>IF(northwind_order_details[[#This Row],[discount amount]]&gt;0,"Yes","No")</f>
        <v>No</v>
      </c>
      <c r="L1478" s="1" t="str">
        <f>IF(northwind_order_details[[#This Row],[Revenue]]&gt;1000,"High",IF(northwind_order_details[[#This Row],[Revenue]]&gt;300,"Medium","Low"))</f>
        <v>Low</v>
      </c>
      <c r="M14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79" spans="1:13" x14ac:dyDescent="0.25">
      <c r="A1479">
        <v>10831</v>
      </c>
      <c r="B1479">
        <v>38</v>
      </c>
      <c r="C1479" s="6">
        <v>263.5</v>
      </c>
      <c r="D1479">
        <v>8</v>
      </c>
      <c r="E1479" s="6" t="s">
        <v>6</v>
      </c>
      <c r="F1479" t="str">
        <f>_xlfn.XLOOKUP(northwind_order_details[[#This Row],[order_id]],northwind_orders[order_id],northwind_orders[ship_country])</f>
        <v>Norway</v>
      </c>
      <c r="G1479">
        <f>INDEX(northwind_orders[],MATCH(northwind_order_details[[#This Row],[order_id]], northwind_orders[order_id], 0), MATCH("employee_id", northwind_orders[#Headers], 0))</f>
        <v>3</v>
      </c>
      <c r="H1479">
        <f>northwind_order_details[[#This Row],[unit_price]]*northwind_order_details[[#This Row],[quantity]]</f>
        <v>2108</v>
      </c>
      <c r="I1479" s="1">
        <f>northwind_order_details[[#This Row],[purchase amount]]*northwind_order_details[[#This Row],[discount]]</f>
        <v>0</v>
      </c>
      <c r="J1479" s="1">
        <f>northwind_order_details[[#This Row],[purchase amount]]-northwind_order_details[[#This Row],[discount amount]]</f>
        <v>2108</v>
      </c>
      <c r="K1479" s="6" t="str">
        <f>IF(northwind_order_details[[#This Row],[discount amount]]&gt;0,"Yes","No")</f>
        <v>No</v>
      </c>
      <c r="L1479" s="1" t="str">
        <f>IF(northwind_order_details[[#This Row],[Revenue]]&gt;1000,"High",IF(northwind_order_details[[#This Row],[Revenue]]&gt;300,"Medium","Low"))</f>
        <v>High</v>
      </c>
      <c r="M14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80" spans="1:13" x14ac:dyDescent="0.25">
      <c r="A1480">
        <v>10831</v>
      </c>
      <c r="B1480">
        <v>43</v>
      </c>
      <c r="C1480" s="6" t="s">
        <v>22</v>
      </c>
      <c r="D1480">
        <v>9</v>
      </c>
      <c r="E1480" s="6" t="s">
        <v>6</v>
      </c>
      <c r="F1480" t="str">
        <f>_xlfn.XLOOKUP(northwind_order_details[[#This Row],[order_id]],northwind_orders[order_id],northwind_orders[ship_country])</f>
        <v>Norway</v>
      </c>
      <c r="G1480">
        <f>INDEX(northwind_orders[],MATCH(northwind_order_details[[#This Row],[order_id]], northwind_orders[order_id], 0), MATCH("employee_id", northwind_orders[#Headers], 0))</f>
        <v>3</v>
      </c>
      <c r="H1480">
        <f>northwind_order_details[[#This Row],[unit_price]]*northwind_order_details[[#This Row],[quantity]]</f>
        <v>414</v>
      </c>
      <c r="I1480" s="1">
        <f>northwind_order_details[[#This Row],[purchase amount]]*northwind_order_details[[#This Row],[discount]]</f>
        <v>0</v>
      </c>
      <c r="J1480" s="1">
        <f>northwind_order_details[[#This Row],[purchase amount]]-northwind_order_details[[#This Row],[discount amount]]</f>
        <v>414</v>
      </c>
      <c r="K1480" s="6" t="str">
        <f>IF(northwind_order_details[[#This Row],[discount amount]]&gt;0,"Yes","No")</f>
        <v>No</v>
      </c>
      <c r="L1480" s="1" t="str">
        <f>IF(northwind_order_details[[#This Row],[Revenue]]&gt;1000,"High",IF(northwind_order_details[[#This Row],[Revenue]]&gt;300,"Medium","Low"))</f>
        <v>Medium</v>
      </c>
      <c r="M14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81" spans="1:13" x14ac:dyDescent="0.25">
      <c r="A1481">
        <v>10832</v>
      </c>
      <c r="B1481">
        <v>13</v>
      </c>
      <c r="C1481" s="6" t="s">
        <v>23</v>
      </c>
      <c r="D1481">
        <v>3</v>
      </c>
      <c r="E1481" s="6">
        <v>0.2</v>
      </c>
      <c r="F1481" t="str">
        <f>_xlfn.XLOOKUP(northwind_order_details[[#This Row],[order_id]],northwind_orders[order_id],northwind_orders[ship_country])</f>
        <v>France</v>
      </c>
      <c r="G1481">
        <f>INDEX(northwind_orders[],MATCH(northwind_order_details[[#This Row],[order_id]], northwind_orders[order_id], 0), MATCH("employee_id", northwind_orders[#Headers], 0))</f>
        <v>2</v>
      </c>
      <c r="H1481">
        <f>northwind_order_details[[#This Row],[unit_price]]*northwind_order_details[[#This Row],[quantity]]</f>
        <v>18</v>
      </c>
      <c r="I1481" s="1">
        <f>northwind_order_details[[#This Row],[purchase amount]]*northwind_order_details[[#This Row],[discount]]</f>
        <v>3.6</v>
      </c>
      <c r="J1481" s="1">
        <f>northwind_order_details[[#This Row],[purchase amount]]-northwind_order_details[[#This Row],[discount amount]]</f>
        <v>14.4</v>
      </c>
      <c r="K1481" s="6" t="str">
        <f>IF(northwind_order_details[[#This Row],[discount amount]]&gt;0,"Yes","No")</f>
        <v>Yes</v>
      </c>
      <c r="L1481" s="1" t="str">
        <f>IF(northwind_order_details[[#This Row],[Revenue]]&gt;1000,"High",IF(northwind_order_details[[#This Row],[Revenue]]&gt;300,"Medium","Low"))</f>
        <v>Low</v>
      </c>
      <c r="M14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82" spans="1:13" x14ac:dyDescent="0.25">
      <c r="A1482">
        <v>10832</v>
      </c>
      <c r="B1482">
        <v>25</v>
      </c>
      <c r="C1482" s="6" t="s">
        <v>5</v>
      </c>
      <c r="D1482">
        <v>10</v>
      </c>
      <c r="E1482" s="6">
        <v>0.2</v>
      </c>
      <c r="F1482" t="str">
        <f>_xlfn.XLOOKUP(northwind_order_details[[#This Row],[order_id]],northwind_orders[order_id],northwind_orders[ship_country])</f>
        <v>France</v>
      </c>
      <c r="G1482">
        <f>INDEX(northwind_orders[],MATCH(northwind_order_details[[#This Row],[order_id]], northwind_orders[order_id], 0), MATCH("employee_id", northwind_orders[#Headers], 0))</f>
        <v>2</v>
      </c>
      <c r="H1482">
        <f>northwind_order_details[[#This Row],[unit_price]]*northwind_order_details[[#This Row],[quantity]]</f>
        <v>140</v>
      </c>
      <c r="I1482" s="1">
        <f>northwind_order_details[[#This Row],[purchase amount]]*northwind_order_details[[#This Row],[discount]]</f>
        <v>28</v>
      </c>
      <c r="J1482" s="1">
        <f>northwind_order_details[[#This Row],[purchase amount]]-northwind_order_details[[#This Row],[discount amount]]</f>
        <v>112</v>
      </c>
      <c r="K1482" s="6" t="str">
        <f>IF(northwind_order_details[[#This Row],[discount amount]]&gt;0,"Yes","No")</f>
        <v>Yes</v>
      </c>
      <c r="L1482" s="1" t="str">
        <f>IF(northwind_order_details[[#This Row],[Revenue]]&gt;1000,"High",IF(northwind_order_details[[#This Row],[Revenue]]&gt;300,"Medium","Low"))</f>
        <v>Low</v>
      </c>
      <c r="M14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83" spans="1:13" x14ac:dyDescent="0.25">
      <c r="A1483">
        <v>10832</v>
      </c>
      <c r="B1483">
        <v>44</v>
      </c>
      <c r="C1483" s="6">
        <v>19.45</v>
      </c>
      <c r="D1483">
        <v>16</v>
      </c>
      <c r="E1483" s="6">
        <v>0.2</v>
      </c>
      <c r="F1483" t="str">
        <f>_xlfn.XLOOKUP(northwind_order_details[[#This Row],[order_id]],northwind_orders[order_id],northwind_orders[ship_country])</f>
        <v>France</v>
      </c>
      <c r="G1483">
        <f>INDEX(northwind_orders[],MATCH(northwind_order_details[[#This Row],[order_id]], northwind_orders[order_id], 0), MATCH("employee_id", northwind_orders[#Headers], 0))</f>
        <v>2</v>
      </c>
      <c r="H1483">
        <f>northwind_order_details[[#This Row],[unit_price]]*northwind_order_details[[#This Row],[quantity]]</f>
        <v>311.2</v>
      </c>
      <c r="I1483" s="1">
        <f>northwind_order_details[[#This Row],[purchase amount]]*northwind_order_details[[#This Row],[discount]]</f>
        <v>62.24</v>
      </c>
      <c r="J1483" s="1">
        <f>northwind_order_details[[#This Row],[purchase amount]]-northwind_order_details[[#This Row],[discount amount]]</f>
        <v>248.95999999999998</v>
      </c>
      <c r="K1483" s="6" t="str">
        <f>IF(northwind_order_details[[#This Row],[discount amount]]&gt;0,"Yes","No")</f>
        <v>Yes</v>
      </c>
      <c r="L1483" s="1" t="str">
        <f>IF(northwind_order_details[[#This Row],[Revenue]]&gt;1000,"High",IF(northwind_order_details[[#This Row],[Revenue]]&gt;300,"Medium","Low"))</f>
        <v>Low</v>
      </c>
      <c r="M14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84" spans="1:13" x14ac:dyDescent="0.25">
      <c r="A1484">
        <v>10832</v>
      </c>
      <c r="B1484">
        <v>64</v>
      </c>
      <c r="C1484" s="6">
        <v>33.25</v>
      </c>
      <c r="D1484">
        <v>3</v>
      </c>
      <c r="E1484" s="6" t="s">
        <v>6</v>
      </c>
      <c r="F1484" t="str">
        <f>_xlfn.XLOOKUP(northwind_order_details[[#This Row],[order_id]],northwind_orders[order_id],northwind_orders[ship_country])</f>
        <v>France</v>
      </c>
      <c r="G1484">
        <f>INDEX(northwind_orders[],MATCH(northwind_order_details[[#This Row],[order_id]], northwind_orders[order_id], 0), MATCH("employee_id", northwind_orders[#Headers], 0))</f>
        <v>2</v>
      </c>
      <c r="H1484">
        <f>northwind_order_details[[#This Row],[unit_price]]*northwind_order_details[[#This Row],[quantity]]</f>
        <v>99.75</v>
      </c>
      <c r="I1484" s="1">
        <f>northwind_order_details[[#This Row],[purchase amount]]*northwind_order_details[[#This Row],[discount]]</f>
        <v>0</v>
      </c>
      <c r="J1484" s="1">
        <f>northwind_order_details[[#This Row],[purchase amount]]-northwind_order_details[[#This Row],[discount amount]]</f>
        <v>99.75</v>
      </c>
      <c r="K1484" s="6" t="str">
        <f>IF(northwind_order_details[[#This Row],[discount amount]]&gt;0,"Yes","No")</f>
        <v>No</v>
      </c>
      <c r="L1484" s="1" t="str">
        <f>IF(northwind_order_details[[#This Row],[Revenue]]&gt;1000,"High",IF(northwind_order_details[[#This Row],[Revenue]]&gt;300,"Medium","Low"))</f>
        <v>Low</v>
      </c>
      <c r="M14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85" spans="1:13" x14ac:dyDescent="0.25">
      <c r="A1485">
        <v>10833</v>
      </c>
      <c r="B1485">
        <v>7</v>
      </c>
      <c r="C1485" s="6" t="s">
        <v>26</v>
      </c>
      <c r="D1485">
        <v>20</v>
      </c>
      <c r="E1485" s="6">
        <v>0.1</v>
      </c>
      <c r="F1485" t="str">
        <f>_xlfn.XLOOKUP(northwind_order_details[[#This Row],[order_id]],northwind_orders[order_id],northwind_orders[ship_country])</f>
        <v>Germany</v>
      </c>
      <c r="G1485">
        <f>INDEX(northwind_orders[],MATCH(northwind_order_details[[#This Row],[order_id]], northwind_orders[order_id], 0), MATCH("employee_id", northwind_orders[#Headers], 0))</f>
        <v>6</v>
      </c>
      <c r="H1485">
        <f>northwind_order_details[[#This Row],[unit_price]]*northwind_order_details[[#This Row],[quantity]]</f>
        <v>600</v>
      </c>
      <c r="I1485" s="1">
        <f>northwind_order_details[[#This Row],[purchase amount]]*northwind_order_details[[#This Row],[discount]]</f>
        <v>60</v>
      </c>
      <c r="J1485" s="1">
        <f>northwind_order_details[[#This Row],[purchase amount]]-northwind_order_details[[#This Row],[discount amount]]</f>
        <v>540</v>
      </c>
      <c r="K1485" s="6" t="str">
        <f>IF(northwind_order_details[[#This Row],[discount amount]]&gt;0,"Yes","No")</f>
        <v>Yes</v>
      </c>
      <c r="L1485" s="1" t="str">
        <f>IF(northwind_order_details[[#This Row],[Revenue]]&gt;1000,"High",IF(northwind_order_details[[#This Row],[Revenue]]&gt;300,"Medium","Low"))</f>
        <v>Medium</v>
      </c>
      <c r="M14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86" spans="1:13" x14ac:dyDescent="0.25">
      <c r="A1486">
        <v>10833</v>
      </c>
      <c r="B1486">
        <v>31</v>
      </c>
      <c r="C1486" s="6">
        <v>12.5</v>
      </c>
      <c r="D1486">
        <v>9</v>
      </c>
      <c r="E1486" s="6">
        <v>0.1</v>
      </c>
      <c r="F1486" t="str">
        <f>_xlfn.XLOOKUP(northwind_order_details[[#This Row],[order_id]],northwind_orders[order_id],northwind_orders[ship_country])</f>
        <v>Germany</v>
      </c>
      <c r="G1486">
        <f>INDEX(northwind_orders[],MATCH(northwind_order_details[[#This Row],[order_id]], northwind_orders[order_id], 0), MATCH("employee_id", northwind_orders[#Headers], 0))</f>
        <v>6</v>
      </c>
      <c r="H1486">
        <f>northwind_order_details[[#This Row],[unit_price]]*northwind_order_details[[#This Row],[quantity]]</f>
        <v>112.5</v>
      </c>
      <c r="I1486" s="1">
        <f>northwind_order_details[[#This Row],[purchase amount]]*northwind_order_details[[#This Row],[discount]]</f>
        <v>11.25</v>
      </c>
      <c r="J1486" s="1">
        <f>northwind_order_details[[#This Row],[purchase amount]]-northwind_order_details[[#This Row],[discount amount]]</f>
        <v>101.25</v>
      </c>
      <c r="K1486" s="6" t="str">
        <f>IF(northwind_order_details[[#This Row],[discount amount]]&gt;0,"Yes","No")</f>
        <v>Yes</v>
      </c>
      <c r="L1486" s="1" t="str">
        <f>IF(northwind_order_details[[#This Row],[Revenue]]&gt;1000,"High",IF(northwind_order_details[[#This Row],[Revenue]]&gt;300,"Medium","Low"))</f>
        <v>Low</v>
      </c>
      <c r="M14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87" spans="1:13" x14ac:dyDescent="0.25">
      <c r="A1487">
        <v>10833</v>
      </c>
      <c r="B1487">
        <v>53</v>
      </c>
      <c r="C1487" s="6">
        <v>32.799999999999997</v>
      </c>
      <c r="D1487">
        <v>9</v>
      </c>
      <c r="E1487" s="6">
        <v>0.1</v>
      </c>
      <c r="F1487" t="str">
        <f>_xlfn.XLOOKUP(northwind_order_details[[#This Row],[order_id]],northwind_orders[order_id],northwind_orders[ship_country])</f>
        <v>Germany</v>
      </c>
      <c r="G1487">
        <f>INDEX(northwind_orders[],MATCH(northwind_order_details[[#This Row],[order_id]], northwind_orders[order_id], 0), MATCH("employee_id", northwind_orders[#Headers], 0))</f>
        <v>6</v>
      </c>
      <c r="H1487">
        <f>northwind_order_details[[#This Row],[unit_price]]*northwind_order_details[[#This Row],[quantity]]</f>
        <v>295.2</v>
      </c>
      <c r="I1487" s="1">
        <f>northwind_order_details[[#This Row],[purchase amount]]*northwind_order_details[[#This Row],[discount]]</f>
        <v>29.52</v>
      </c>
      <c r="J1487" s="1">
        <f>northwind_order_details[[#This Row],[purchase amount]]-northwind_order_details[[#This Row],[discount amount]]</f>
        <v>265.68</v>
      </c>
      <c r="K1487" s="6" t="str">
        <f>IF(northwind_order_details[[#This Row],[discount amount]]&gt;0,"Yes","No")</f>
        <v>Yes</v>
      </c>
      <c r="L1487" s="1" t="str">
        <f>IF(northwind_order_details[[#This Row],[Revenue]]&gt;1000,"High",IF(northwind_order_details[[#This Row],[Revenue]]&gt;300,"Medium","Low"))</f>
        <v>Low</v>
      </c>
      <c r="M148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88" spans="1:13" x14ac:dyDescent="0.25">
      <c r="A1488">
        <v>10834</v>
      </c>
      <c r="B1488">
        <v>29</v>
      </c>
      <c r="C1488" s="6">
        <v>123.79</v>
      </c>
      <c r="D1488">
        <v>8</v>
      </c>
      <c r="E1488" s="6">
        <v>0.05</v>
      </c>
      <c r="F1488" t="str">
        <f>_xlfn.XLOOKUP(northwind_order_details[[#This Row],[order_id]],northwind_orders[order_id],northwind_orders[ship_country])</f>
        <v>Brazil</v>
      </c>
      <c r="G1488">
        <f>INDEX(northwind_orders[],MATCH(northwind_order_details[[#This Row],[order_id]], northwind_orders[order_id], 0), MATCH("employee_id", northwind_orders[#Headers], 0))</f>
        <v>1</v>
      </c>
      <c r="H1488">
        <f>northwind_order_details[[#This Row],[unit_price]]*northwind_order_details[[#This Row],[quantity]]</f>
        <v>990.32</v>
      </c>
      <c r="I1488" s="1">
        <f>northwind_order_details[[#This Row],[purchase amount]]*northwind_order_details[[#This Row],[discount]]</f>
        <v>49.516000000000005</v>
      </c>
      <c r="J1488" s="1">
        <f>northwind_order_details[[#This Row],[purchase amount]]-northwind_order_details[[#This Row],[discount amount]]</f>
        <v>940.80400000000009</v>
      </c>
      <c r="K1488" s="6" t="str">
        <f>IF(northwind_order_details[[#This Row],[discount amount]]&gt;0,"Yes","No")</f>
        <v>Yes</v>
      </c>
      <c r="L1488" s="1" t="str">
        <f>IF(northwind_order_details[[#This Row],[Revenue]]&gt;1000,"High",IF(northwind_order_details[[#This Row],[Revenue]]&gt;300,"Medium","Low"))</f>
        <v>Medium</v>
      </c>
      <c r="M14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89" spans="1:13" x14ac:dyDescent="0.25">
      <c r="A1489">
        <v>10834</v>
      </c>
      <c r="B1489">
        <v>30</v>
      </c>
      <c r="C1489" s="6">
        <v>25.89</v>
      </c>
      <c r="D1489">
        <v>20</v>
      </c>
      <c r="E1489" s="6">
        <v>0.05</v>
      </c>
      <c r="F1489" t="str">
        <f>_xlfn.XLOOKUP(northwind_order_details[[#This Row],[order_id]],northwind_orders[order_id],northwind_orders[ship_country])</f>
        <v>Brazil</v>
      </c>
      <c r="G1489">
        <f>INDEX(northwind_orders[],MATCH(northwind_order_details[[#This Row],[order_id]], northwind_orders[order_id], 0), MATCH("employee_id", northwind_orders[#Headers], 0))</f>
        <v>1</v>
      </c>
      <c r="H1489">
        <f>northwind_order_details[[#This Row],[unit_price]]*northwind_order_details[[#This Row],[quantity]]</f>
        <v>517.79999999999995</v>
      </c>
      <c r="I1489" s="1">
        <f>northwind_order_details[[#This Row],[purchase amount]]*northwind_order_details[[#This Row],[discount]]</f>
        <v>25.89</v>
      </c>
      <c r="J1489" s="1">
        <f>northwind_order_details[[#This Row],[purchase amount]]-northwind_order_details[[#This Row],[discount amount]]</f>
        <v>491.90999999999997</v>
      </c>
      <c r="K1489" s="6" t="str">
        <f>IF(northwind_order_details[[#This Row],[discount amount]]&gt;0,"Yes","No")</f>
        <v>Yes</v>
      </c>
      <c r="L1489" s="1" t="str">
        <f>IF(northwind_order_details[[#This Row],[Revenue]]&gt;1000,"High",IF(northwind_order_details[[#This Row],[Revenue]]&gt;300,"Medium","Low"))</f>
        <v>Medium</v>
      </c>
      <c r="M14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90" spans="1:13" x14ac:dyDescent="0.25">
      <c r="A1490">
        <v>10835</v>
      </c>
      <c r="B1490">
        <v>59</v>
      </c>
      <c r="C1490" s="6" t="s">
        <v>33</v>
      </c>
      <c r="D1490">
        <v>15</v>
      </c>
      <c r="E1490" s="6" t="s">
        <v>6</v>
      </c>
      <c r="F1490" t="str">
        <f>_xlfn.XLOOKUP(northwind_order_details[[#This Row],[order_id]],northwind_orders[order_id],northwind_orders[ship_country])</f>
        <v>Germany</v>
      </c>
      <c r="G1490">
        <f>INDEX(northwind_orders[],MATCH(northwind_order_details[[#This Row],[order_id]], northwind_orders[order_id], 0), MATCH("employee_id", northwind_orders[#Headers], 0))</f>
        <v>1</v>
      </c>
      <c r="H1490">
        <f>northwind_order_details[[#This Row],[unit_price]]*northwind_order_details[[#This Row],[quantity]]</f>
        <v>825</v>
      </c>
      <c r="I1490" s="1">
        <f>northwind_order_details[[#This Row],[purchase amount]]*northwind_order_details[[#This Row],[discount]]</f>
        <v>0</v>
      </c>
      <c r="J1490" s="1">
        <f>northwind_order_details[[#This Row],[purchase amount]]-northwind_order_details[[#This Row],[discount amount]]</f>
        <v>825</v>
      </c>
      <c r="K1490" s="6" t="str">
        <f>IF(northwind_order_details[[#This Row],[discount amount]]&gt;0,"Yes","No")</f>
        <v>No</v>
      </c>
      <c r="L1490" s="1" t="str">
        <f>IF(northwind_order_details[[#This Row],[Revenue]]&gt;1000,"High",IF(northwind_order_details[[#This Row],[Revenue]]&gt;300,"Medium","Low"))</f>
        <v>Medium</v>
      </c>
      <c r="M14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1" spans="1:13" x14ac:dyDescent="0.25">
      <c r="A1491">
        <v>10835</v>
      </c>
      <c r="B1491">
        <v>77</v>
      </c>
      <c r="C1491" s="6" t="s">
        <v>19</v>
      </c>
      <c r="D1491">
        <v>2</v>
      </c>
      <c r="E1491" s="6">
        <v>0.2</v>
      </c>
      <c r="F1491" t="str">
        <f>_xlfn.XLOOKUP(northwind_order_details[[#This Row],[order_id]],northwind_orders[order_id],northwind_orders[ship_country])</f>
        <v>Germany</v>
      </c>
      <c r="G1491">
        <f>INDEX(northwind_orders[],MATCH(northwind_order_details[[#This Row],[order_id]], northwind_orders[order_id], 0), MATCH("employee_id", northwind_orders[#Headers], 0))</f>
        <v>1</v>
      </c>
      <c r="H1491">
        <f>northwind_order_details[[#This Row],[unit_price]]*northwind_order_details[[#This Row],[quantity]]</f>
        <v>26</v>
      </c>
      <c r="I1491" s="1">
        <f>northwind_order_details[[#This Row],[purchase amount]]*northwind_order_details[[#This Row],[discount]]</f>
        <v>5.2</v>
      </c>
      <c r="J1491" s="1">
        <f>northwind_order_details[[#This Row],[purchase amount]]-northwind_order_details[[#This Row],[discount amount]]</f>
        <v>20.8</v>
      </c>
      <c r="K1491" s="6" t="str">
        <f>IF(northwind_order_details[[#This Row],[discount amount]]&gt;0,"Yes","No")</f>
        <v>Yes</v>
      </c>
      <c r="L1491" s="1" t="str">
        <f>IF(northwind_order_details[[#This Row],[Revenue]]&gt;1000,"High",IF(northwind_order_details[[#This Row],[Revenue]]&gt;300,"Medium","Low"))</f>
        <v>Low</v>
      </c>
      <c r="M14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2" spans="1:13" x14ac:dyDescent="0.25">
      <c r="A1492">
        <v>10836</v>
      </c>
      <c r="B1492">
        <v>22</v>
      </c>
      <c r="C1492" s="6" t="s">
        <v>37</v>
      </c>
      <c r="D1492">
        <v>52</v>
      </c>
      <c r="E1492" s="6" t="s">
        <v>6</v>
      </c>
      <c r="F1492" t="str">
        <f>_xlfn.XLOOKUP(northwind_order_details[[#This Row],[order_id]],northwind_orders[order_id],northwind_orders[ship_country])</f>
        <v>Austria</v>
      </c>
      <c r="G1492">
        <f>INDEX(northwind_orders[],MATCH(northwind_order_details[[#This Row],[order_id]], northwind_orders[order_id], 0), MATCH("employee_id", northwind_orders[#Headers], 0))</f>
        <v>7</v>
      </c>
      <c r="H1492">
        <f>northwind_order_details[[#This Row],[unit_price]]*northwind_order_details[[#This Row],[quantity]]</f>
        <v>1092</v>
      </c>
      <c r="I1492" s="1">
        <f>northwind_order_details[[#This Row],[purchase amount]]*northwind_order_details[[#This Row],[discount]]</f>
        <v>0</v>
      </c>
      <c r="J1492" s="1">
        <f>northwind_order_details[[#This Row],[purchase amount]]-northwind_order_details[[#This Row],[discount amount]]</f>
        <v>1092</v>
      </c>
      <c r="K1492" s="6" t="str">
        <f>IF(northwind_order_details[[#This Row],[discount amount]]&gt;0,"Yes","No")</f>
        <v>No</v>
      </c>
      <c r="L1492" s="1" t="str">
        <f>IF(northwind_order_details[[#This Row],[Revenue]]&gt;1000,"High",IF(northwind_order_details[[#This Row],[Revenue]]&gt;300,"Medium","Low"))</f>
        <v>High</v>
      </c>
      <c r="M14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3" spans="1:13" x14ac:dyDescent="0.25">
      <c r="A1493">
        <v>10836</v>
      </c>
      <c r="B1493">
        <v>35</v>
      </c>
      <c r="C1493" s="6" t="s">
        <v>24</v>
      </c>
      <c r="D1493">
        <v>6</v>
      </c>
      <c r="E1493" s="6" t="s">
        <v>6</v>
      </c>
      <c r="F1493" t="str">
        <f>_xlfn.XLOOKUP(northwind_order_details[[#This Row],[order_id]],northwind_orders[order_id],northwind_orders[ship_country])</f>
        <v>Austria</v>
      </c>
      <c r="G1493">
        <f>INDEX(northwind_orders[],MATCH(northwind_order_details[[#This Row],[order_id]], northwind_orders[order_id], 0), MATCH("employee_id", northwind_orders[#Headers], 0))</f>
        <v>7</v>
      </c>
      <c r="H1493">
        <f>northwind_order_details[[#This Row],[unit_price]]*northwind_order_details[[#This Row],[quantity]]</f>
        <v>108</v>
      </c>
      <c r="I1493" s="1">
        <f>northwind_order_details[[#This Row],[purchase amount]]*northwind_order_details[[#This Row],[discount]]</f>
        <v>0</v>
      </c>
      <c r="J1493" s="1">
        <f>northwind_order_details[[#This Row],[purchase amount]]-northwind_order_details[[#This Row],[discount amount]]</f>
        <v>108</v>
      </c>
      <c r="K1493" s="6" t="str">
        <f>IF(northwind_order_details[[#This Row],[discount amount]]&gt;0,"Yes","No")</f>
        <v>No</v>
      </c>
      <c r="L1493" s="1" t="str">
        <f>IF(northwind_order_details[[#This Row],[Revenue]]&gt;1000,"High",IF(northwind_order_details[[#This Row],[Revenue]]&gt;300,"Medium","Low"))</f>
        <v>Low</v>
      </c>
      <c r="M14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4" spans="1:13" x14ac:dyDescent="0.25">
      <c r="A1494">
        <v>10836</v>
      </c>
      <c r="B1494">
        <v>57</v>
      </c>
      <c r="C1494" s="6">
        <v>19.5</v>
      </c>
      <c r="D1494">
        <v>24</v>
      </c>
      <c r="E1494" s="6" t="s">
        <v>6</v>
      </c>
      <c r="F1494" t="str">
        <f>_xlfn.XLOOKUP(northwind_order_details[[#This Row],[order_id]],northwind_orders[order_id],northwind_orders[ship_country])</f>
        <v>Austria</v>
      </c>
      <c r="G1494">
        <f>INDEX(northwind_orders[],MATCH(northwind_order_details[[#This Row],[order_id]], northwind_orders[order_id], 0), MATCH("employee_id", northwind_orders[#Headers], 0))</f>
        <v>7</v>
      </c>
      <c r="H1494">
        <f>northwind_order_details[[#This Row],[unit_price]]*northwind_order_details[[#This Row],[quantity]]</f>
        <v>468</v>
      </c>
      <c r="I1494" s="1">
        <f>northwind_order_details[[#This Row],[purchase amount]]*northwind_order_details[[#This Row],[discount]]</f>
        <v>0</v>
      </c>
      <c r="J1494" s="1">
        <f>northwind_order_details[[#This Row],[purchase amount]]-northwind_order_details[[#This Row],[discount amount]]</f>
        <v>468</v>
      </c>
      <c r="K1494" s="6" t="str">
        <f>IF(northwind_order_details[[#This Row],[discount amount]]&gt;0,"Yes","No")</f>
        <v>No</v>
      </c>
      <c r="L1494" s="1" t="str">
        <f>IF(northwind_order_details[[#This Row],[Revenue]]&gt;1000,"High",IF(northwind_order_details[[#This Row],[Revenue]]&gt;300,"Medium","Low"))</f>
        <v>Medium</v>
      </c>
      <c r="M149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95" spans="1:13" x14ac:dyDescent="0.25">
      <c r="A1495">
        <v>10836</v>
      </c>
      <c r="B1495">
        <v>60</v>
      </c>
      <c r="C1495" s="6" t="s">
        <v>28</v>
      </c>
      <c r="D1495">
        <v>60</v>
      </c>
      <c r="E1495" s="6" t="s">
        <v>6</v>
      </c>
      <c r="F1495" t="str">
        <f>_xlfn.XLOOKUP(northwind_order_details[[#This Row],[order_id]],northwind_orders[order_id],northwind_orders[ship_country])</f>
        <v>Austria</v>
      </c>
      <c r="G1495">
        <f>INDEX(northwind_orders[],MATCH(northwind_order_details[[#This Row],[order_id]], northwind_orders[order_id], 0), MATCH("employee_id", northwind_orders[#Headers], 0))</f>
        <v>7</v>
      </c>
      <c r="H1495">
        <f>northwind_order_details[[#This Row],[unit_price]]*northwind_order_details[[#This Row],[quantity]]</f>
        <v>2040</v>
      </c>
      <c r="I1495" s="1">
        <f>northwind_order_details[[#This Row],[purchase amount]]*northwind_order_details[[#This Row],[discount]]</f>
        <v>0</v>
      </c>
      <c r="J1495" s="1">
        <f>northwind_order_details[[#This Row],[purchase amount]]-northwind_order_details[[#This Row],[discount amount]]</f>
        <v>2040</v>
      </c>
      <c r="K1495" s="6" t="str">
        <f>IF(northwind_order_details[[#This Row],[discount amount]]&gt;0,"Yes","No")</f>
        <v>No</v>
      </c>
      <c r="L1495" s="1" t="str">
        <f>IF(northwind_order_details[[#This Row],[Revenue]]&gt;1000,"High",IF(northwind_order_details[[#This Row],[Revenue]]&gt;300,"Medium","Low"))</f>
        <v>High</v>
      </c>
      <c r="M14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6" spans="1:13" x14ac:dyDescent="0.25">
      <c r="A1496">
        <v>10836</v>
      </c>
      <c r="B1496">
        <v>64</v>
      </c>
      <c r="C1496" s="6">
        <v>33.25</v>
      </c>
      <c r="D1496">
        <v>30</v>
      </c>
      <c r="E1496" s="6" t="s">
        <v>6</v>
      </c>
      <c r="F1496" t="str">
        <f>_xlfn.XLOOKUP(northwind_order_details[[#This Row],[order_id]],northwind_orders[order_id],northwind_orders[ship_country])</f>
        <v>Austria</v>
      </c>
      <c r="G1496">
        <f>INDEX(northwind_orders[],MATCH(northwind_order_details[[#This Row],[order_id]], northwind_orders[order_id], 0), MATCH("employee_id", northwind_orders[#Headers], 0))</f>
        <v>7</v>
      </c>
      <c r="H1496">
        <f>northwind_order_details[[#This Row],[unit_price]]*northwind_order_details[[#This Row],[quantity]]</f>
        <v>997.5</v>
      </c>
      <c r="I1496" s="1">
        <f>northwind_order_details[[#This Row],[purchase amount]]*northwind_order_details[[#This Row],[discount]]</f>
        <v>0</v>
      </c>
      <c r="J1496" s="1">
        <f>northwind_order_details[[#This Row],[purchase amount]]-northwind_order_details[[#This Row],[discount amount]]</f>
        <v>997.5</v>
      </c>
      <c r="K1496" s="6" t="str">
        <f>IF(northwind_order_details[[#This Row],[discount amount]]&gt;0,"Yes","No")</f>
        <v>No</v>
      </c>
      <c r="L1496" s="1" t="str">
        <f>IF(northwind_order_details[[#This Row],[Revenue]]&gt;1000,"High",IF(northwind_order_details[[#This Row],[Revenue]]&gt;300,"Medium","Low"))</f>
        <v>Medium</v>
      </c>
      <c r="M149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97" spans="1:13" x14ac:dyDescent="0.25">
      <c r="A1497">
        <v>10837</v>
      </c>
      <c r="B1497">
        <v>13</v>
      </c>
      <c r="C1497" s="6" t="s">
        <v>23</v>
      </c>
      <c r="D1497">
        <v>6</v>
      </c>
      <c r="E1497" s="6" t="s">
        <v>6</v>
      </c>
      <c r="F1497" t="str">
        <f>_xlfn.XLOOKUP(northwind_order_details[[#This Row],[order_id]],northwind_orders[order_id],northwind_orders[ship_country])</f>
        <v>Sweden</v>
      </c>
      <c r="G1497">
        <f>INDEX(northwind_orders[],MATCH(northwind_order_details[[#This Row],[order_id]], northwind_orders[order_id], 0), MATCH("employee_id", northwind_orders[#Headers], 0))</f>
        <v>9</v>
      </c>
      <c r="H1497">
        <f>northwind_order_details[[#This Row],[unit_price]]*northwind_order_details[[#This Row],[quantity]]</f>
        <v>36</v>
      </c>
      <c r="I1497" s="1">
        <f>northwind_order_details[[#This Row],[purchase amount]]*northwind_order_details[[#This Row],[discount]]</f>
        <v>0</v>
      </c>
      <c r="J1497" s="1">
        <f>northwind_order_details[[#This Row],[purchase amount]]-northwind_order_details[[#This Row],[discount amount]]</f>
        <v>36</v>
      </c>
      <c r="K1497" s="6" t="str">
        <f>IF(northwind_order_details[[#This Row],[discount amount]]&gt;0,"Yes","No")</f>
        <v>No</v>
      </c>
      <c r="L1497" s="1" t="str">
        <f>IF(northwind_order_details[[#This Row],[Revenue]]&gt;1000,"High",IF(northwind_order_details[[#This Row],[Revenue]]&gt;300,"Medium","Low"))</f>
        <v>Low</v>
      </c>
      <c r="M14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498" spans="1:13" x14ac:dyDescent="0.25">
      <c r="A1498">
        <v>10837</v>
      </c>
      <c r="B1498">
        <v>40</v>
      </c>
      <c r="C1498" s="6">
        <v>18.399999999999999</v>
      </c>
      <c r="D1498">
        <v>25</v>
      </c>
      <c r="E1498" s="6" t="s">
        <v>6</v>
      </c>
      <c r="F1498" t="str">
        <f>_xlfn.XLOOKUP(northwind_order_details[[#This Row],[order_id]],northwind_orders[order_id],northwind_orders[ship_country])</f>
        <v>Sweden</v>
      </c>
      <c r="G1498">
        <f>INDEX(northwind_orders[],MATCH(northwind_order_details[[#This Row],[order_id]], northwind_orders[order_id], 0), MATCH("employee_id", northwind_orders[#Headers], 0))</f>
        <v>9</v>
      </c>
      <c r="H1498">
        <f>northwind_order_details[[#This Row],[unit_price]]*northwind_order_details[[#This Row],[quantity]]</f>
        <v>459.99999999999994</v>
      </c>
      <c r="I1498" s="1">
        <f>northwind_order_details[[#This Row],[purchase amount]]*northwind_order_details[[#This Row],[discount]]</f>
        <v>0</v>
      </c>
      <c r="J1498" s="1">
        <f>northwind_order_details[[#This Row],[purchase amount]]-northwind_order_details[[#This Row],[discount amount]]</f>
        <v>459.99999999999994</v>
      </c>
      <c r="K1498" s="6" t="str">
        <f>IF(northwind_order_details[[#This Row],[discount amount]]&gt;0,"Yes","No")</f>
        <v>No</v>
      </c>
      <c r="L1498" s="1" t="str">
        <f>IF(northwind_order_details[[#This Row],[Revenue]]&gt;1000,"High",IF(northwind_order_details[[#This Row],[Revenue]]&gt;300,"Medium","Low"))</f>
        <v>Medium</v>
      </c>
      <c r="M14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499" spans="1:13" x14ac:dyDescent="0.25">
      <c r="A1499">
        <v>10837</v>
      </c>
      <c r="B1499">
        <v>47</v>
      </c>
      <c r="C1499" s="6">
        <v>9.5</v>
      </c>
      <c r="D1499">
        <v>40</v>
      </c>
      <c r="E1499" s="6">
        <v>0.25</v>
      </c>
      <c r="F1499" t="str">
        <f>_xlfn.XLOOKUP(northwind_order_details[[#This Row],[order_id]],northwind_orders[order_id],northwind_orders[ship_country])</f>
        <v>Sweden</v>
      </c>
      <c r="G1499">
        <f>INDEX(northwind_orders[],MATCH(northwind_order_details[[#This Row],[order_id]], northwind_orders[order_id], 0), MATCH("employee_id", northwind_orders[#Headers], 0))</f>
        <v>9</v>
      </c>
      <c r="H1499">
        <f>northwind_order_details[[#This Row],[unit_price]]*northwind_order_details[[#This Row],[quantity]]</f>
        <v>380</v>
      </c>
      <c r="I1499" s="1">
        <f>northwind_order_details[[#This Row],[purchase amount]]*northwind_order_details[[#This Row],[discount]]</f>
        <v>95</v>
      </c>
      <c r="J1499" s="1">
        <f>northwind_order_details[[#This Row],[purchase amount]]-northwind_order_details[[#This Row],[discount amount]]</f>
        <v>285</v>
      </c>
      <c r="K1499" s="6" t="str">
        <f>IF(northwind_order_details[[#This Row],[discount amount]]&gt;0,"Yes","No")</f>
        <v>Yes</v>
      </c>
      <c r="L1499" s="1" t="str">
        <f>IF(northwind_order_details[[#This Row],[Revenue]]&gt;1000,"High",IF(northwind_order_details[[#This Row],[Revenue]]&gt;300,"Medium","Low"))</f>
        <v>Low</v>
      </c>
      <c r="M149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00" spans="1:13" x14ac:dyDescent="0.25">
      <c r="A1500">
        <v>10837</v>
      </c>
      <c r="B1500">
        <v>76</v>
      </c>
      <c r="C1500" s="6" t="s">
        <v>24</v>
      </c>
      <c r="D1500">
        <v>21</v>
      </c>
      <c r="E1500" s="6">
        <v>0.25</v>
      </c>
      <c r="F1500" t="str">
        <f>_xlfn.XLOOKUP(northwind_order_details[[#This Row],[order_id]],northwind_orders[order_id],northwind_orders[ship_country])</f>
        <v>Sweden</v>
      </c>
      <c r="G1500">
        <f>INDEX(northwind_orders[],MATCH(northwind_order_details[[#This Row],[order_id]], northwind_orders[order_id], 0), MATCH("employee_id", northwind_orders[#Headers], 0))</f>
        <v>9</v>
      </c>
      <c r="H1500">
        <f>northwind_order_details[[#This Row],[unit_price]]*northwind_order_details[[#This Row],[quantity]]</f>
        <v>378</v>
      </c>
      <c r="I1500" s="1">
        <f>northwind_order_details[[#This Row],[purchase amount]]*northwind_order_details[[#This Row],[discount]]</f>
        <v>94.5</v>
      </c>
      <c r="J1500" s="1">
        <f>northwind_order_details[[#This Row],[purchase amount]]-northwind_order_details[[#This Row],[discount amount]]</f>
        <v>283.5</v>
      </c>
      <c r="K1500" s="6" t="str">
        <f>IF(northwind_order_details[[#This Row],[discount amount]]&gt;0,"Yes","No")</f>
        <v>Yes</v>
      </c>
      <c r="L1500" s="1" t="str">
        <f>IF(northwind_order_details[[#This Row],[Revenue]]&gt;1000,"High",IF(northwind_order_details[[#This Row],[Revenue]]&gt;300,"Medium","Low"))</f>
        <v>Low</v>
      </c>
      <c r="M15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1" spans="1:13" x14ac:dyDescent="0.25">
      <c r="A1501">
        <v>10838</v>
      </c>
      <c r="B1501">
        <v>1</v>
      </c>
      <c r="C1501" s="6" t="s">
        <v>24</v>
      </c>
      <c r="D1501">
        <v>4</v>
      </c>
      <c r="E1501" s="6">
        <v>0.25</v>
      </c>
      <c r="F1501" t="str">
        <f>_xlfn.XLOOKUP(northwind_order_details[[#This Row],[order_id]],northwind_orders[order_id],northwind_orders[ship_country])</f>
        <v>Venezuela</v>
      </c>
      <c r="G1501">
        <f>INDEX(northwind_orders[],MATCH(northwind_order_details[[#This Row],[order_id]], northwind_orders[order_id], 0), MATCH("employee_id", northwind_orders[#Headers], 0))</f>
        <v>3</v>
      </c>
      <c r="H1501">
        <f>northwind_order_details[[#This Row],[unit_price]]*northwind_order_details[[#This Row],[quantity]]</f>
        <v>72</v>
      </c>
      <c r="I1501" s="1">
        <f>northwind_order_details[[#This Row],[purchase amount]]*northwind_order_details[[#This Row],[discount]]</f>
        <v>18</v>
      </c>
      <c r="J1501" s="1">
        <f>northwind_order_details[[#This Row],[purchase amount]]-northwind_order_details[[#This Row],[discount amount]]</f>
        <v>54</v>
      </c>
      <c r="K1501" s="6" t="str">
        <f>IF(northwind_order_details[[#This Row],[discount amount]]&gt;0,"Yes","No")</f>
        <v>Yes</v>
      </c>
      <c r="L1501" s="1" t="str">
        <f>IF(northwind_order_details[[#This Row],[Revenue]]&gt;1000,"High",IF(northwind_order_details[[#This Row],[Revenue]]&gt;300,"Medium","Low"))</f>
        <v>Low</v>
      </c>
      <c r="M15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2" spans="1:13" x14ac:dyDescent="0.25">
      <c r="A1502">
        <v>10838</v>
      </c>
      <c r="B1502">
        <v>18</v>
      </c>
      <c r="C1502" s="6">
        <v>62.5</v>
      </c>
      <c r="D1502">
        <v>25</v>
      </c>
      <c r="E1502" s="6">
        <v>0.25</v>
      </c>
      <c r="F1502" t="str">
        <f>_xlfn.XLOOKUP(northwind_order_details[[#This Row],[order_id]],northwind_orders[order_id],northwind_orders[ship_country])</f>
        <v>Venezuela</v>
      </c>
      <c r="G1502">
        <f>INDEX(northwind_orders[],MATCH(northwind_order_details[[#This Row],[order_id]], northwind_orders[order_id], 0), MATCH("employee_id", northwind_orders[#Headers], 0))</f>
        <v>3</v>
      </c>
      <c r="H1502">
        <f>northwind_order_details[[#This Row],[unit_price]]*northwind_order_details[[#This Row],[quantity]]</f>
        <v>1562.5</v>
      </c>
      <c r="I1502" s="1">
        <f>northwind_order_details[[#This Row],[purchase amount]]*northwind_order_details[[#This Row],[discount]]</f>
        <v>390.625</v>
      </c>
      <c r="J1502" s="1">
        <f>northwind_order_details[[#This Row],[purchase amount]]-northwind_order_details[[#This Row],[discount amount]]</f>
        <v>1171.875</v>
      </c>
      <c r="K1502" s="6" t="str">
        <f>IF(northwind_order_details[[#This Row],[discount amount]]&gt;0,"Yes","No")</f>
        <v>Yes</v>
      </c>
      <c r="L1502" s="1" t="str">
        <f>IF(northwind_order_details[[#This Row],[Revenue]]&gt;1000,"High",IF(northwind_order_details[[#This Row],[Revenue]]&gt;300,"Medium","Low"))</f>
        <v>High</v>
      </c>
      <c r="M15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03" spans="1:13" x14ac:dyDescent="0.25">
      <c r="A1503">
        <v>10838</v>
      </c>
      <c r="B1503">
        <v>36</v>
      </c>
      <c r="C1503" s="6" t="s">
        <v>20</v>
      </c>
      <c r="D1503">
        <v>50</v>
      </c>
      <c r="E1503" s="6">
        <v>0.25</v>
      </c>
      <c r="F1503" t="str">
        <f>_xlfn.XLOOKUP(northwind_order_details[[#This Row],[order_id]],northwind_orders[order_id],northwind_orders[ship_country])</f>
        <v>Venezuela</v>
      </c>
      <c r="G1503">
        <f>INDEX(northwind_orders[],MATCH(northwind_order_details[[#This Row],[order_id]], northwind_orders[order_id], 0), MATCH("employee_id", northwind_orders[#Headers], 0))</f>
        <v>3</v>
      </c>
      <c r="H1503">
        <f>northwind_order_details[[#This Row],[unit_price]]*northwind_order_details[[#This Row],[quantity]]</f>
        <v>950</v>
      </c>
      <c r="I1503" s="1">
        <f>northwind_order_details[[#This Row],[purchase amount]]*northwind_order_details[[#This Row],[discount]]</f>
        <v>237.5</v>
      </c>
      <c r="J1503" s="1">
        <f>northwind_order_details[[#This Row],[purchase amount]]-northwind_order_details[[#This Row],[discount amount]]</f>
        <v>712.5</v>
      </c>
      <c r="K1503" s="6" t="str">
        <f>IF(northwind_order_details[[#This Row],[discount amount]]&gt;0,"Yes","No")</f>
        <v>Yes</v>
      </c>
      <c r="L1503" s="1" t="str">
        <f>IF(northwind_order_details[[#This Row],[Revenue]]&gt;1000,"High",IF(northwind_order_details[[#This Row],[Revenue]]&gt;300,"Medium","Low"))</f>
        <v>Medium</v>
      </c>
      <c r="M15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4" spans="1:13" x14ac:dyDescent="0.25">
      <c r="A1504">
        <v>10839</v>
      </c>
      <c r="B1504">
        <v>58</v>
      </c>
      <c r="C1504" s="6">
        <v>13.25</v>
      </c>
      <c r="D1504">
        <v>30</v>
      </c>
      <c r="E1504" s="6">
        <v>0.1</v>
      </c>
      <c r="F1504" t="str">
        <f>_xlfn.XLOOKUP(northwind_order_details[[#This Row],[order_id]],northwind_orders[order_id],northwind_orders[ship_country])</f>
        <v>Brazil</v>
      </c>
      <c r="G1504">
        <f>INDEX(northwind_orders[],MATCH(northwind_order_details[[#This Row],[order_id]], northwind_orders[order_id], 0), MATCH("employee_id", northwind_orders[#Headers], 0))</f>
        <v>3</v>
      </c>
      <c r="H1504">
        <f>northwind_order_details[[#This Row],[unit_price]]*northwind_order_details[[#This Row],[quantity]]</f>
        <v>397.5</v>
      </c>
      <c r="I1504" s="1">
        <f>northwind_order_details[[#This Row],[purchase amount]]*northwind_order_details[[#This Row],[discount]]</f>
        <v>39.75</v>
      </c>
      <c r="J1504" s="1">
        <f>northwind_order_details[[#This Row],[purchase amount]]-northwind_order_details[[#This Row],[discount amount]]</f>
        <v>357.75</v>
      </c>
      <c r="K1504" s="6" t="str">
        <f>IF(northwind_order_details[[#This Row],[discount amount]]&gt;0,"Yes","No")</f>
        <v>Yes</v>
      </c>
      <c r="L1504" s="1" t="str">
        <f>IF(northwind_order_details[[#This Row],[Revenue]]&gt;1000,"High",IF(northwind_order_details[[#This Row],[Revenue]]&gt;300,"Medium","Low"))</f>
        <v>Medium</v>
      </c>
      <c r="M15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05" spans="1:13" x14ac:dyDescent="0.25">
      <c r="A1505">
        <v>10839</v>
      </c>
      <c r="B1505">
        <v>72</v>
      </c>
      <c r="C1505" s="6">
        <v>34.799999999999997</v>
      </c>
      <c r="D1505">
        <v>15</v>
      </c>
      <c r="E1505" s="6">
        <v>0.1</v>
      </c>
      <c r="F1505" t="str">
        <f>_xlfn.XLOOKUP(northwind_order_details[[#This Row],[order_id]],northwind_orders[order_id],northwind_orders[ship_country])</f>
        <v>Brazil</v>
      </c>
      <c r="G1505">
        <f>INDEX(northwind_orders[],MATCH(northwind_order_details[[#This Row],[order_id]], northwind_orders[order_id], 0), MATCH("employee_id", northwind_orders[#Headers], 0))</f>
        <v>3</v>
      </c>
      <c r="H1505">
        <f>northwind_order_details[[#This Row],[unit_price]]*northwind_order_details[[#This Row],[quantity]]</f>
        <v>522</v>
      </c>
      <c r="I1505" s="1">
        <f>northwind_order_details[[#This Row],[purchase amount]]*northwind_order_details[[#This Row],[discount]]</f>
        <v>52.2</v>
      </c>
      <c r="J1505" s="1">
        <f>northwind_order_details[[#This Row],[purchase amount]]-northwind_order_details[[#This Row],[discount amount]]</f>
        <v>469.8</v>
      </c>
      <c r="K1505" s="6" t="str">
        <f>IF(northwind_order_details[[#This Row],[discount amount]]&gt;0,"Yes","No")</f>
        <v>Yes</v>
      </c>
      <c r="L1505" s="1" t="str">
        <f>IF(northwind_order_details[[#This Row],[Revenue]]&gt;1000,"High",IF(northwind_order_details[[#This Row],[Revenue]]&gt;300,"Medium","Low"))</f>
        <v>Medium</v>
      </c>
      <c r="M150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06" spans="1:13" x14ac:dyDescent="0.25">
      <c r="A1506">
        <v>10840</v>
      </c>
      <c r="B1506">
        <v>25</v>
      </c>
      <c r="C1506" s="6" t="s">
        <v>5</v>
      </c>
      <c r="D1506">
        <v>6</v>
      </c>
      <c r="E1506" s="6">
        <v>0.2</v>
      </c>
      <c r="F1506" t="str">
        <f>_xlfn.XLOOKUP(northwind_order_details[[#This Row],[order_id]],northwind_orders[order_id],northwind_orders[ship_country])</f>
        <v>Venezuela</v>
      </c>
      <c r="G1506">
        <f>INDEX(northwind_orders[],MATCH(northwind_order_details[[#This Row],[order_id]], northwind_orders[order_id], 0), MATCH("employee_id", northwind_orders[#Headers], 0))</f>
        <v>4</v>
      </c>
      <c r="H1506">
        <f>northwind_order_details[[#This Row],[unit_price]]*northwind_order_details[[#This Row],[quantity]]</f>
        <v>84</v>
      </c>
      <c r="I1506" s="1">
        <f>northwind_order_details[[#This Row],[purchase amount]]*northwind_order_details[[#This Row],[discount]]</f>
        <v>16.8</v>
      </c>
      <c r="J1506" s="1">
        <f>northwind_order_details[[#This Row],[purchase amount]]-northwind_order_details[[#This Row],[discount amount]]</f>
        <v>67.2</v>
      </c>
      <c r="K1506" s="6" t="str">
        <f>IF(northwind_order_details[[#This Row],[discount amount]]&gt;0,"Yes","No")</f>
        <v>Yes</v>
      </c>
      <c r="L1506" s="1" t="str">
        <f>IF(northwind_order_details[[#This Row],[Revenue]]&gt;1000,"High",IF(northwind_order_details[[#This Row],[Revenue]]&gt;300,"Medium","Low"))</f>
        <v>Low</v>
      </c>
      <c r="M15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7" spans="1:13" x14ac:dyDescent="0.25">
      <c r="A1507">
        <v>10840</v>
      </c>
      <c r="B1507">
        <v>39</v>
      </c>
      <c r="C1507" s="6" t="s">
        <v>24</v>
      </c>
      <c r="D1507">
        <v>10</v>
      </c>
      <c r="E1507" s="6">
        <v>0.2</v>
      </c>
      <c r="F1507" t="str">
        <f>_xlfn.XLOOKUP(northwind_order_details[[#This Row],[order_id]],northwind_orders[order_id],northwind_orders[ship_country])</f>
        <v>Venezuela</v>
      </c>
      <c r="G1507">
        <f>INDEX(northwind_orders[],MATCH(northwind_order_details[[#This Row],[order_id]], northwind_orders[order_id], 0), MATCH("employee_id", northwind_orders[#Headers], 0))</f>
        <v>4</v>
      </c>
      <c r="H1507">
        <f>northwind_order_details[[#This Row],[unit_price]]*northwind_order_details[[#This Row],[quantity]]</f>
        <v>180</v>
      </c>
      <c r="I1507" s="1">
        <f>northwind_order_details[[#This Row],[purchase amount]]*northwind_order_details[[#This Row],[discount]]</f>
        <v>36</v>
      </c>
      <c r="J1507" s="1">
        <f>northwind_order_details[[#This Row],[purchase amount]]-northwind_order_details[[#This Row],[discount amount]]</f>
        <v>144</v>
      </c>
      <c r="K1507" s="6" t="str">
        <f>IF(northwind_order_details[[#This Row],[discount amount]]&gt;0,"Yes","No")</f>
        <v>Yes</v>
      </c>
      <c r="L1507" s="1" t="str">
        <f>IF(northwind_order_details[[#This Row],[Revenue]]&gt;1000,"High",IF(northwind_order_details[[#This Row],[Revenue]]&gt;300,"Medium","Low"))</f>
        <v>Low</v>
      </c>
      <c r="M15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8" spans="1:13" x14ac:dyDescent="0.25">
      <c r="A1508">
        <v>10841</v>
      </c>
      <c r="B1508">
        <v>10</v>
      </c>
      <c r="C1508" s="6" t="s">
        <v>34</v>
      </c>
      <c r="D1508">
        <v>16</v>
      </c>
      <c r="E1508" s="6" t="s">
        <v>6</v>
      </c>
      <c r="F1508" t="str">
        <f>_xlfn.XLOOKUP(northwind_order_details[[#This Row],[order_id]],northwind_orders[order_id],northwind_orders[ship_country])</f>
        <v>Belgium</v>
      </c>
      <c r="G1508">
        <f>INDEX(northwind_orders[],MATCH(northwind_order_details[[#This Row],[order_id]], northwind_orders[order_id], 0), MATCH("employee_id", northwind_orders[#Headers], 0))</f>
        <v>5</v>
      </c>
      <c r="H1508">
        <f>northwind_order_details[[#This Row],[unit_price]]*northwind_order_details[[#This Row],[quantity]]</f>
        <v>496</v>
      </c>
      <c r="I1508" s="1">
        <f>northwind_order_details[[#This Row],[purchase amount]]*northwind_order_details[[#This Row],[discount]]</f>
        <v>0</v>
      </c>
      <c r="J1508" s="1">
        <f>northwind_order_details[[#This Row],[purchase amount]]-northwind_order_details[[#This Row],[discount amount]]</f>
        <v>496</v>
      </c>
      <c r="K1508" s="6" t="str">
        <f>IF(northwind_order_details[[#This Row],[discount amount]]&gt;0,"Yes","No")</f>
        <v>No</v>
      </c>
      <c r="L1508" s="1" t="str">
        <f>IF(northwind_order_details[[#This Row],[Revenue]]&gt;1000,"High",IF(northwind_order_details[[#This Row],[Revenue]]&gt;300,"Medium","Low"))</f>
        <v>Medium</v>
      </c>
      <c r="M15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09" spans="1:13" x14ac:dyDescent="0.25">
      <c r="A1509">
        <v>10841</v>
      </c>
      <c r="B1509">
        <v>56</v>
      </c>
      <c r="C1509" s="6" t="s">
        <v>30</v>
      </c>
      <c r="D1509">
        <v>30</v>
      </c>
      <c r="E1509" s="6" t="s">
        <v>6</v>
      </c>
      <c r="F1509" t="str">
        <f>_xlfn.XLOOKUP(northwind_order_details[[#This Row],[order_id]],northwind_orders[order_id],northwind_orders[ship_country])</f>
        <v>Belgium</v>
      </c>
      <c r="G1509">
        <f>INDEX(northwind_orders[],MATCH(northwind_order_details[[#This Row],[order_id]], northwind_orders[order_id], 0), MATCH("employee_id", northwind_orders[#Headers], 0))</f>
        <v>5</v>
      </c>
      <c r="H1509">
        <f>northwind_order_details[[#This Row],[unit_price]]*northwind_order_details[[#This Row],[quantity]]</f>
        <v>1140</v>
      </c>
      <c r="I1509" s="1">
        <f>northwind_order_details[[#This Row],[purchase amount]]*northwind_order_details[[#This Row],[discount]]</f>
        <v>0</v>
      </c>
      <c r="J1509" s="1">
        <f>northwind_order_details[[#This Row],[purchase amount]]-northwind_order_details[[#This Row],[discount amount]]</f>
        <v>1140</v>
      </c>
      <c r="K1509" s="6" t="str">
        <f>IF(northwind_order_details[[#This Row],[discount amount]]&gt;0,"Yes","No")</f>
        <v>No</v>
      </c>
      <c r="L1509" s="1" t="str">
        <f>IF(northwind_order_details[[#This Row],[Revenue]]&gt;1000,"High",IF(northwind_order_details[[#This Row],[Revenue]]&gt;300,"Medium","Low"))</f>
        <v>High</v>
      </c>
      <c r="M15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0" spans="1:13" x14ac:dyDescent="0.25">
      <c r="A1510">
        <v>10841</v>
      </c>
      <c r="B1510">
        <v>59</v>
      </c>
      <c r="C1510" s="6" t="s">
        <v>33</v>
      </c>
      <c r="D1510">
        <v>50</v>
      </c>
      <c r="E1510" s="6" t="s">
        <v>6</v>
      </c>
      <c r="F1510" t="str">
        <f>_xlfn.XLOOKUP(northwind_order_details[[#This Row],[order_id]],northwind_orders[order_id],northwind_orders[ship_country])</f>
        <v>Belgium</v>
      </c>
      <c r="G1510">
        <f>INDEX(northwind_orders[],MATCH(northwind_order_details[[#This Row],[order_id]], northwind_orders[order_id], 0), MATCH("employee_id", northwind_orders[#Headers], 0))</f>
        <v>5</v>
      </c>
      <c r="H1510">
        <f>northwind_order_details[[#This Row],[unit_price]]*northwind_order_details[[#This Row],[quantity]]</f>
        <v>2750</v>
      </c>
      <c r="I1510" s="1">
        <f>northwind_order_details[[#This Row],[purchase amount]]*northwind_order_details[[#This Row],[discount]]</f>
        <v>0</v>
      </c>
      <c r="J1510" s="1">
        <f>northwind_order_details[[#This Row],[purchase amount]]-northwind_order_details[[#This Row],[discount amount]]</f>
        <v>2750</v>
      </c>
      <c r="K1510" s="6" t="str">
        <f>IF(northwind_order_details[[#This Row],[discount amount]]&gt;0,"Yes","No")</f>
        <v>No</v>
      </c>
      <c r="L1510" s="1" t="str">
        <f>IF(northwind_order_details[[#This Row],[Revenue]]&gt;1000,"High",IF(northwind_order_details[[#This Row],[Revenue]]&gt;300,"Medium","Low"))</f>
        <v>High</v>
      </c>
      <c r="M15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1" spans="1:13" x14ac:dyDescent="0.25">
      <c r="A1511">
        <v>10841</v>
      </c>
      <c r="B1511">
        <v>77</v>
      </c>
      <c r="C1511" s="6" t="s">
        <v>19</v>
      </c>
      <c r="D1511">
        <v>15</v>
      </c>
      <c r="E1511" s="6" t="s">
        <v>6</v>
      </c>
      <c r="F1511" t="str">
        <f>_xlfn.XLOOKUP(northwind_order_details[[#This Row],[order_id]],northwind_orders[order_id],northwind_orders[ship_country])</f>
        <v>Belgium</v>
      </c>
      <c r="G1511">
        <f>INDEX(northwind_orders[],MATCH(northwind_order_details[[#This Row],[order_id]], northwind_orders[order_id], 0), MATCH("employee_id", northwind_orders[#Headers], 0))</f>
        <v>5</v>
      </c>
      <c r="H1511">
        <f>northwind_order_details[[#This Row],[unit_price]]*northwind_order_details[[#This Row],[quantity]]</f>
        <v>195</v>
      </c>
      <c r="I1511" s="1">
        <f>northwind_order_details[[#This Row],[purchase amount]]*northwind_order_details[[#This Row],[discount]]</f>
        <v>0</v>
      </c>
      <c r="J1511" s="1">
        <f>northwind_order_details[[#This Row],[purchase amount]]-northwind_order_details[[#This Row],[discount amount]]</f>
        <v>195</v>
      </c>
      <c r="K1511" s="6" t="str">
        <f>IF(northwind_order_details[[#This Row],[discount amount]]&gt;0,"Yes","No")</f>
        <v>No</v>
      </c>
      <c r="L1511" s="1" t="str">
        <f>IF(northwind_order_details[[#This Row],[Revenue]]&gt;1000,"High",IF(northwind_order_details[[#This Row],[Revenue]]&gt;300,"Medium","Low"))</f>
        <v>Low</v>
      </c>
      <c r="M15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2" spans="1:13" x14ac:dyDescent="0.25">
      <c r="A1512">
        <v>10842</v>
      </c>
      <c r="B1512">
        <v>11</v>
      </c>
      <c r="C1512" s="6" t="s">
        <v>37</v>
      </c>
      <c r="D1512">
        <v>15</v>
      </c>
      <c r="E1512" s="6" t="s">
        <v>6</v>
      </c>
      <c r="F1512" t="str">
        <f>_xlfn.XLOOKUP(northwind_order_details[[#This Row],[order_id]],northwind_orders[order_id],northwind_orders[ship_country])</f>
        <v>Mexico</v>
      </c>
      <c r="G1512">
        <f>INDEX(northwind_orders[],MATCH(northwind_order_details[[#This Row],[order_id]], northwind_orders[order_id], 0), MATCH("employee_id", northwind_orders[#Headers], 0))</f>
        <v>1</v>
      </c>
      <c r="H1512">
        <f>northwind_order_details[[#This Row],[unit_price]]*northwind_order_details[[#This Row],[quantity]]</f>
        <v>315</v>
      </c>
      <c r="I1512" s="1">
        <f>northwind_order_details[[#This Row],[purchase amount]]*northwind_order_details[[#This Row],[discount]]</f>
        <v>0</v>
      </c>
      <c r="J1512" s="1">
        <f>northwind_order_details[[#This Row],[purchase amount]]-northwind_order_details[[#This Row],[discount amount]]</f>
        <v>315</v>
      </c>
      <c r="K1512" s="6" t="str">
        <f>IF(northwind_order_details[[#This Row],[discount amount]]&gt;0,"Yes","No")</f>
        <v>No</v>
      </c>
      <c r="L1512" s="1" t="str">
        <f>IF(northwind_order_details[[#This Row],[Revenue]]&gt;1000,"High",IF(northwind_order_details[[#This Row],[Revenue]]&gt;300,"Medium","Low"))</f>
        <v>Medium</v>
      </c>
      <c r="M15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3" spans="1:13" x14ac:dyDescent="0.25">
      <c r="A1513">
        <v>10842</v>
      </c>
      <c r="B1513">
        <v>43</v>
      </c>
      <c r="C1513" s="6" t="s">
        <v>22</v>
      </c>
      <c r="D1513">
        <v>5</v>
      </c>
      <c r="E1513" s="6" t="s">
        <v>6</v>
      </c>
      <c r="F1513" t="str">
        <f>_xlfn.XLOOKUP(northwind_order_details[[#This Row],[order_id]],northwind_orders[order_id],northwind_orders[ship_country])</f>
        <v>Mexico</v>
      </c>
      <c r="G1513">
        <f>INDEX(northwind_orders[],MATCH(northwind_order_details[[#This Row],[order_id]], northwind_orders[order_id], 0), MATCH("employee_id", northwind_orders[#Headers], 0))</f>
        <v>1</v>
      </c>
      <c r="H1513">
        <f>northwind_order_details[[#This Row],[unit_price]]*northwind_order_details[[#This Row],[quantity]]</f>
        <v>230</v>
      </c>
      <c r="I1513" s="1">
        <f>northwind_order_details[[#This Row],[purchase amount]]*northwind_order_details[[#This Row],[discount]]</f>
        <v>0</v>
      </c>
      <c r="J1513" s="1">
        <f>northwind_order_details[[#This Row],[purchase amount]]-northwind_order_details[[#This Row],[discount amount]]</f>
        <v>230</v>
      </c>
      <c r="K1513" s="6" t="str">
        <f>IF(northwind_order_details[[#This Row],[discount amount]]&gt;0,"Yes","No")</f>
        <v>No</v>
      </c>
      <c r="L1513" s="1" t="str">
        <f>IF(northwind_order_details[[#This Row],[Revenue]]&gt;1000,"High",IF(northwind_order_details[[#This Row],[Revenue]]&gt;300,"Medium","Low"))</f>
        <v>Low</v>
      </c>
      <c r="M15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4" spans="1:13" x14ac:dyDescent="0.25">
      <c r="A1514">
        <v>10842</v>
      </c>
      <c r="B1514">
        <v>68</v>
      </c>
      <c r="C1514" s="6">
        <v>12.5</v>
      </c>
      <c r="D1514">
        <v>20</v>
      </c>
      <c r="E1514" s="6" t="s">
        <v>6</v>
      </c>
      <c r="F1514" t="str">
        <f>_xlfn.XLOOKUP(northwind_order_details[[#This Row],[order_id]],northwind_orders[order_id],northwind_orders[ship_country])</f>
        <v>Mexico</v>
      </c>
      <c r="G1514">
        <f>INDEX(northwind_orders[],MATCH(northwind_order_details[[#This Row],[order_id]], northwind_orders[order_id], 0), MATCH("employee_id", northwind_orders[#Headers], 0))</f>
        <v>1</v>
      </c>
      <c r="H1514">
        <f>northwind_order_details[[#This Row],[unit_price]]*northwind_order_details[[#This Row],[quantity]]</f>
        <v>250</v>
      </c>
      <c r="I1514" s="1">
        <f>northwind_order_details[[#This Row],[purchase amount]]*northwind_order_details[[#This Row],[discount]]</f>
        <v>0</v>
      </c>
      <c r="J1514" s="1">
        <f>northwind_order_details[[#This Row],[purchase amount]]-northwind_order_details[[#This Row],[discount amount]]</f>
        <v>250</v>
      </c>
      <c r="K1514" s="6" t="str">
        <f>IF(northwind_order_details[[#This Row],[discount amount]]&gt;0,"Yes","No")</f>
        <v>No</v>
      </c>
      <c r="L1514" s="1" t="str">
        <f>IF(northwind_order_details[[#This Row],[Revenue]]&gt;1000,"High",IF(northwind_order_details[[#This Row],[Revenue]]&gt;300,"Medium","Low"))</f>
        <v>Low</v>
      </c>
      <c r="M151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15" spans="1:13" x14ac:dyDescent="0.25">
      <c r="A1515">
        <v>10842</v>
      </c>
      <c r="B1515">
        <v>70</v>
      </c>
      <c r="C1515" s="6" t="s">
        <v>21</v>
      </c>
      <c r="D1515">
        <v>12</v>
      </c>
      <c r="E1515" s="6" t="s">
        <v>6</v>
      </c>
      <c r="F1515" t="str">
        <f>_xlfn.XLOOKUP(northwind_order_details[[#This Row],[order_id]],northwind_orders[order_id],northwind_orders[ship_country])</f>
        <v>Mexico</v>
      </c>
      <c r="G1515">
        <f>INDEX(northwind_orders[],MATCH(northwind_order_details[[#This Row],[order_id]], northwind_orders[order_id], 0), MATCH("employee_id", northwind_orders[#Headers], 0))</f>
        <v>1</v>
      </c>
      <c r="H1515">
        <f>northwind_order_details[[#This Row],[unit_price]]*northwind_order_details[[#This Row],[quantity]]</f>
        <v>180</v>
      </c>
      <c r="I1515" s="1">
        <f>northwind_order_details[[#This Row],[purchase amount]]*northwind_order_details[[#This Row],[discount]]</f>
        <v>0</v>
      </c>
      <c r="J1515" s="1">
        <f>northwind_order_details[[#This Row],[purchase amount]]-northwind_order_details[[#This Row],[discount amount]]</f>
        <v>180</v>
      </c>
      <c r="K1515" s="6" t="str">
        <f>IF(northwind_order_details[[#This Row],[discount amount]]&gt;0,"Yes","No")</f>
        <v>No</v>
      </c>
      <c r="L1515" s="1" t="str">
        <f>IF(northwind_order_details[[#This Row],[Revenue]]&gt;1000,"High",IF(northwind_order_details[[#This Row],[Revenue]]&gt;300,"Medium","Low"))</f>
        <v>Low</v>
      </c>
      <c r="M15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6" spans="1:13" x14ac:dyDescent="0.25">
      <c r="A1516">
        <v>10843</v>
      </c>
      <c r="B1516">
        <v>51</v>
      </c>
      <c r="C1516" s="6" t="s">
        <v>39</v>
      </c>
      <c r="D1516">
        <v>4</v>
      </c>
      <c r="E1516" s="6">
        <v>0.25</v>
      </c>
      <c r="F1516" t="str">
        <f>_xlfn.XLOOKUP(northwind_order_details[[#This Row],[order_id]],northwind_orders[order_id],northwind_orders[ship_country])</f>
        <v>France</v>
      </c>
      <c r="G1516">
        <f>INDEX(northwind_orders[],MATCH(northwind_order_details[[#This Row],[order_id]], northwind_orders[order_id], 0), MATCH("employee_id", northwind_orders[#Headers], 0))</f>
        <v>4</v>
      </c>
      <c r="H1516">
        <f>northwind_order_details[[#This Row],[unit_price]]*northwind_order_details[[#This Row],[quantity]]</f>
        <v>212</v>
      </c>
      <c r="I1516" s="1">
        <f>northwind_order_details[[#This Row],[purchase amount]]*northwind_order_details[[#This Row],[discount]]</f>
        <v>53</v>
      </c>
      <c r="J1516" s="1">
        <f>northwind_order_details[[#This Row],[purchase amount]]-northwind_order_details[[#This Row],[discount amount]]</f>
        <v>159</v>
      </c>
      <c r="K1516" s="6" t="str">
        <f>IF(northwind_order_details[[#This Row],[discount amount]]&gt;0,"Yes","No")</f>
        <v>Yes</v>
      </c>
      <c r="L1516" s="1" t="str">
        <f>IF(northwind_order_details[[#This Row],[Revenue]]&gt;1000,"High",IF(northwind_order_details[[#This Row],[Revenue]]&gt;300,"Medium","Low"))</f>
        <v>Low</v>
      </c>
      <c r="M15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7" spans="1:13" x14ac:dyDescent="0.25">
      <c r="A1517">
        <v>10844</v>
      </c>
      <c r="B1517">
        <v>22</v>
      </c>
      <c r="C1517" s="6" t="s">
        <v>37</v>
      </c>
      <c r="D1517">
        <v>35</v>
      </c>
      <c r="E1517" s="6" t="s">
        <v>6</v>
      </c>
      <c r="F1517" t="str">
        <f>_xlfn.XLOOKUP(northwind_order_details[[#This Row],[order_id]],northwind_orders[order_id],northwind_orders[ship_country])</f>
        <v>Austria</v>
      </c>
      <c r="G1517">
        <f>INDEX(northwind_orders[],MATCH(northwind_order_details[[#This Row],[order_id]], northwind_orders[order_id], 0), MATCH("employee_id", northwind_orders[#Headers], 0))</f>
        <v>8</v>
      </c>
      <c r="H1517">
        <f>northwind_order_details[[#This Row],[unit_price]]*northwind_order_details[[#This Row],[quantity]]</f>
        <v>735</v>
      </c>
      <c r="I1517" s="1">
        <f>northwind_order_details[[#This Row],[purchase amount]]*northwind_order_details[[#This Row],[discount]]</f>
        <v>0</v>
      </c>
      <c r="J1517" s="1">
        <f>northwind_order_details[[#This Row],[purchase amount]]-northwind_order_details[[#This Row],[discount amount]]</f>
        <v>735</v>
      </c>
      <c r="K1517" s="6" t="str">
        <f>IF(northwind_order_details[[#This Row],[discount amount]]&gt;0,"Yes","No")</f>
        <v>No</v>
      </c>
      <c r="L1517" s="1" t="str">
        <f>IF(northwind_order_details[[#This Row],[Revenue]]&gt;1000,"High",IF(northwind_order_details[[#This Row],[Revenue]]&gt;300,"Medium","Low"))</f>
        <v>Medium</v>
      </c>
      <c r="M15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8" spans="1:13" x14ac:dyDescent="0.25">
      <c r="A1518">
        <v>10845</v>
      </c>
      <c r="B1518">
        <v>23</v>
      </c>
      <c r="C1518" s="6" t="s">
        <v>40</v>
      </c>
      <c r="D1518">
        <v>70</v>
      </c>
      <c r="E1518" s="6">
        <v>0.1</v>
      </c>
      <c r="F1518" t="str">
        <f>_xlfn.XLOOKUP(northwind_order_details[[#This Row],[order_id]],northwind_orders[order_id],northwind_orders[ship_country])</f>
        <v>Germany</v>
      </c>
      <c r="G1518">
        <f>INDEX(northwind_orders[],MATCH(northwind_order_details[[#This Row],[order_id]], northwind_orders[order_id], 0), MATCH("employee_id", northwind_orders[#Headers], 0))</f>
        <v>8</v>
      </c>
      <c r="H1518">
        <f>northwind_order_details[[#This Row],[unit_price]]*northwind_order_details[[#This Row],[quantity]]</f>
        <v>630</v>
      </c>
      <c r="I1518" s="1">
        <f>northwind_order_details[[#This Row],[purchase amount]]*northwind_order_details[[#This Row],[discount]]</f>
        <v>63</v>
      </c>
      <c r="J1518" s="1">
        <f>northwind_order_details[[#This Row],[purchase amount]]-northwind_order_details[[#This Row],[discount amount]]</f>
        <v>567</v>
      </c>
      <c r="K1518" s="6" t="str">
        <f>IF(northwind_order_details[[#This Row],[discount amount]]&gt;0,"Yes","No")</f>
        <v>Yes</v>
      </c>
      <c r="L1518" s="1" t="str">
        <f>IF(northwind_order_details[[#This Row],[Revenue]]&gt;1000,"High",IF(northwind_order_details[[#This Row],[Revenue]]&gt;300,"Medium","Low"))</f>
        <v>Medium</v>
      </c>
      <c r="M15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19" spans="1:13" x14ac:dyDescent="0.25">
      <c r="A1519">
        <v>10845</v>
      </c>
      <c r="B1519">
        <v>35</v>
      </c>
      <c r="C1519" s="6" t="s">
        <v>24</v>
      </c>
      <c r="D1519">
        <v>25</v>
      </c>
      <c r="E1519" s="6">
        <v>0.1</v>
      </c>
      <c r="F1519" t="str">
        <f>_xlfn.XLOOKUP(northwind_order_details[[#This Row],[order_id]],northwind_orders[order_id],northwind_orders[ship_country])</f>
        <v>Germany</v>
      </c>
      <c r="G1519">
        <f>INDEX(northwind_orders[],MATCH(northwind_order_details[[#This Row],[order_id]], northwind_orders[order_id], 0), MATCH("employee_id", northwind_orders[#Headers], 0))</f>
        <v>8</v>
      </c>
      <c r="H1519">
        <f>northwind_order_details[[#This Row],[unit_price]]*northwind_order_details[[#This Row],[quantity]]</f>
        <v>450</v>
      </c>
      <c r="I1519" s="1">
        <f>northwind_order_details[[#This Row],[purchase amount]]*northwind_order_details[[#This Row],[discount]]</f>
        <v>45</v>
      </c>
      <c r="J1519" s="1">
        <f>northwind_order_details[[#This Row],[purchase amount]]-northwind_order_details[[#This Row],[discount amount]]</f>
        <v>405</v>
      </c>
      <c r="K1519" s="6" t="str">
        <f>IF(northwind_order_details[[#This Row],[discount amount]]&gt;0,"Yes","No")</f>
        <v>Yes</v>
      </c>
      <c r="L1519" s="1" t="str">
        <f>IF(northwind_order_details[[#This Row],[Revenue]]&gt;1000,"High",IF(northwind_order_details[[#This Row],[Revenue]]&gt;300,"Medium","Low"))</f>
        <v>Medium</v>
      </c>
      <c r="M15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0" spans="1:13" x14ac:dyDescent="0.25">
      <c r="A1520">
        <v>10845</v>
      </c>
      <c r="B1520">
        <v>42</v>
      </c>
      <c r="C1520" s="6" t="s">
        <v>5</v>
      </c>
      <c r="D1520">
        <v>42</v>
      </c>
      <c r="E1520" s="6">
        <v>0.1</v>
      </c>
      <c r="F1520" t="str">
        <f>_xlfn.XLOOKUP(northwind_order_details[[#This Row],[order_id]],northwind_orders[order_id],northwind_orders[ship_country])</f>
        <v>Germany</v>
      </c>
      <c r="G1520">
        <f>INDEX(northwind_orders[],MATCH(northwind_order_details[[#This Row],[order_id]], northwind_orders[order_id], 0), MATCH("employee_id", northwind_orders[#Headers], 0))</f>
        <v>8</v>
      </c>
      <c r="H1520">
        <f>northwind_order_details[[#This Row],[unit_price]]*northwind_order_details[[#This Row],[quantity]]</f>
        <v>588</v>
      </c>
      <c r="I1520" s="1">
        <f>northwind_order_details[[#This Row],[purchase amount]]*northwind_order_details[[#This Row],[discount]]</f>
        <v>58.800000000000004</v>
      </c>
      <c r="J1520" s="1">
        <f>northwind_order_details[[#This Row],[purchase amount]]-northwind_order_details[[#This Row],[discount amount]]</f>
        <v>529.20000000000005</v>
      </c>
      <c r="K1520" s="6" t="str">
        <f>IF(northwind_order_details[[#This Row],[discount amount]]&gt;0,"Yes","No")</f>
        <v>Yes</v>
      </c>
      <c r="L1520" s="1" t="str">
        <f>IF(northwind_order_details[[#This Row],[Revenue]]&gt;1000,"High",IF(northwind_order_details[[#This Row],[Revenue]]&gt;300,"Medium","Low"))</f>
        <v>Medium</v>
      </c>
      <c r="M15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1" spans="1:13" x14ac:dyDescent="0.25">
      <c r="A1521">
        <v>10845</v>
      </c>
      <c r="B1521">
        <v>58</v>
      </c>
      <c r="C1521" s="6">
        <v>13.25</v>
      </c>
      <c r="D1521">
        <v>60</v>
      </c>
      <c r="E1521" s="6">
        <v>0.1</v>
      </c>
      <c r="F1521" t="str">
        <f>_xlfn.XLOOKUP(northwind_order_details[[#This Row],[order_id]],northwind_orders[order_id],northwind_orders[ship_country])</f>
        <v>Germany</v>
      </c>
      <c r="G1521">
        <f>INDEX(northwind_orders[],MATCH(northwind_order_details[[#This Row],[order_id]], northwind_orders[order_id], 0), MATCH("employee_id", northwind_orders[#Headers], 0))</f>
        <v>8</v>
      </c>
      <c r="H1521">
        <f>northwind_order_details[[#This Row],[unit_price]]*northwind_order_details[[#This Row],[quantity]]</f>
        <v>795</v>
      </c>
      <c r="I1521" s="1">
        <f>northwind_order_details[[#This Row],[purchase amount]]*northwind_order_details[[#This Row],[discount]]</f>
        <v>79.5</v>
      </c>
      <c r="J1521" s="1">
        <f>northwind_order_details[[#This Row],[purchase amount]]-northwind_order_details[[#This Row],[discount amount]]</f>
        <v>715.5</v>
      </c>
      <c r="K1521" s="6" t="str">
        <f>IF(northwind_order_details[[#This Row],[discount amount]]&gt;0,"Yes","No")</f>
        <v>Yes</v>
      </c>
      <c r="L1521" s="1" t="str">
        <f>IF(northwind_order_details[[#This Row],[Revenue]]&gt;1000,"High",IF(northwind_order_details[[#This Row],[Revenue]]&gt;300,"Medium","Low"))</f>
        <v>Medium</v>
      </c>
      <c r="M152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22" spans="1:13" x14ac:dyDescent="0.25">
      <c r="A1522">
        <v>10845</v>
      </c>
      <c r="B1522">
        <v>64</v>
      </c>
      <c r="C1522" s="6">
        <v>33.25</v>
      </c>
      <c r="D1522">
        <v>48</v>
      </c>
      <c r="E1522" s="6" t="s">
        <v>6</v>
      </c>
      <c r="F1522" t="str">
        <f>_xlfn.XLOOKUP(northwind_order_details[[#This Row],[order_id]],northwind_orders[order_id],northwind_orders[ship_country])</f>
        <v>Germany</v>
      </c>
      <c r="G1522">
        <f>INDEX(northwind_orders[],MATCH(northwind_order_details[[#This Row],[order_id]], northwind_orders[order_id], 0), MATCH("employee_id", northwind_orders[#Headers], 0))</f>
        <v>8</v>
      </c>
      <c r="H1522">
        <f>northwind_order_details[[#This Row],[unit_price]]*northwind_order_details[[#This Row],[quantity]]</f>
        <v>1596</v>
      </c>
      <c r="I1522" s="1">
        <f>northwind_order_details[[#This Row],[purchase amount]]*northwind_order_details[[#This Row],[discount]]</f>
        <v>0</v>
      </c>
      <c r="J1522" s="1">
        <f>northwind_order_details[[#This Row],[purchase amount]]-northwind_order_details[[#This Row],[discount amount]]</f>
        <v>1596</v>
      </c>
      <c r="K1522" s="6" t="str">
        <f>IF(northwind_order_details[[#This Row],[discount amount]]&gt;0,"Yes","No")</f>
        <v>No</v>
      </c>
      <c r="L1522" s="1" t="str">
        <f>IF(northwind_order_details[[#This Row],[Revenue]]&gt;1000,"High",IF(northwind_order_details[[#This Row],[Revenue]]&gt;300,"Medium","Low"))</f>
        <v>High</v>
      </c>
      <c r="M152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23" spans="1:13" x14ac:dyDescent="0.25">
      <c r="A1523">
        <v>10846</v>
      </c>
      <c r="B1523">
        <v>4</v>
      </c>
      <c r="C1523" s="6" t="s">
        <v>25</v>
      </c>
      <c r="D1523">
        <v>21</v>
      </c>
      <c r="E1523" s="6" t="s">
        <v>6</v>
      </c>
      <c r="F1523" t="str">
        <f>_xlfn.XLOOKUP(northwind_order_details[[#This Row],[order_id]],northwind_orders[order_id],northwind_orders[ship_country])</f>
        <v>Belgium</v>
      </c>
      <c r="G1523">
        <f>INDEX(northwind_orders[],MATCH(northwind_order_details[[#This Row],[order_id]], northwind_orders[order_id], 0), MATCH("employee_id", northwind_orders[#Headers], 0))</f>
        <v>2</v>
      </c>
      <c r="H1523">
        <f>northwind_order_details[[#This Row],[unit_price]]*northwind_order_details[[#This Row],[quantity]]</f>
        <v>462</v>
      </c>
      <c r="I1523" s="1">
        <f>northwind_order_details[[#This Row],[purchase amount]]*northwind_order_details[[#This Row],[discount]]</f>
        <v>0</v>
      </c>
      <c r="J1523" s="1">
        <f>northwind_order_details[[#This Row],[purchase amount]]-northwind_order_details[[#This Row],[discount amount]]</f>
        <v>462</v>
      </c>
      <c r="K1523" s="6" t="str">
        <f>IF(northwind_order_details[[#This Row],[discount amount]]&gt;0,"Yes","No")</f>
        <v>No</v>
      </c>
      <c r="L1523" s="1" t="str">
        <f>IF(northwind_order_details[[#This Row],[Revenue]]&gt;1000,"High",IF(northwind_order_details[[#This Row],[Revenue]]&gt;300,"Medium","Low"))</f>
        <v>Medium</v>
      </c>
      <c r="M15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4" spans="1:13" x14ac:dyDescent="0.25">
      <c r="A1524">
        <v>10846</v>
      </c>
      <c r="B1524">
        <v>70</v>
      </c>
      <c r="C1524" s="6" t="s">
        <v>21</v>
      </c>
      <c r="D1524">
        <v>30</v>
      </c>
      <c r="E1524" s="6" t="s">
        <v>6</v>
      </c>
      <c r="F1524" t="str">
        <f>_xlfn.XLOOKUP(northwind_order_details[[#This Row],[order_id]],northwind_orders[order_id],northwind_orders[ship_country])</f>
        <v>Belgium</v>
      </c>
      <c r="G1524">
        <f>INDEX(northwind_orders[],MATCH(northwind_order_details[[#This Row],[order_id]], northwind_orders[order_id], 0), MATCH("employee_id", northwind_orders[#Headers], 0))</f>
        <v>2</v>
      </c>
      <c r="H1524">
        <f>northwind_order_details[[#This Row],[unit_price]]*northwind_order_details[[#This Row],[quantity]]</f>
        <v>450</v>
      </c>
      <c r="I1524" s="1">
        <f>northwind_order_details[[#This Row],[purchase amount]]*northwind_order_details[[#This Row],[discount]]</f>
        <v>0</v>
      </c>
      <c r="J1524" s="1">
        <f>northwind_order_details[[#This Row],[purchase amount]]-northwind_order_details[[#This Row],[discount amount]]</f>
        <v>450</v>
      </c>
      <c r="K1524" s="6" t="str">
        <f>IF(northwind_order_details[[#This Row],[discount amount]]&gt;0,"Yes","No")</f>
        <v>No</v>
      </c>
      <c r="L1524" s="1" t="str">
        <f>IF(northwind_order_details[[#This Row],[Revenue]]&gt;1000,"High",IF(northwind_order_details[[#This Row],[Revenue]]&gt;300,"Medium","Low"))</f>
        <v>Medium</v>
      </c>
      <c r="M15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5" spans="1:13" x14ac:dyDescent="0.25">
      <c r="A1525">
        <v>10846</v>
      </c>
      <c r="B1525">
        <v>74</v>
      </c>
      <c r="C1525" s="6" t="s">
        <v>8</v>
      </c>
      <c r="D1525">
        <v>20</v>
      </c>
      <c r="E1525" s="6" t="s">
        <v>6</v>
      </c>
      <c r="F1525" t="str">
        <f>_xlfn.XLOOKUP(northwind_order_details[[#This Row],[order_id]],northwind_orders[order_id],northwind_orders[ship_country])</f>
        <v>Belgium</v>
      </c>
      <c r="G1525">
        <f>INDEX(northwind_orders[],MATCH(northwind_order_details[[#This Row],[order_id]], northwind_orders[order_id], 0), MATCH("employee_id", northwind_orders[#Headers], 0))</f>
        <v>2</v>
      </c>
      <c r="H1525">
        <f>northwind_order_details[[#This Row],[unit_price]]*northwind_order_details[[#This Row],[quantity]]</f>
        <v>200</v>
      </c>
      <c r="I1525" s="1">
        <f>northwind_order_details[[#This Row],[purchase amount]]*northwind_order_details[[#This Row],[discount]]</f>
        <v>0</v>
      </c>
      <c r="J1525" s="1">
        <f>northwind_order_details[[#This Row],[purchase amount]]-northwind_order_details[[#This Row],[discount amount]]</f>
        <v>200</v>
      </c>
      <c r="K1525" s="6" t="str">
        <f>IF(northwind_order_details[[#This Row],[discount amount]]&gt;0,"Yes","No")</f>
        <v>No</v>
      </c>
      <c r="L1525" s="1" t="str">
        <f>IF(northwind_order_details[[#This Row],[Revenue]]&gt;1000,"High",IF(northwind_order_details[[#This Row],[Revenue]]&gt;300,"Medium","Low"))</f>
        <v>Low</v>
      </c>
      <c r="M15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6" spans="1:13" x14ac:dyDescent="0.25">
      <c r="A1526">
        <v>10847</v>
      </c>
      <c r="B1526">
        <v>1</v>
      </c>
      <c r="C1526" s="6" t="s">
        <v>24</v>
      </c>
      <c r="D1526">
        <v>80</v>
      </c>
      <c r="E1526" s="6">
        <v>0.2</v>
      </c>
      <c r="F1526" t="str">
        <f>_xlfn.XLOOKUP(northwind_order_details[[#This Row],[order_id]],northwind_orders[order_id],northwind_orders[ship_country])</f>
        <v>USA</v>
      </c>
      <c r="G1526">
        <f>INDEX(northwind_orders[],MATCH(northwind_order_details[[#This Row],[order_id]], northwind_orders[order_id], 0), MATCH("employee_id", northwind_orders[#Headers], 0))</f>
        <v>4</v>
      </c>
      <c r="H1526">
        <f>northwind_order_details[[#This Row],[unit_price]]*northwind_order_details[[#This Row],[quantity]]</f>
        <v>1440</v>
      </c>
      <c r="I1526" s="1">
        <f>northwind_order_details[[#This Row],[purchase amount]]*northwind_order_details[[#This Row],[discount]]</f>
        <v>288</v>
      </c>
      <c r="J1526" s="1">
        <f>northwind_order_details[[#This Row],[purchase amount]]-northwind_order_details[[#This Row],[discount amount]]</f>
        <v>1152</v>
      </c>
      <c r="K1526" s="6" t="str">
        <f>IF(northwind_order_details[[#This Row],[discount amount]]&gt;0,"Yes","No")</f>
        <v>Yes</v>
      </c>
      <c r="L1526" s="1" t="str">
        <f>IF(northwind_order_details[[#This Row],[Revenue]]&gt;1000,"High",IF(northwind_order_details[[#This Row],[Revenue]]&gt;300,"Medium","Low"))</f>
        <v>High</v>
      </c>
      <c r="M15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7" spans="1:13" x14ac:dyDescent="0.25">
      <c r="A1527">
        <v>10847</v>
      </c>
      <c r="B1527">
        <v>19</v>
      </c>
      <c r="C1527" s="6">
        <v>9.1999999999999993</v>
      </c>
      <c r="D1527">
        <v>12</v>
      </c>
      <c r="E1527" s="6">
        <v>0.2</v>
      </c>
      <c r="F1527" t="str">
        <f>_xlfn.XLOOKUP(northwind_order_details[[#This Row],[order_id]],northwind_orders[order_id],northwind_orders[ship_country])</f>
        <v>USA</v>
      </c>
      <c r="G1527">
        <f>INDEX(northwind_orders[],MATCH(northwind_order_details[[#This Row],[order_id]], northwind_orders[order_id], 0), MATCH("employee_id", northwind_orders[#Headers], 0))</f>
        <v>4</v>
      </c>
      <c r="H1527">
        <f>northwind_order_details[[#This Row],[unit_price]]*northwind_order_details[[#This Row],[quantity]]</f>
        <v>110.39999999999999</v>
      </c>
      <c r="I1527" s="1">
        <f>northwind_order_details[[#This Row],[purchase amount]]*northwind_order_details[[#This Row],[discount]]</f>
        <v>22.08</v>
      </c>
      <c r="J1527" s="1">
        <f>northwind_order_details[[#This Row],[purchase amount]]-northwind_order_details[[#This Row],[discount amount]]</f>
        <v>88.32</v>
      </c>
      <c r="K1527" s="6" t="str">
        <f>IF(northwind_order_details[[#This Row],[discount amount]]&gt;0,"Yes","No")</f>
        <v>Yes</v>
      </c>
      <c r="L1527" s="1" t="str">
        <f>IF(northwind_order_details[[#This Row],[Revenue]]&gt;1000,"High",IF(northwind_order_details[[#This Row],[Revenue]]&gt;300,"Medium","Low"))</f>
        <v>Low</v>
      </c>
      <c r="M15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28" spans="1:13" x14ac:dyDescent="0.25">
      <c r="A1528">
        <v>10847</v>
      </c>
      <c r="B1528">
        <v>37</v>
      </c>
      <c r="C1528" s="6" t="s">
        <v>36</v>
      </c>
      <c r="D1528">
        <v>60</v>
      </c>
      <c r="E1528" s="6">
        <v>0.2</v>
      </c>
      <c r="F1528" t="str">
        <f>_xlfn.XLOOKUP(northwind_order_details[[#This Row],[order_id]],northwind_orders[order_id],northwind_orders[ship_country])</f>
        <v>USA</v>
      </c>
      <c r="G1528">
        <f>INDEX(northwind_orders[],MATCH(northwind_order_details[[#This Row],[order_id]], northwind_orders[order_id], 0), MATCH("employee_id", northwind_orders[#Headers], 0))</f>
        <v>4</v>
      </c>
      <c r="H1528">
        <f>northwind_order_details[[#This Row],[unit_price]]*northwind_order_details[[#This Row],[quantity]]</f>
        <v>1560</v>
      </c>
      <c r="I1528" s="1">
        <f>northwind_order_details[[#This Row],[purchase amount]]*northwind_order_details[[#This Row],[discount]]</f>
        <v>312</v>
      </c>
      <c r="J1528" s="1">
        <f>northwind_order_details[[#This Row],[purchase amount]]-northwind_order_details[[#This Row],[discount amount]]</f>
        <v>1248</v>
      </c>
      <c r="K1528" s="6" t="str">
        <f>IF(northwind_order_details[[#This Row],[discount amount]]&gt;0,"Yes","No")</f>
        <v>Yes</v>
      </c>
      <c r="L1528" s="1" t="str">
        <f>IF(northwind_order_details[[#This Row],[Revenue]]&gt;1000,"High",IF(northwind_order_details[[#This Row],[Revenue]]&gt;300,"Medium","Low"))</f>
        <v>High</v>
      </c>
      <c r="M15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29" spans="1:13" x14ac:dyDescent="0.25">
      <c r="A1529">
        <v>10847</v>
      </c>
      <c r="B1529">
        <v>45</v>
      </c>
      <c r="C1529" s="6">
        <v>9.5</v>
      </c>
      <c r="D1529">
        <v>36</v>
      </c>
      <c r="E1529" s="6">
        <v>0.2</v>
      </c>
      <c r="F1529" t="str">
        <f>_xlfn.XLOOKUP(northwind_order_details[[#This Row],[order_id]],northwind_orders[order_id],northwind_orders[ship_country])</f>
        <v>USA</v>
      </c>
      <c r="G1529">
        <f>INDEX(northwind_orders[],MATCH(northwind_order_details[[#This Row],[order_id]], northwind_orders[order_id], 0), MATCH("employee_id", northwind_orders[#Headers], 0))</f>
        <v>4</v>
      </c>
      <c r="H1529">
        <f>northwind_order_details[[#This Row],[unit_price]]*northwind_order_details[[#This Row],[quantity]]</f>
        <v>342</v>
      </c>
      <c r="I1529" s="1">
        <f>northwind_order_details[[#This Row],[purchase amount]]*northwind_order_details[[#This Row],[discount]]</f>
        <v>68.400000000000006</v>
      </c>
      <c r="J1529" s="1">
        <f>northwind_order_details[[#This Row],[purchase amount]]-northwind_order_details[[#This Row],[discount amount]]</f>
        <v>273.60000000000002</v>
      </c>
      <c r="K1529" s="6" t="str">
        <f>IF(northwind_order_details[[#This Row],[discount amount]]&gt;0,"Yes","No")</f>
        <v>Yes</v>
      </c>
      <c r="L1529" s="1" t="str">
        <f>IF(northwind_order_details[[#This Row],[Revenue]]&gt;1000,"High",IF(northwind_order_details[[#This Row],[Revenue]]&gt;300,"Medium","Low"))</f>
        <v>Low</v>
      </c>
      <c r="M15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30" spans="1:13" x14ac:dyDescent="0.25">
      <c r="A1530">
        <v>10847</v>
      </c>
      <c r="B1530">
        <v>60</v>
      </c>
      <c r="C1530" s="6" t="s">
        <v>28</v>
      </c>
      <c r="D1530">
        <v>45</v>
      </c>
      <c r="E1530" s="6">
        <v>0.2</v>
      </c>
      <c r="F1530" t="str">
        <f>_xlfn.XLOOKUP(northwind_order_details[[#This Row],[order_id]],northwind_orders[order_id],northwind_orders[ship_country])</f>
        <v>USA</v>
      </c>
      <c r="G1530">
        <f>INDEX(northwind_orders[],MATCH(northwind_order_details[[#This Row],[order_id]], northwind_orders[order_id], 0), MATCH("employee_id", northwind_orders[#Headers], 0))</f>
        <v>4</v>
      </c>
      <c r="H1530">
        <f>northwind_order_details[[#This Row],[unit_price]]*northwind_order_details[[#This Row],[quantity]]</f>
        <v>1530</v>
      </c>
      <c r="I1530" s="1">
        <f>northwind_order_details[[#This Row],[purchase amount]]*northwind_order_details[[#This Row],[discount]]</f>
        <v>306</v>
      </c>
      <c r="J1530" s="1">
        <f>northwind_order_details[[#This Row],[purchase amount]]-northwind_order_details[[#This Row],[discount amount]]</f>
        <v>1224</v>
      </c>
      <c r="K1530" s="6" t="str">
        <f>IF(northwind_order_details[[#This Row],[discount amount]]&gt;0,"Yes","No")</f>
        <v>Yes</v>
      </c>
      <c r="L1530" s="1" t="str">
        <f>IF(northwind_order_details[[#This Row],[Revenue]]&gt;1000,"High",IF(northwind_order_details[[#This Row],[Revenue]]&gt;300,"Medium","Low"))</f>
        <v>High</v>
      </c>
      <c r="M15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31" spans="1:13" x14ac:dyDescent="0.25">
      <c r="A1531">
        <v>10847</v>
      </c>
      <c r="B1531">
        <v>71</v>
      </c>
      <c r="C1531" s="6">
        <v>21.5</v>
      </c>
      <c r="D1531">
        <v>55</v>
      </c>
      <c r="E1531" s="6">
        <v>0.2</v>
      </c>
      <c r="F1531" t="str">
        <f>_xlfn.XLOOKUP(northwind_order_details[[#This Row],[order_id]],northwind_orders[order_id],northwind_orders[ship_country])</f>
        <v>USA</v>
      </c>
      <c r="G1531">
        <f>INDEX(northwind_orders[],MATCH(northwind_order_details[[#This Row],[order_id]], northwind_orders[order_id], 0), MATCH("employee_id", northwind_orders[#Headers], 0))</f>
        <v>4</v>
      </c>
      <c r="H1531">
        <f>northwind_order_details[[#This Row],[unit_price]]*northwind_order_details[[#This Row],[quantity]]</f>
        <v>1182.5</v>
      </c>
      <c r="I1531" s="1">
        <f>northwind_order_details[[#This Row],[purchase amount]]*northwind_order_details[[#This Row],[discount]]</f>
        <v>236.5</v>
      </c>
      <c r="J1531" s="1">
        <f>northwind_order_details[[#This Row],[purchase amount]]-northwind_order_details[[#This Row],[discount amount]]</f>
        <v>946</v>
      </c>
      <c r="K1531" s="6" t="str">
        <f>IF(northwind_order_details[[#This Row],[discount amount]]&gt;0,"Yes","No")</f>
        <v>Yes</v>
      </c>
      <c r="L1531" s="1" t="str">
        <f>IF(northwind_order_details[[#This Row],[Revenue]]&gt;1000,"High",IF(northwind_order_details[[#This Row],[Revenue]]&gt;300,"Medium","Low"))</f>
        <v>Medium</v>
      </c>
      <c r="M153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32" spans="1:13" x14ac:dyDescent="0.25">
      <c r="A1532">
        <v>10848</v>
      </c>
      <c r="B1532">
        <v>5</v>
      </c>
      <c r="C1532" s="6">
        <v>21.35</v>
      </c>
      <c r="D1532">
        <v>30</v>
      </c>
      <c r="E1532" s="6" t="s">
        <v>6</v>
      </c>
      <c r="F1532" t="str">
        <f>_xlfn.XLOOKUP(northwind_order_details[[#This Row],[order_id]],northwind_orders[order_id],northwind_orders[ship_country])</f>
        <v>UK</v>
      </c>
      <c r="G1532">
        <f>INDEX(northwind_orders[],MATCH(northwind_order_details[[#This Row],[order_id]], northwind_orders[order_id], 0), MATCH("employee_id", northwind_orders[#Headers], 0))</f>
        <v>7</v>
      </c>
      <c r="H1532">
        <f>northwind_order_details[[#This Row],[unit_price]]*northwind_order_details[[#This Row],[quantity]]</f>
        <v>640.5</v>
      </c>
      <c r="I1532" s="1">
        <f>northwind_order_details[[#This Row],[purchase amount]]*northwind_order_details[[#This Row],[discount]]</f>
        <v>0</v>
      </c>
      <c r="J1532" s="1">
        <f>northwind_order_details[[#This Row],[purchase amount]]-northwind_order_details[[#This Row],[discount amount]]</f>
        <v>640.5</v>
      </c>
      <c r="K1532" s="6" t="str">
        <f>IF(northwind_order_details[[#This Row],[discount amount]]&gt;0,"Yes","No")</f>
        <v>No</v>
      </c>
      <c r="L1532" s="1" t="str">
        <f>IF(northwind_order_details[[#This Row],[Revenue]]&gt;1000,"High",IF(northwind_order_details[[#This Row],[Revenue]]&gt;300,"Medium","Low"))</f>
        <v>Medium</v>
      </c>
      <c r="M15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33" spans="1:13" x14ac:dyDescent="0.25">
      <c r="A1533">
        <v>10848</v>
      </c>
      <c r="B1533">
        <v>9</v>
      </c>
      <c r="C1533" s="6" t="s">
        <v>31</v>
      </c>
      <c r="D1533">
        <v>3</v>
      </c>
      <c r="E1533" s="6" t="s">
        <v>6</v>
      </c>
      <c r="F1533" t="str">
        <f>_xlfn.XLOOKUP(northwind_order_details[[#This Row],[order_id]],northwind_orders[order_id],northwind_orders[ship_country])</f>
        <v>UK</v>
      </c>
      <c r="G1533">
        <f>INDEX(northwind_orders[],MATCH(northwind_order_details[[#This Row],[order_id]], northwind_orders[order_id], 0), MATCH("employee_id", northwind_orders[#Headers], 0))</f>
        <v>7</v>
      </c>
      <c r="H1533">
        <f>northwind_order_details[[#This Row],[unit_price]]*northwind_order_details[[#This Row],[quantity]]</f>
        <v>291</v>
      </c>
      <c r="I1533" s="1">
        <f>northwind_order_details[[#This Row],[purchase amount]]*northwind_order_details[[#This Row],[discount]]</f>
        <v>0</v>
      </c>
      <c r="J1533" s="1">
        <f>northwind_order_details[[#This Row],[purchase amount]]-northwind_order_details[[#This Row],[discount amount]]</f>
        <v>291</v>
      </c>
      <c r="K1533" s="6" t="str">
        <f>IF(northwind_order_details[[#This Row],[discount amount]]&gt;0,"Yes","No")</f>
        <v>No</v>
      </c>
      <c r="L1533" s="1" t="str">
        <f>IF(northwind_order_details[[#This Row],[Revenue]]&gt;1000,"High",IF(northwind_order_details[[#This Row],[Revenue]]&gt;300,"Medium","Low"))</f>
        <v>Low</v>
      </c>
      <c r="M15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34" spans="1:13" x14ac:dyDescent="0.25">
      <c r="A1534">
        <v>10849</v>
      </c>
      <c r="B1534">
        <v>3</v>
      </c>
      <c r="C1534" s="6" t="s">
        <v>8</v>
      </c>
      <c r="D1534">
        <v>49</v>
      </c>
      <c r="E1534" s="6" t="s">
        <v>6</v>
      </c>
      <c r="F1534" t="str">
        <f>_xlfn.XLOOKUP(northwind_order_details[[#This Row],[order_id]],northwind_orders[order_id],northwind_orders[ship_country])</f>
        <v>Germany</v>
      </c>
      <c r="G1534">
        <f>INDEX(northwind_orders[],MATCH(northwind_order_details[[#This Row],[order_id]], northwind_orders[order_id], 0), MATCH("employee_id", northwind_orders[#Headers], 0))</f>
        <v>9</v>
      </c>
      <c r="H1534">
        <f>northwind_order_details[[#This Row],[unit_price]]*northwind_order_details[[#This Row],[quantity]]</f>
        <v>490</v>
      </c>
      <c r="I1534" s="1">
        <f>northwind_order_details[[#This Row],[purchase amount]]*northwind_order_details[[#This Row],[discount]]</f>
        <v>0</v>
      </c>
      <c r="J1534" s="1">
        <f>northwind_order_details[[#This Row],[purchase amount]]-northwind_order_details[[#This Row],[discount amount]]</f>
        <v>490</v>
      </c>
      <c r="K1534" s="6" t="str">
        <f>IF(northwind_order_details[[#This Row],[discount amount]]&gt;0,"Yes","No")</f>
        <v>No</v>
      </c>
      <c r="L1534" s="1" t="str">
        <f>IF(northwind_order_details[[#This Row],[Revenue]]&gt;1000,"High",IF(northwind_order_details[[#This Row],[Revenue]]&gt;300,"Medium","Low"))</f>
        <v>Medium</v>
      </c>
      <c r="M15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35" spans="1:13" x14ac:dyDescent="0.25">
      <c r="A1535">
        <v>10849</v>
      </c>
      <c r="B1535">
        <v>26</v>
      </c>
      <c r="C1535" s="6">
        <v>31.23</v>
      </c>
      <c r="D1535">
        <v>18</v>
      </c>
      <c r="E1535" s="6">
        <v>0.15</v>
      </c>
      <c r="F1535" t="str">
        <f>_xlfn.XLOOKUP(northwind_order_details[[#This Row],[order_id]],northwind_orders[order_id],northwind_orders[ship_country])</f>
        <v>Germany</v>
      </c>
      <c r="G1535">
        <f>INDEX(northwind_orders[],MATCH(northwind_order_details[[#This Row],[order_id]], northwind_orders[order_id], 0), MATCH("employee_id", northwind_orders[#Headers], 0))</f>
        <v>9</v>
      </c>
      <c r="H1535">
        <f>northwind_order_details[[#This Row],[unit_price]]*northwind_order_details[[#This Row],[quantity]]</f>
        <v>562.14</v>
      </c>
      <c r="I1535" s="1">
        <f>northwind_order_details[[#This Row],[purchase amount]]*northwind_order_details[[#This Row],[discount]]</f>
        <v>84.320999999999998</v>
      </c>
      <c r="J1535" s="1">
        <f>northwind_order_details[[#This Row],[purchase amount]]-northwind_order_details[[#This Row],[discount amount]]</f>
        <v>477.81899999999996</v>
      </c>
      <c r="K1535" s="6" t="str">
        <f>IF(northwind_order_details[[#This Row],[discount amount]]&gt;0,"Yes","No")</f>
        <v>Yes</v>
      </c>
      <c r="L1535" s="1" t="str">
        <f>IF(northwind_order_details[[#This Row],[Revenue]]&gt;1000,"High",IF(northwind_order_details[[#This Row],[Revenue]]&gt;300,"Medium","Low"))</f>
        <v>Medium</v>
      </c>
      <c r="M153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36" spans="1:13" x14ac:dyDescent="0.25">
      <c r="A1536">
        <v>10850</v>
      </c>
      <c r="B1536">
        <v>25</v>
      </c>
      <c r="C1536" s="6" t="s">
        <v>5</v>
      </c>
      <c r="D1536">
        <v>20</v>
      </c>
      <c r="E1536" s="6">
        <v>0.15</v>
      </c>
      <c r="F1536" t="str">
        <f>_xlfn.XLOOKUP(northwind_order_details[[#This Row],[order_id]],northwind_orders[order_id],northwind_orders[ship_country])</f>
        <v>France</v>
      </c>
      <c r="G1536">
        <f>INDEX(northwind_orders[],MATCH(northwind_order_details[[#This Row],[order_id]], northwind_orders[order_id], 0), MATCH("employee_id", northwind_orders[#Headers], 0))</f>
        <v>1</v>
      </c>
      <c r="H1536">
        <f>northwind_order_details[[#This Row],[unit_price]]*northwind_order_details[[#This Row],[quantity]]</f>
        <v>280</v>
      </c>
      <c r="I1536" s="1">
        <f>northwind_order_details[[#This Row],[purchase amount]]*northwind_order_details[[#This Row],[discount]]</f>
        <v>42</v>
      </c>
      <c r="J1536" s="1">
        <f>northwind_order_details[[#This Row],[purchase amount]]-northwind_order_details[[#This Row],[discount amount]]</f>
        <v>238</v>
      </c>
      <c r="K1536" s="6" t="str">
        <f>IF(northwind_order_details[[#This Row],[discount amount]]&gt;0,"Yes","No")</f>
        <v>Yes</v>
      </c>
      <c r="L1536" s="1" t="str">
        <f>IF(northwind_order_details[[#This Row],[Revenue]]&gt;1000,"High",IF(northwind_order_details[[#This Row],[Revenue]]&gt;300,"Medium","Low"))</f>
        <v>Low</v>
      </c>
      <c r="M15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37" spans="1:13" x14ac:dyDescent="0.25">
      <c r="A1537">
        <v>10850</v>
      </c>
      <c r="B1537">
        <v>33</v>
      </c>
      <c r="C1537" s="6">
        <v>2.5</v>
      </c>
      <c r="D1537">
        <v>4</v>
      </c>
      <c r="E1537" s="6">
        <v>0.15</v>
      </c>
      <c r="F1537" t="str">
        <f>_xlfn.XLOOKUP(northwind_order_details[[#This Row],[order_id]],northwind_orders[order_id],northwind_orders[ship_country])</f>
        <v>France</v>
      </c>
      <c r="G1537">
        <f>INDEX(northwind_orders[],MATCH(northwind_order_details[[#This Row],[order_id]], northwind_orders[order_id], 0), MATCH("employee_id", northwind_orders[#Headers], 0))</f>
        <v>1</v>
      </c>
      <c r="H1537">
        <f>northwind_order_details[[#This Row],[unit_price]]*northwind_order_details[[#This Row],[quantity]]</f>
        <v>10</v>
      </c>
      <c r="I1537" s="1">
        <f>northwind_order_details[[#This Row],[purchase amount]]*northwind_order_details[[#This Row],[discount]]</f>
        <v>1.5</v>
      </c>
      <c r="J1537" s="1">
        <f>northwind_order_details[[#This Row],[purchase amount]]-northwind_order_details[[#This Row],[discount amount]]</f>
        <v>8.5</v>
      </c>
      <c r="K1537" s="6" t="str">
        <f>IF(northwind_order_details[[#This Row],[discount amount]]&gt;0,"Yes","No")</f>
        <v>Yes</v>
      </c>
      <c r="L1537" s="1" t="str">
        <f>IF(northwind_order_details[[#This Row],[Revenue]]&gt;1000,"High",IF(northwind_order_details[[#This Row],[Revenue]]&gt;300,"Medium","Low"))</f>
        <v>Low</v>
      </c>
      <c r="M153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38" spans="1:13" x14ac:dyDescent="0.25">
      <c r="A1538">
        <v>10850</v>
      </c>
      <c r="B1538">
        <v>70</v>
      </c>
      <c r="C1538" s="6" t="s">
        <v>21</v>
      </c>
      <c r="D1538">
        <v>30</v>
      </c>
      <c r="E1538" s="6">
        <v>0.15</v>
      </c>
      <c r="F1538" t="str">
        <f>_xlfn.XLOOKUP(northwind_order_details[[#This Row],[order_id]],northwind_orders[order_id],northwind_orders[ship_country])</f>
        <v>France</v>
      </c>
      <c r="G1538">
        <f>INDEX(northwind_orders[],MATCH(northwind_order_details[[#This Row],[order_id]], northwind_orders[order_id], 0), MATCH("employee_id", northwind_orders[#Headers], 0))</f>
        <v>1</v>
      </c>
      <c r="H1538">
        <f>northwind_order_details[[#This Row],[unit_price]]*northwind_order_details[[#This Row],[quantity]]</f>
        <v>450</v>
      </c>
      <c r="I1538" s="1">
        <f>northwind_order_details[[#This Row],[purchase amount]]*northwind_order_details[[#This Row],[discount]]</f>
        <v>67.5</v>
      </c>
      <c r="J1538" s="1">
        <f>northwind_order_details[[#This Row],[purchase amount]]-northwind_order_details[[#This Row],[discount amount]]</f>
        <v>382.5</v>
      </c>
      <c r="K1538" s="6" t="str">
        <f>IF(northwind_order_details[[#This Row],[discount amount]]&gt;0,"Yes","No")</f>
        <v>Yes</v>
      </c>
      <c r="L1538" s="1" t="str">
        <f>IF(northwind_order_details[[#This Row],[Revenue]]&gt;1000,"High",IF(northwind_order_details[[#This Row],[Revenue]]&gt;300,"Medium","Low"))</f>
        <v>Medium</v>
      </c>
      <c r="M15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39" spans="1:13" x14ac:dyDescent="0.25">
      <c r="A1539">
        <v>10851</v>
      </c>
      <c r="B1539">
        <v>2</v>
      </c>
      <c r="C1539" s="6" t="s">
        <v>20</v>
      </c>
      <c r="D1539">
        <v>5</v>
      </c>
      <c r="E1539" s="6">
        <v>0.05</v>
      </c>
      <c r="F1539" t="str">
        <f>_xlfn.XLOOKUP(northwind_order_details[[#This Row],[order_id]],northwind_orders[order_id],northwind_orders[ship_country])</f>
        <v>Brazil</v>
      </c>
      <c r="G1539">
        <f>INDEX(northwind_orders[],MATCH(northwind_order_details[[#This Row],[order_id]], northwind_orders[order_id], 0), MATCH("employee_id", northwind_orders[#Headers], 0))</f>
        <v>5</v>
      </c>
      <c r="H1539">
        <f>northwind_order_details[[#This Row],[unit_price]]*northwind_order_details[[#This Row],[quantity]]</f>
        <v>95</v>
      </c>
      <c r="I1539" s="1">
        <f>northwind_order_details[[#This Row],[purchase amount]]*northwind_order_details[[#This Row],[discount]]</f>
        <v>4.75</v>
      </c>
      <c r="J1539" s="1">
        <f>northwind_order_details[[#This Row],[purchase amount]]-northwind_order_details[[#This Row],[discount amount]]</f>
        <v>90.25</v>
      </c>
      <c r="K1539" s="6" t="str">
        <f>IF(northwind_order_details[[#This Row],[discount amount]]&gt;0,"Yes","No")</f>
        <v>Yes</v>
      </c>
      <c r="L1539" s="1" t="str">
        <f>IF(northwind_order_details[[#This Row],[Revenue]]&gt;1000,"High",IF(northwind_order_details[[#This Row],[Revenue]]&gt;300,"Medium","Low"))</f>
        <v>Low</v>
      </c>
      <c r="M15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0" spans="1:13" x14ac:dyDescent="0.25">
      <c r="A1540">
        <v>10851</v>
      </c>
      <c r="B1540">
        <v>25</v>
      </c>
      <c r="C1540" s="6" t="s">
        <v>5</v>
      </c>
      <c r="D1540">
        <v>10</v>
      </c>
      <c r="E1540" s="6">
        <v>0.05</v>
      </c>
      <c r="F1540" t="str">
        <f>_xlfn.XLOOKUP(northwind_order_details[[#This Row],[order_id]],northwind_orders[order_id],northwind_orders[ship_country])</f>
        <v>Brazil</v>
      </c>
      <c r="G1540">
        <f>INDEX(northwind_orders[],MATCH(northwind_order_details[[#This Row],[order_id]], northwind_orders[order_id], 0), MATCH("employee_id", northwind_orders[#Headers], 0))</f>
        <v>5</v>
      </c>
      <c r="H1540">
        <f>northwind_order_details[[#This Row],[unit_price]]*northwind_order_details[[#This Row],[quantity]]</f>
        <v>140</v>
      </c>
      <c r="I1540" s="1">
        <f>northwind_order_details[[#This Row],[purchase amount]]*northwind_order_details[[#This Row],[discount]]</f>
        <v>7</v>
      </c>
      <c r="J1540" s="1">
        <f>northwind_order_details[[#This Row],[purchase amount]]-northwind_order_details[[#This Row],[discount amount]]</f>
        <v>133</v>
      </c>
      <c r="K1540" s="6" t="str">
        <f>IF(northwind_order_details[[#This Row],[discount amount]]&gt;0,"Yes","No")</f>
        <v>Yes</v>
      </c>
      <c r="L1540" s="1" t="str">
        <f>IF(northwind_order_details[[#This Row],[Revenue]]&gt;1000,"High",IF(northwind_order_details[[#This Row],[Revenue]]&gt;300,"Medium","Low"))</f>
        <v>Low</v>
      </c>
      <c r="M15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1" spans="1:13" x14ac:dyDescent="0.25">
      <c r="A1541">
        <v>10851</v>
      </c>
      <c r="B1541">
        <v>57</v>
      </c>
      <c r="C1541" s="6">
        <v>19.5</v>
      </c>
      <c r="D1541">
        <v>10</v>
      </c>
      <c r="E1541" s="6">
        <v>0.05</v>
      </c>
      <c r="F1541" t="str">
        <f>_xlfn.XLOOKUP(northwind_order_details[[#This Row],[order_id]],northwind_orders[order_id],northwind_orders[ship_country])</f>
        <v>Brazil</v>
      </c>
      <c r="G1541">
        <f>INDEX(northwind_orders[],MATCH(northwind_order_details[[#This Row],[order_id]], northwind_orders[order_id], 0), MATCH("employee_id", northwind_orders[#Headers], 0))</f>
        <v>5</v>
      </c>
      <c r="H1541">
        <f>northwind_order_details[[#This Row],[unit_price]]*northwind_order_details[[#This Row],[quantity]]</f>
        <v>195</v>
      </c>
      <c r="I1541" s="1">
        <f>northwind_order_details[[#This Row],[purchase amount]]*northwind_order_details[[#This Row],[discount]]</f>
        <v>9.75</v>
      </c>
      <c r="J1541" s="1">
        <f>northwind_order_details[[#This Row],[purchase amount]]-northwind_order_details[[#This Row],[discount amount]]</f>
        <v>185.25</v>
      </c>
      <c r="K1541" s="6" t="str">
        <f>IF(northwind_order_details[[#This Row],[discount amount]]&gt;0,"Yes","No")</f>
        <v>Yes</v>
      </c>
      <c r="L1541" s="1" t="str">
        <f>IF(northwind_order_details[[#This Row],[Revenue]]&gt;1000,"High",IF(northwind_order_details[[#This Row],[Revenue]]&gt;300,"Medium","Low"))</f>
        <v>Low</v>
      </c>
      <c r="M15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42" spans="1:13" x14ac:dyDescent="0.25">
      <c r="A1542">
        <v>10851</v>
      </c>
      <c r="B1542">
        <v>59</v>
      </c>
      <c r="C1542" s="6" t="s">
        <v>33</v>
      </c>
      <c r="D1542">
        <v>42</v>
      </c>
      <c r="E1542" s="6">
        <v>0.05</v>
      </c>
      <c r="F1542" t="str">
        <f>_xlfn.XLOOKUP(northwind_order_details[[#This Row],[order_id]],northwind_orders[order_id],northwind_orders[ship_country])</f>
        <v>Brazil</v>
      </c>
      <c r="G1542">
        <f>INDEX(northwind_orders[],MATCH(northwind_order_details[[#This Row],[order_id]], northwind_orders[order_id], 0), MATCH("employee_id", northwind_orders[#Headers], 0))</f>
        <v>5</v>
      </c>
      <c r="H1542">
        <f>northwind_order_details[[#This Row],[unit_price]]*northwind_order_details[[#This Row],[quantity]]</f>
        <v>2310</v>
      </c>
      <c r="I1542" s="1">
        <f>northwind_order_details[[#This Row],[purchase amount]]*northwind_order_details[[#This Row],[discount]]</f>
        <v>115.5</v>
      </c>
      <c r="J1542" s="1">
        <f>northwind_order_details[[#This Row],[purchase amount]]-northwind_order_details[[#This Row],[discount amount]]</f>
        <v>2194.5</v>
      </c>
      <c r="K1542" s="6" t="str">
        <f>IF(northwind_order_details[[#This Row],[discount amount]]&gt;0,"Yes","No")</f>
        <v>Yes</v>
      </c>
      <c r="L1542" s="1" t="str">
        <f>IF(northwind_order_details[[#This Row],[Revenue]]&gt;1000,"High",IF(northwind_order_details[[#This Row],[Revenue]]&gt;300,"Medium","Low"))</f>
        <v>High</v>
      </c>
      <c r="M15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3" spans="1:13" x14ac:dyDescent="0.25">
      <c r="A1543">
        <v>10852</v>
      </c>
      <c r="B1543">
        <v>2</v>
      </c>
      <c r="C1543" s="6" t="s">
        <v>20</v>
      </c>
      <c r="D1543">
        <v>15</v>
      </c>
      <c r="E1543" s="6" t="s">
        <v>6</v>
      </c>
      <c r="F1543" t="str">
        <f>_xlfn.XLOOKUP(northwind_order_details[[#This Row],[order_id]],northwind_orders[order_id],northwind_orders[ship_country])</f>
        <v>USA</v>
      </c>
      <c r="G1543">
        <f>INDEX(northwind_orders[],MATCH(northwind_order_details[[#This Row],[order_id]], northwind_orders[order_id], 0), MATCH("employee_id", northwind_orders[#Headers], 0))</f>
        <v>8</v>
      </c>
      <c r="H1543">
        <f>northwind_order_details[[#This Row],[unit_price]]*northwind_order_details[[#This Row],[quantity]]</f>
        <v>285</v>
      </c>
      <c r="I1543" s="1">
        <f>northwind_order_details[[#This Row],[purchase amount]]*northwind_order_details[[#This Row],[discount]]</f>
        <v>0</v>
      </c>
      <c r="J1543" s="1">
        <f>northwind_order_details[[#This Row],[purchase amount]]-northwind_order_details[[#This Row],[discount amount]]</f>
        <v>285</v>
      </c>
      <c r="K1543" s="6" t="str">
        <f>IF(northwind_order_details[[#This Row],[discount amount]]&gt;0,"Yes","No")</f>
        <v>No</v>
      </c>
      <c r="L1543" s="1" t="str">
        <f>IF(northwind_order_details[[#This Row],[Revenue]]&gt;1000,"High",IF(northwind_order_details[[#This Row],[Revenue]]&gt;300,"Medium","Low"))</f>
        <v>Low</v>
      </c>
      <c r="M15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4" spans="1:13" x14ac:dyDescent="0.25">
      <c r="A1544">
        <v>10852</v>
      </c>
      <c r="B1544">
        <v>17</v>
      </c>
      <c r="C1544" s="6" t="s">
        <v>35</v>
      </c>
      <c r="D1544">
        <v>6</v>
      </c>
      <c r="E1544" s="6" t="s">
        <v>6</v>
      </c>
      <c r="F1544" t="str">
        <f>_xlfn.XLOOKUP(northwind_order_details[[#This Row],[order_id]],northwind_orders[order_id],northwind_orders[ship_country])</f>
        <v>USA</v>
      </c>
      <c r="G1544">
        <f>INDEX(northwind_orders[],MATCH(northwind_order_details[[#This Row],[order_id]], northwind_orders[order_id], 0), MATCH("employee_id", northwind_orders[#Headers], 0))</f>
        <v>8</v>
      </c>
      <c r="H1544">
        <f>northwind_order_details[[#This Row],[unit_price]]*northwind_order_details[[#This Row],[quantity]]</f>
        <v>234</v>
      </c>
      <c r="I1544" s="1">
        <f>northwind_order_details[[#This Row],[purchase amount]]*northwind_order_details[[#This Row],[discount]]</f>
        <v>0</v>
      </c>
      <c r="J1544" s="1">
        <f>northwind_order_details[[#This Row],[purchase amount]]-northwind_order_details[[#This Row],[discount amount]]</f>
        <v>234</v>
      </c>
      <c r="K1544" s="6" t="str">
        <f>IF(northwind_order_details[[#This Row],[discount amount]]&gt;0,"Yes","No")</f>
        <v>No</v>
      </c>
      <c r="L1544" s="1" t="str">
        <f>IF(northwind_order_details[[#This Row],[Revenue]]&gt;1000,"High",IF(northwind_order_details[[#This Row],[Revenue]]&gt;300,"Medium","Low"))</f>
        <v>Low</v>
      </c>
      <c r="M15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5" spans="1:13" x14ac:dyDescent="0.25">
      <c r="A1545">
        <v>10852</v>
      </c>
      <c r="B1545">
        <v>62</v>
      </c>
      <c r="C1545" s="6">
        <v>49.3</v>
      </c>
      <c r="D1545">
        <v>50</v>
      </c>
      <c r="E1545" s="6" t="s">
        <v>6</v>
      </c>
      <c r="F1545" t="str">
        <f>_xlfn.XLOOKUP(northwind_order_details[[#This Row],[order_id]],northwind_orders[order_id],northwind_orders[ship_country])</f>
        <v>USA</v>
      </c>
      <c r="G1545">
        <f>INDEX(northwind_orders[],MATCH(northwind_order_details[[#This Row],[order_id]], northwind_orders[order_id], 0), MATCH("employee_id", northwind_orders[#Headers], 0))</f>
        <v>8</v>
      </c>
      <c r="H1545">
        <f>northwind_order_details[[#This Row],[unit_price]]*northwind_order_details[[#This Row],[quantity]]</f>
        <v>2465</v>
      </c>
      <c r="I1545" s="1">
        <f>northwind_order_details[[#This Row],[purchase amount]]*northwind_order_details[[#This Row],[discount]]</f>
        <v>0</v>
      </c>
      <c r="J1545" s="1">
        <f>northwind_order_details[[#This Row],[purchase amount]]-northwind_order_details[[#This Row],[discount amount]]</f>
        <v>2465</v>
      </c>
      <c r="K1545" s="6" t="str">
        <f>IF(northwind_order_details[[#This Row],[discount amount]]&gt;0,"Yes","No")</f>
        <v>No</v>
      </c>
      <c r="L1545" s="1" t="str">
        <f>IF(northwind_order_details[[#This Row],[Revenue]]&gt;1000,"High",IF(northwind_order_details[[#This Row],[Revenue]]&gt;300,"Medium","Low"))</f>
        <v>High</v>
      </c>
      <c r="M15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46" spans="1:13" x14ac:dyDescent="0.25">
      <c r="A1546">
        <v>10853</v>
      </c>
      <c r="B1546">
        <v>18</v>
      </c>
      <c r="C1546" s="6">
        <v>62.5</v>
      </c>
      <c r="D1546">
        <v>10</v>
      </c>
      <c r="E1546" s="6" t="s">
        <v>6</v>
      </c>
      <c r="F1546" t="str">
        <f>_xlfn.XLOOKUP(northwind_order_details[[#This Row],[order_id]],northwind_orders[order_id],northwind_orders[ship_country])</f>
        <v>Germany</v>
      </c>
      <c r="G1546">
        <f>INDEX(northwind_orders[],MATCH(northwind_order_details[[#This Row],[order_id]], northwind_orders[order_id], 0), MATCH("employee_id", northwind_orders[#Headers], 0))</f>
        <v>9</v>
      </c>
      <c r="H1546">
        <f>northwind_order_details[[#This Row],[unit_price]]*northwind_order_details[[#This Row],[quantity]]</f>
        <v>625</v>
      </c>
      <c r="I1546" s="1">
        <f>northwind_order_details[[#This Row],[purchase amount]]*northwind_order_details[[#This Row],[discount]]</f>
        <v>0</v>
      </c>
      <c r="J1546" s="1">
        <f>northwind_order_details[[#This Row],[purchase amount]]-northwind_order_details[[#This Row],[discount amount]]</f>
        <v>625</v>
      </c>
      <c r="K1546" s="6" t="str">
        <f>IF(northwind_order_details[[#This Row],[discount amount]]&gt;0,"Yes","No")</f>
        <v>No</v>
      </c>
      <c r="L1546" s="1" t="str">
        <f>IF(northwind_order_details[[#This Row],[Revenue]]&gt;1000,"High",IF(northwind_order_details[[#This Row],[Revenue]]&gt;300,"Medium","Low"))</f>
        <v>Medium</v>
      </c>
      <c r="M154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47" spans="1:13" x14ac:dyDescent="0.25">
      <c r="A1547">
        <v>10854</v>
      </c>
      <c r="B1547">
        <v>10</v>
      </c>
      <c r="C1547" s="6" t="s">
        <v>34</v>
      </c>
      <c r="D1547">
        <v>100</v>
      </c>
      <c r="E1547" s="6">
        <v>0.15</v>
      </c>
      <c r="F1547" t="str">
        <f>_xlfn.XLOOKUP(northwind_order_details[[#This Row],[order_id]],northwind_orders[order_id],northwind_orders[ship_country])</f>
        <v>Austria</v>
      </c>
      <c r="G1547">
        <f>INDEX(northwind_orders[],MATCH(northwind_order_details[[#This Row],[order_id]], northwind_orders[order_id], 0), MATCH("employee_id", northwind_orders[#Headers], 0))</f>
        <v>3</v>
      </c>
      <c r="H1547">
        <f>northwind_order_details[[#This Row],[unit_price]]*northwind_order_details[[#This Row],[quantity]]</f>
        <v>3100</v>
      </c>
      <c r="I1547" s="1">
        <f>northwind_order_details[[#This Row],[purchase amount]]*northwind_order_details[[#This Row],[discount]]</f>
        <v>465</v>
      </c>
      <c r="J1547" s="1">
        <f>northwind_order_details[[#This Row],[purchase amount]]-northwind_order_details[[#This Row],[discount amount]]</f>
        <v>2635</v>
      </c>
      <c r="K1547" s="6" t="str">
        <f>IF(northwind_order_details[[#This Row],[discount amount]]&gt;0,"Yes","No")</f>
        <v>Yes</v>
      </c>
      <c r="L1547" s="1" t="str">
        <f>IF(northwind_order_details[[#This Row],[Revenue]]&gt;1000,"High",IF(northwind_order_details[[#This Row],[Revenue]]&gt;300,"Medium","Low"))</f>
        <v>High</v>
      </c>
      <c r="M15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8" spans="1:13" x14ac:dyDescent="0.25">
      <c r="A1548">
        <v>10854</v>
      </c>
      <c r="B1548">
        <v>13</v>
      </c>
      <c r="C1548" s="6" t="s">
        <v>23</v>
      </c>
      <c r="D1548">
        <v>65</v>
      </c>
      <c r="E1548" s="6">
        <v>0.15</v>
      </c>
      <c r="F1548" t="str">
        <f>_xlfn.XLOOKUP(northwind_order_details[[#This Row],[order_id]],northwind_orders[order_id],northwind_orders[ship_country])</f>
        <v>Austria</v>
      </c>
      <c r="G1548">
        <f>INDEX(northwind_orders[],MATCH(northwind_order_details[[#This Row],[order_id]], northwind_orders[order_id], 0), MATCH("employee_id", northwind_orders[#Headers], 0))</f>
        <v>3</v>
      </c>
      <c r="H1548">
        <f>northwind_order_details[[#This Row],[unit_price]]*northwind_order_details[[#This Row],[quantity]]</f>
        <v>390</v>
      </c>
      <c r="I1548" s="1">
        <f>northwind_order_details[[#This Row],[purchase amount]]*northwind_order_details[[#This Row],[discount]]</f>
        <v>58.5</v>
      </c>
      <c r="J1548" s="1">
        <f>northwind_order_details[[#This Row],[purchase amount]]-northwind_order_details[[#This Row],[discount amount]]</f>
        <v>331.5</v>
      </c>
      <c r="K1548" s="6" t="str">
        <f>IF(northwind_order_details[[#This Row],[discount amount]]&gt;0,"Yes","No")</f>
        <v>Yes</v>
      </c>
      <c r="L1548" s="1" t="str">
        <f>IF(northwind_order_details[[#This Row],[Revenue]]&gt;1000,"High",IF(northwind_order_details[[#This Row],[Revenue]]&gt;300,"Medium","Low"))</f>
        <v>Medium</v>
      </c>
      <c r="M15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49" spans="1:13" x14ac:dyDescent="0.25">
      <c r="A1549">
        <v>10855</v>
      </c>
      <c r="B1549">
        <v>16</v>
      </c>
      <c r="C1549" s="6">
        <v>17.45</v>
      </c>
      <c r="D1549">
        <v>50</v>
      </c>
      <c r="E1549" s="6" t="s">
        <v>6</v>
      </c>
      <c r="F1549" t="str">
        <f>_xlfn.XLOOKUP(northwind_order_details[[#This Row],[order_id]],northwind_orders[order_id],northwind_orders[ship_country])</f>
        <v>USA</v>
      </c>
      <c r="G1549">
        <f>INDEX(northwind_orders[],MATCH(northwind_order_details[[#This Row],[order_id]], northwind_orders[order_id], 0), MATCH("employee_id", northwind_orders[#Headers], 0))</f>
        <v>3</v>
      </c>
      <c r="H1549">
        <f>northwind_order_details[[#This Row],[unit_price]]*northwind_order_details[[#This Row],[quantity]]</f>
        <v>872.5</v>
      </c>
      <c r="I1549" s="1">
        <f>northwind_order_details[[#This Row],[purchase amount]]*northwind_order_details[[#This Row],[discount]]</f>
        <v>0</v>
      </c>
      <c r="J1549" s="1">
        <f>northwind_order_details[[#This Row],[purchase amount]]-northwind_order_details[[#This Row],[discount amount]]</f>
        <v>872.5</v>
      </c>
      <c r="K1549" s="6" t="str">
        <f>IF(northwind_order_details[[#This Row],[discount amount]]&gt;0,"Yes","No")</f>
        <v>No</v>
      </c>
      <c r="L1549" s="1" t="str">
        <f>IF(northwind_order_details[[#This Row],[Revenue]]&gt;1000,"High",IF(northwind_order_details[[#This Row],[Revenue]]&gt;300,"Medium","Low"))</f>
        <v>Medium</v>
      </c>
      <c r="M15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50" spans="1:13" x14ac:dyDescent="0.25">
      <c r="A1550">
        <v>10855</v>
      </c>
      <c r="B1550">
        <v>31</v>
      </c>
      <c r="C1550" s="6">
        <v>12.5</v>
      </c>
      <c r="D1550">
        <v>14</v>
      </c>
      <c r="E1550" s="6" t="s">
        <v>6</v>
      </c>
      <c r="F1550" t="str">
        <f>_xlfn.XLOOKUP(northwind_order_details[[#This Row],[order_id]],northwind_orders[order_id],northwind_orders[ship_country])</f>
        <v>USA</v>
      </c>
      <c r="G1550">
        <f>INDEX(northwind_orders[],MATCH(northwind_order_details[[#This Row],[order_id]], northwind_orders[order_id], 0), MATCH("employee_id", northwind_orders[#Headers], 0))</f>
        <v>3</v>
      </c>
      <c r="H1550">
        <f>northwind_order_details[[#This Row],[unit_price]]*northwind_order_details[[#This Row],[quantity]]</f>
        <v>175</v>
      </c>
      <c r="I1550" s="1">
        <f>northwind_order_details[[#This Row],[purchase amount]]*northwind_order_details[[#This Row],[discount]]</f>
        <v>0</v>
      </c>
      <c r="J1550" s="1">
        <f>northwind_order_details[[#This Row],[purchase amount]]-northwind_order_details[[#This Row],[discount amount]]</f>
        <v>175</v>
      </c>
      <c r="K1550" s="6" t="str">
        <f>IF(northwind_order_details[[#This Row],[discount amount]]&gt;0,"Yes","No")</f>
        <v>No</v>
      </c>
      <c r="L1550" s="1" t="str">
        <f>IF(northwind_order_details[[#This Row],[Revenue]]&gt;1000,"High",IF(northwind_order_details[[#This Row],[Revenue]]&gt;300,"Medium","Low"))</f>
        <v>Low</v>
      </c>
      <c r="M15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51" spans="1:13" x14ac:dyDescent="0.25">
      <c r="A1551">
        <v>10855</v>
      </c>
      <c r="B1551">
        <v>56</v>
      </c>
      <c r="C1551" s="6" t="s">
        <v>30</v>
      </c>
      <c r="D1551">
        <v>24</v>
      </c>
      <c r="E1551" s="6" t="s">
        <v>6</v>
      </c>
      <c r="F1551" t="str">
        <f>_xlfn.XLOOKUP(northwind_order_details[[#This Row],[order_id]],northwind_orders[order_id],northwind_orders[ship_country])</f>
        <v>USA</v>
      </c>
      <c r="G1551">
        <f>INDEX(northwind_orders[],MATCH(northwind_order_details[[#This Row],[order_id]], northwind_orders[order_id], 0), MATCH("employee_id", northwind_orders[#Headers], 0))</f>
        <v>3</v>
      </c>
      <c r="H1551">
        <f>northwind_order_details[[#This Row],[unit_price]]*northwind_order_details[[#This Row],[quantity]]</f>
        <v>912</v>
      </c>
      <c r="I1551" s="1">
        <f>northwind_order_details[[#This Row],[purchase amount]]*northwind_order_details[[#This Row],[discount]]</f>
        <v>0</v>
      </c>
      <c r="J1551" s="1">
        <f>northwind_order_details[[#This Row],[purchase amount]]-northwind_order_details[[#This Row],[discount amount]]</f>
        <v>912</v>
      </c>
      <c r="K1551" s="6" t="str">
        <f>IF(northwind_order_details[[#This Row],[discount amount]]&gt;0,"Yes","No")</f>
        <v>No</v>
      </c>
      <c r="L1551" s="1" t="str">
        <f>IF(northwind_order_details[[#This Row],[Revenue]]&gt;1000,"High",IF(northwind_order_details[[#This Row],[Revenue]]&gt;300,"Medium","Low"))</f>
        <v>Medium</v>
      </c>
      <c r="M155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52" spans="1:13" x14ac:dyDescent="0.25">
      <c r="A1552">
        <v>10855</v>
      </c>
      <c r="B1552">
        <v>65</v>
      </c>
      <c r="C1552" s="6">
        <v>21.05</v>
      </c>
      <c r="D1552">
        <v>15</v>
      </c>
      <c r="E1552" s="6">
        <v>0.15</v>
      </c>
      <c r="F1552" t="str">
        <f>_xlfn.XLOOKUP(northwind_order_details[[#This Row],[order_id]],northwind_orders[order_id],northwind_orders[ship_country])</f>
        <v>USA</v>
      </c>
      <c r="G1552">
        <f>INDEX(northwind_orders[],MATCH(northwind_order_details[[#This Row],[order_id]], northwind_orders[order_id], 0), MATCH("employee_id", northwind_orders[#Headers], 0))</f>
        <v>3</v>
      </c>
      <c r="H1552">
        <f>northwind_order_details[[#This Row],[unit_price]]*northwind_order_details[[#This Row],[quantity]]</f>
        <v>315.75</v>
      </c>
      <c r="I1552" s="1">
        <f>northwind_order_details[[#This Row],[purchase amount]]*northwind_order_details[[#This Row],[discount]]</f>
        <v>47.362499999999997</v>
      </c>
      <c r="J1552" s="1">
        <f>northwind_order_details[[#This Row],[purchase amount]]-northwind_order_details[[#This Row],[discount amount]]</f>
        <v>268.38749999999999</v>
      </c>
      <c r="K1552" s="6" t="str">
        <f>IF(northwind_order_details[[#This Row],[discount amount]]&gt;0,"Yes","No")</f>
        <v>Yes</v>
      </c>
      <c r="L1552" s="1" t="str">
        <f>IF(northwind_order_details[[#This Row],[Revenue]]&gt;1000,"High",IF(northwind_order_details[[#This Row],[Revenue]]&gt;300,"Medium","Low"))</f>
        <v>Low</v>
      </c>
      <c r="M155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53" spans="1:13" x14ac:dyDescent="0.25">
      <c r="A1553">
        <v>10856</v>
      </c>
      <c r="B1553">
        <v>2</v>
      </c>
      <c r="C1553" s="6" t="s">
        <v>20</v>
      </c>
      <c r="D1553">
        <v>20</v>
      </c>
      <c r="E1553" s="6" t="s">
        <v>6</v>
      </c>
      <c r="F1553" t="str">
        <f>_xlfn.XLOOKUP(northwind_order_details[[#This Row],[order_id]],northwind_orders[order_id],northwind_orders[ship_country])</f>
        <v>Mexico</v>
      </c>
      <c r="G1553">
        <f>INDEX(northwind_orders[],MATCH(northwind_order_details[[#This Row],[order_id]], northwind_orders[order_id], 0), MATCH("employee_id", northwind_orders[#Headers], 0))</f>
        <v>3</v>
      </c>
      <c r="H1553">
        <f>northwind_order_details[[#This Row],[unit_price]]*northwind_order_details[[#This Row],[quantity]]</f>
        <v>380</v>
      </c>
      <c r="I1553" s="1">
        <f>northwind_order_details[[#This Row],[purchase amount]]*northwind_order_details[[#This Row],[discount]]</f>
        <v>0</v>
      </c>
      <c r="J1553" s="1">
        <f>northwind_order_details[[#This Row],[purchase amount]]-northwind_order_details[[#This Row],[discount amount]]</f>
        <v>380</v>
      </c>
      <c r="K1553" s="6" t="str">
        <f>IF(northwind_order_details[[#This Row],[discount amount]]&gt;0,"Yes","No")</f>
        <v>No</v>
      </c>
      <c r="L1553" s="1" t="str">
        <f>IF(northwind_order_details[[#This Row],[Revenue]]&gt;1000,"High",IF(northwind_order_details[[#This Row],[Revenue]]&gt;300,"Medium","Low"))</f>
        <v>Medium</v>
      </c>
      <c r="M15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54" spans="1:13" x14ac:dyDescent="0.25">
      <c r="A1554">
        <v>10856</v>
      </c>
      <c r="B1554">
        <v>42</v>
      </c>
      <c r="C1554" s="6" t="s">
        <v>5</v>
      </c>
      <c r="D1554">
        <v>20</v>
      </c>
      <c r="E1554" s="6" t="s">
        <v>6</v>
      </c>
      <c r="F1554" t="str">
        <f>_xlfn.XLOOKUP(northwind_order_details[[#This Row],[order_id]],northwind_orders[order_id],northwind_orders[ship_country])</f>
        <v>Mexico</v>
      </c>
      <c r="G1554">
        <f>INDEX(northwind_orders[],MATCH(northwind_order_details[[#This Row],[order_id]], northwind_orders[order_id], 0), MATCH("employee_id", northwind_orders[#Headers], 0))</f>
        <v>3</v>
      </c>
      <c r="H1554">
        <f>northwind_order_details[[#This Row],[unit_price]]*northwind_order_details[[#This Row],[quantity]]</f>
        <v>280</v>
      </c>
      <c r="I1554" s="1">
        <f>northwind_order_details[[#This Row],[purchase amount]]*northwind_order_details[[#This Row],[discount]]</f>
        <v>0</v>
      </c>
      <c r="J1554" s="1">
        <f>northwind_order_details[[#This Row],[purchase amount]]-northwind_order_details[[#This Row],[discount amount]]</f>
        <v>280</v>
      </c>
      <c r="K1554" s="6" t="str">
        <f>IF(northwind_order_details[[#This Row],[discount amount]]&gt;0,"Yes","No")</f>
        <v>No</v>
      </c>
      <c r="L1554" s="1" t="str">
        <f>IF(northwind_order_details[[#This Row],[Revenue]]&gt;1000,"High",IF(northwind_order_details[[#This Row],[Revenue]]&gt;300,"Medium","Low"))</f>
        <v>Low</v>
      </c>
      <c r="M15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55" spans="1:13" x14ac:dyDescent="0.25">
      <c r="A1555">
        <v>10857</v>
      </c>
      <c r="B1555">
        <v>3</v>
      </c>
      <c r="C1555" s="6" t="s">
        <v>8</v>
      </c>
      <c r="D1555">
        <v>30</v>
      </c>
      <c r="E1555" s="6" t="s">
        <v>6</v>
      </c>
      <c r="F1555" t="str">
        <f>_xlfn.XLOOKUP(northwind_order_details[[#This Row],[order_id]],northwind_orders[order_id],northwind_orders[ship_country])</f>
        <v>Sweden</v>
      </c>
      <c r="G1555">
        <f>INDEX(northwind_orders[],MATCH(northwind_order_details[[#This Row],[order_id]], northwind_orders[order_id], 0), MATCH("employee_id", northwind_orders[#Headers], 0))</f>
        <v>8</v>
      </c>
      <c r="H1555">
        <f>northwind_order_details[[#This Row],[unit_price]]*northwind_order_details[[#This Row],[quantity]]</f>
        <v>300</v>
      </c>
      <c r="I1555" s="1">
        <f>northwind_order_details[[#This Row],[purchase amount]]*northwind_order_details[[#This Row],[discount]]</f>
        <v>0</v>
      </c>
      <c r="J1555" s="1">
        <f>northwind_order_details[[#This Row],[purchase amount]]-northwind_order_details[[#This Row],[discount amount]]</f>
        <v>300</v>
      </c>
      <c r="K1555" s="6" t="str">
        <f>IF(northwind_order_details[[#This Row],[discount amount]]&gt;0,"Yes","No")</f>
        <v>No</v>
      </c>
      <c r="L1555" s="1" t="str">
        <f>IF(northwind_order_details[[#This Row],[Revenue]]&gt;1000,"High",IF(northwind_order_details[[#This Row],[Revenue]]&gt;300,"Medium","Low"))</f>
        <v>Low</v>
      </c>
      <c r="M15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56" spans="1:13" x14ac:dyDescent="0.25">
      <c r="A1556">
        <v>10857</v>
      </c>
      <c r="B1556">
        <v>26</v>
      </c>
      <c r="C1556" s="6">
        <v>31.23</v>
      </c>
      <c r="D1556">
        <v>35</v>
      </c>
      <c r="E1556" s="6">
        <v>0.25</v>
      </c>
      <c r="F1556" t="str">
        <f>_xlfn.XLOOKUP(northwind_order_details[[#This Row],[order_id]],northwind_orders[order_id],northwind_orders[ship_country])</f>
        <v>Sweden</v>
      </c>
      <c r="G1556">
        <f>INDEX(northwind_orders[],MATCH(northwind_order_details[[#This Row],[order_id]], northwind_orders[order_id], 0), MATCH("employee_id", northwind_orders[#Headers], 0))</f>
        <v>8</v>
      </c>
      <c r="H1556">
        <f>northwind_order_details[[#This Row],[unit_price]]*northwind_order_details[[#This Row],[quantity]]</f>
        <v>1093.05</v>
      </c>
      <c r="I1556" s="1">
        <f>northwind_order_details[[#This Row],[purchase amount]]*northwind_order_details[[#This Row],[discount]]</f>
        <v>273.26249999999999</v>
      </c>
      <c r="J1556" s="1">
        <f>northwind_order_details[[#This Row],[purchase amount]]-northwind_order_details[[#This Row],[discount amount]]</f>
        <v>819.78749999999991</v>
      </c>
      <c r="K1556" s="6" t="str">
        <f>IF(northwind_order_details[[#This Row],[discount amount]]&gt;0,"Yes","No")</f>
        <v>Yes</v>
      </c>
      <c r="L1556" s="1" t="str">
        <f>IF(northwind_order_details[[#This Row],[Revenue]]&gt;1000,"High",IF(northwind_order_details[[#This Row],[Revenue]]&gt;300,"Medium","Low"))</f>
        <v>Medium</v>
      </c>
      <c r="M15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57" spans="1:13" x14ac:dyDescent="0.25">
      <c r="A1557">
        <v>10857</v>
      </c>
      <c r="B1557">
        <v>29</v>
      </c>
      <c r="C1557" s="6">
        <v>123.79</v>
      </c>
      <c r="D1557">
        <v>10</v>
      </c>
      <c r="E1557" s="6">
        <v>0.25</v>
      </c>
      <c r="F1557" t="str">
        <f>_xlfn.XLOOKUP(northwind_order_details[[#This Row],[order_id]],northwind_orders[order_id],northwind_orders[ship_country])</f>
        <v>Sweden</v>
      </c>
      <c r="G1557">
        <f>INDEX(northwind_orders[],MATCH(northwind_order_details[[#This Row],[order_id]], northwind_orders[order_id], 0), MATCH("employee_id", northwind_orders[#Headers], 0))</f>
        <v>8</v>
      </c>
      <c r="H1557">
        <f>northwind_order_details[[#This Row],[unit_price]]*northwind_order_details[[#This Row],[quantity]]</f>
        <v>1237.9000000000001</v>
      </c>
      <c r="I1557" s="1">
        <f>northwind_order_details[[#This Row],[purchase amount]]*northwind_order_details[[#This Row],[discount]]</f>
        <v>309.47500000000002</v>
      </c>
      <c r="J1557" s="1">
        <f>northwind_order_details[[#This Row],[purchase amount]]-northwind_order_details[[#This Row],[discount amount]]</f>
        <v>928.42500000000007</v>
      </c>
      <c r="K1557" s="6" t="str">
        <f>IF(northwind_order_details[[#This Row],[discount amount]]&gt;0,"Yes","No")</f>
        <v>Yes</v>
      </c>
      <c r="L1557" s="1" t="str">
        <f>IF(northwind_order_details[[#This Row],[Revenue]]&gt;1000,"High",IF(northwind_order_details[[#This Row],[Revenue]]&gt;300,"Medium","Low"))</f>
        <v>Medium</v>
      </c>
      <c r="M155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58" spans="1:13" x14ac:dyDescent="0.25">
      <c r="A1558">
        <v>10858</v>
      </c>
      <c r="B1558">
        <v>7</v>
      </c>
      <c r="C1558" s="6" t="s">
        <v>26</v>
      </c>
      <c r="D1558">
        <v>5</v>
      </c>
      <c r="E1558" s="6" t="s">
        <v>6</v>
      </c>
      <c r="F1558" t="str">
        <f>_xlfn.XLOOKUP(northwind_order_details[[#This Row],[order_id]],northwind_orders[order_id],northwind_orders[ship_country])</f>
        <v>France</v>
      </c>
      <c r="G1558">
        <f>INDEX(northwind_orders[],MATCH(northwind_order_details[[#This Row],[order_id]], northwind_orders[order_id], 0), MATCH("employee_id", northwind_orders[#Headers], 0))</f>
        <v>2</v>
      </c>
      <c r="H1558">
        <f>northwind_order_details[[#This Row],[unit_price]]*northwind_order_details[[#This Row],[quantity]]</f>
        <v>150</v>
      </c>
      <c r="I1558" s="1">
        <f>northwind_order_details[[#This Row],[purchase amount]]*northwind_order_details[[#This Row],[discount]]</f>
        <v>0</v>
      </c>
      <c r="J1558" s="1">
        <f>northwind_order_details[[#This Row],[purchase amount]]-northwind_order_details[[#This Row],[discount amount]]</f>
        <v>150</v>
      </c>
      <c r="K1558" s="6" t="str">
        <f>IF(northwind_order_details[[#This Row],[discount amount]]&gt;0,"Yes","No")</f>
        <v>No</v>
      </c>
      <c r="L1558" s="1" t="str">
        <f>IF(northwind_order_details[[#This Row],[Revenue]]&gt;1000,"High",IF(northwind_order_details[[#This Row],[Revenue]]&gt;300,"Medium","Low"))</f>
        <v>Low</v>
      </c>
      <c r="M15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59" spans="1:13" x14ac:dyDescent="0.25">
      <c r="A1559">
        <v>10858</v>
      </c>
      <c r="B1559">
        <v>27</v>
      </c>
      <c r="C1559" s="6">
        <v>43.9</v>
      </c>
      <c r="D1559">
        <v>10</v>
      </c>
      <c r="E1559" s="6" t="s">
        <v>6</v>
      </c>
      <c r="F1559" t="str">
        <f>_xlfn.XLOOKUP(northwind_order_details[[#This Row],[order_id]],northwind_orders[order_id],northwind_orders[ship_country])</f>
        <v>France</v>
      </c>
      <c r="G1559">
        <f>INDEX(northwind_orders[],MATCH(northwind_order_details[[#This Row],[order_id]], northwind_orders[order_id], 0), MATCH("employee_id", northwind_orders[#Headers], 0))</f>
        <v>2</v>
      </c>
      <c r="H1559">
        <f>northwind_order_details[[#This Row],[unit_price]]*northwind_order_details[[#This Row],[quantity]]</f>
        <v>439</v>
      </c>
      <c r="I1559" s="1">
        <f>northwind_order_details[[#This Row],[purchase amount]]*northwind_order_details[[#This Row],[discount]]</f>
        <v>0</v>
      </c>
      <c r="J1559" s="1">
        <f>northwind_order_details[[#This Row],[purchase amount]]-northwind_order_details[[#This Row],[discount amount]]</f>
        <v>439</v>
      </c>
      <c r="K1559" s="6" t="str">
        <f>IF(northwind_order_details[[#This Row],[discount amount]]&gt;0,"Yes","No")</f>
        <v>No</v>
      </c>
      <c r="L1559" s="1" t="str">
        <f>IF(northwind_order_details[[#This Row],[Revenue]]&gt;1000,"High",IF(northwind_order_details[[#This Row],[Revenue]]&gt;300,"Medium","Low"))</f>
        <v>Medium</v>
      </c>
      <c r="M15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60" spans="1:13" x14ac:dyDescent="0.25">
      <c r="A1560">
        <v>10858</v>
      </c>
      <c r="B1560">
        <v>70</v>
      </c>
      <c r="C1560" s="6" t="s">
        <v>21</v>
      </c>
      <c r="D1560">
        <v>4</v>
      </c>
      <c r="E1560" s="6" t="s">
        <v>6</v>
      </c>
      <c r="F1560" t="str">
        <f>_xlfn.XLOOKUP(northwind_order_details[[#This Row],[order_id]],northwind_orders[order_id],northwind_orders[ship_country])</f>
        <v>France</v>
      </c>
      <c r="G1560">
        <f>INDEX(northwind_orders[],MATCH(northwind_order_details[[#This Row],[order_id]], northwind_orders[order_id], 0), MATCH("employee_id", northwind_orders[#Headers], 0))</f>
        <v>2</v>
      </c>
      <c r="H1560">
        <f>northwind_order_details[[#This Row],[unit_price]]*northwind_order_details[[#This Row],[quantity]]</f>
        <v>60</v>
      </c>
      <c r="I1560" s="1">
        <f>northwind_order_details[[#This Row],[purchase amount]]*northwind_order_details[[#This Row],[discount]]</f>
        <v>0</v>
      </c>
      <c r="J1560" s="1">
        <f>northwind_order_details[[#This Row],[purchase amount]]-northwind_order_details[[#This Row],[discount amount]]</f>
        <v>60</v>
      </c>
      <c r="K1560" s="6" t="str">
        <f>IF(northwind_order_details[[#This Row],[discount amount]]&gt;0,"Yes","No")</f>
        <v>No</v>
      </c>
      <c r="L1560" s="1" t="str">
        <f>IF(northwind_order_details[[#This Row],[Revenue]]&gt;1000,"High",IF(northwind_order_details[[#This Row],[Revenue]]&gt;300,"Medium","Low"))</f>
        <v>Low</v>
      </c>
      <c r="M15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61" spans="1:13" x14ac:dyDescent="0.25">
      <c r="A1561">
        <v>10859</v>
      </c>
      <c r="B1561">
        <v>24</v>
      </c>
      <c r="C1561" s="6">
        <v>4.5</v>
      </c>
      <c r="D1561">
        <v>40</v>
      </c>
      <c r="E1561" s="6">
        <v>0.25</v>
      </c>
      <c r="F1561" t="str">
        <f>_xlfn.XLOOKUP(northwind_order_details[[#This Row],[order_id]],northwind_orders[order_id],northwind_orders[ship_country])</f>
        <v>Germany</v>
      </c>
      <c r="G1561">
        <f>INDEX(northwind_orders[],MATCH(northwind_order_details[[#This Row],[order_id]], northwind_orders[order_id], 0), MATCH("employee_id", northwind_orders[#Headers], 0))</f>
        <v>1</v>
      </c>
      <c r="H1561">
        <f>northwind_order_details[[#This Row],[unit_price]]*northwind_order_details[[#This Row],[quantity]]</f>
        <v>180</v>
      </c>
      <c r="I1561" s="1">
        <f>northwind_order_details[[#This Row],[purchase amount]]*northwind_order_details[[#This Row],[discount]]</f>
        <v>45</v>
      </c>
      <c r="J1561" s="1">
        <f>northwind_order_details[[#This Row],[purchase amount]]-northwind_order_details[[#This Row],[discount amount]]</f>
        <v>135</v>
      </c>
      <c r="K1561" s="6" t="str">
        <f>IF(northwind_order_details[[#This Row],[discount amount]]&gt;0,"Yes","No")</f>
        <v>Yes</v>
      </c>
      <c r="L1561" s="1" t="str">
        <f>IF(northwind_order_details[[#This Row],[Revenue]]&gt;1000,"High",IF(northwind_order_details[[#This Row],[Revenue]]&gt;300,"Medium","Low"))</f>
        <v>Low</v>
      </c>
      <c r="M15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62" spans="1:13" x14ac:dyDescent="0.25">
      <c r="A1562">
        <v>10859</v>
      </c>
      <c r="B1562">
        <v>54</v>
      </c>
      <c r="C1562" s="6">
        <v>7.45</v>
      </c>
      <c r="D1562">
        <v>35</v>
      </c>
      <c r="E1562" s="6">
        <v>0.25</v>
      </c>
      <c r="F1562" t="str">
        <f>_xlfn.XLOOKUP(northwind_order_details[[#This Row],[order_id]],northwind_orders[order_id],northwind_orders[ship_country])</f>
        <v>Germany</v>
      </c>
      <c r="G1562">
        <f>INDEX(northwind_orders[],MATCH(northwind_order_details[[#This Row],[order_id]], northwind_orders[order_id], 0), MATCH("employee_id", northwind_orders[#Headers], 0))</f>
        <v>1</v>
      </c>
      <c r="H1562">
        <f>northwind_order_details[[#This Row],[unit_price]]*northwind_order_details[[#This Row],[quantity]]</f>
        <v>260.75</v>
      </c>
      <c r="I1562" s="1">
        <f>northwind_order_details[[#This Row],[purchase amount]]*northwind_order_details[[#This Row],[discount]]</f>
        <v>65.1875</v>
      </c>
      <c r="J1562" s="1">
        <f>northwind_order_details[[#This Row],[purchase amount]]-northwind_order_details[[#This Row],[discount amount]]</f>
        <v>195.5625</v>
      </c>
      <c r="K1562" s="6" t="str">
        <f>IF(northwind_order_details[[#This Row],[discount amount]]&gt;0,"Yes","No")</f>
        <v>Yes</v>
      </c>
      <c r="L1562" s="1" t="str">
        <f>IF(northwind_order_details[[#This Row],[Revenue]]&gt;1000,"High",IF(northwind_order_details[[#This Row],[Revenue]]&gt;300,"Medium","Low"))</f>
        <v>Low</v>
      </c>
      <c r="M15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63" spans="1:13" x14ac:dyDescent="0.25">
      <c r="A1563">
        <v>10859</v>
      </c>
      <c r="B1563">
        <v>64</v>
      </c>
      <c r="C1563" s="6">
        <v>33.25</v>
      </c>
      <c r="D1563">
        <v>30</v>
      </c>
      <c r="E1563" s="6">
        <v>0.25</v>
      </c>
      <c r="F1563" t="str">
        <f>_xlfn.XLOOKUP(northwind_order_details[[#This Row],[order_id]],northwind_orders[order_id],northwind_orders[ship_country])</f>
        <v>Germany</v>
      </c>
      <c r="G1563">
        <f>INDEX(northwind_orders[],MATCH(northwind_order_details[[#This Row],[order_id]], northwind_orders[order_id], 0), MATCH("employee_id", northwind_orders[#Headers], 0))</f>
        <v>1</v>
      </c>
      <c r="H1563">
        <f>northwind_order_details[[#This Row],[unit_price]]*northwind_order_details[[#This Row],[quantity]]</f>
        <v>997.5</v>
      </c>
      <c r="I1563" s="1">
        <f>northwind_order_details[[#This Row],[purchase amount]]*northwind_order_details[[#This Row],[discount]]</f>
        <v>249.375</v>
      </c>
      <c r="J1563" s="1">
        <f>northwind_order_details[[#This Row],[purchase amount]]-northwind_order_details[[#This Row],[discount amount]]</f>
        <v>748.125</v>
      </c>
      <c r="K1563" s="6" t="str">
        <f>IF(northwind_order_details[[#This Row],[discount amount]]&gt;0,"Yes","No")</f>
        <v>Yes</v>
      </c>
      <c r="L1563" s="1" t="str">
        <f>IF(northwind_order_details[[#This Row],[Revenue]]&gt;1000,"High",IF(northwind_order_details[[#This Row],[Revenue]]&gt;300,"Medium","Low"))</f>
        <v>Medium</v>
      </c>
      <c r="M15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64" spans="1:13" x14ac:dyDescent="0.25">
      <c r="A1564">
        <v>10860</v>
      </c>
      <c r="B1564">
        <v>51</v>
      </c>
      <c r="C1564" s="6" t="s">
        <v>39</v>
      </c>
      <c r="D1564">
        <v>3</v>
      </c>
      <c r="E1564" s="6" t="s">
        <v>6</v>
      </c>
      <c r="F1564" t="str">
        <f>_xlfn.XLOOKUP(northwind_order_details[[#This Row],[order_id]],northwind_orders[order_id],northwind_orders[ship_country])</f>
        <v>France</v>
      </c>
      <c r="G1564">
        <f>INDEX(northwind_orders[],MATCH(northwind_order_details[[#This Row],[order_id]], northwind_orders[order_id], 0), MATCH("employee_id", northwind_orders[#Headers], 0))</f>
        <v>3</v>
      </c>
      <c r="H1564">
        <f>northwind_order_details[[#This Row],[unit_price]]*northwind_order_details[[#This Row],[quantity]]</f>
        <v>159</v>
      </c>
      <c r="I1564" s="1">
        <f>northwind_order_details[[#This Row],[purchase amount]]*northwind_order_details[[#This Row],[discount]]</f>
        <v>0</v>
      </c>
      <c r="J1564" s="1">
        <f>northwind_order_details[[#This Row],[purchase amount]]-northwind_order_details[[#This Row],[discount amount]]</f>
        <v>159</v>
      </c>
      <c r="K1564" s="6" t="str">
        <f>IF(northwind_order_details[[#This Row],[discount amount]]&gt;0,"Yes","No")</f>
        <v>No</v>
      </c>
      <c r="L1564" s="1" t="str">
        <f>IF(northwind_order_details[[#This Row],[Revenue]]&gt;1000,"High",IF(northwind_order_details[[#This Row],[Revenue]]&gt;300,"Medium","Low"))</f>
        <v>Low</v>
      </c>
      <c r="M15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65" spans="1:13" x14ac:dyDescent="0.25">
      <c r="A1565">
        <v>10860</v>
      </c>
      <c r="B1565">
        <v>76</v>
      </c>
      <c r="C1565" s="6" t="s">
        <v>24</v>
      </c>
      <c r="D1565">
        <v>20</v>
      </c>
      <c r="E1565" s="6" t="s">
        <v>6</v>
      </c>
      <c r="F1565" t="str">
        <f>_xlfn.XLOOKUP(northwind_order_details[[#This Row],[order_id]],northwind_orders[order_id],northwind_orders[ship_country])</f>
        <v>France</v>
      </c>
      <c r="G1565">
        <f>INDEX(northwind_orders[],MATCH(northwind_order_details[[#This Row],[order_id]], northwind_orders[order_id], 0), MATCH("employee_id", northwind_orders[#Headers], 0))</f>
        <v>3</v>
      </c>
      <c r="H1565">
        <f>northwind_order_details[[#This Row],[unit_price]]*northwind_order_details[[#This Row],[quantity]]</f>
        <v>360</v>
      </c>
      <c r="I1565" s="1">
        <f>northwind_order_details[[#This Row],[purchase amount]]*northwind_order_details[[#This Row],[discount]]</f>
        <v>0</v>
      </c>
      <c r="J1565" s="1">
        <f>northwind_order_details[[#This Row],[purchase amount]]-northwind_order_details[[#This Row],[discount amount]]</f>
        <v>360</v>
      </c>
      <c r="K1565" s="6" t="str">
        <f>IF(northwind_order_details[[#This Row],[discount amount]]&gt;0,"Yes","No")</f>
        <v>No</v>
      </c>
      <c r="L1565" s="1" t="str">
        <f>IF(northwind_order_details[[#This Row],[Revenue]]&gt;1000,"High",IF(northwind_order_details[[#This Row],[Revenue]]&gt;300,"Medium","Low"))</f>
        <v>Medium</v>
      </c>
      <c r="M15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66" spans="1:13" x14ac:dyDescent="0.25">
      <c r="A1566">
        <v>10861</v>
      </c>
      <c r="B1566">
        <v>17</v>
      </c>
      <c r="C1566" s="6" t="s">
        <v>35</v>
      </c>
      <c r="D1566">
        <v>42</v>
      </c>
      <c r="E1566" s="6" t="s">
        <v>6</v>
      </c>
      <c r="F1566" t="str">
        <f>_xlfn.XLOOKUP(northwind_order_details[[#This Row],[order_id]],northwind_orders[order_id],northwind_orders[ship_country])</f>
        <v>USA</v>
      </c>
      <c r="G1566">
        <f>INDEX(northwind_orders[],MATCH(northwind_order_details[[#This Row],[order_id]], northwind_orders[order_id], 0), MATCH("employee_id", northwind_orders[#Headers], 0))</f>
        <v>4</v>
      </c>
      <c r="H1566">
        <f>northwind_order_details[[#This Row],[unit_price]]*northwind_order_details[[#This Row],[quantity]]</f>
        <v>1638</v>
      </c>
      <c r="I1566" s="1">
        <f>northwind_order_details[[#This Row],[purchase amount]]*northwind_order_details[[#This Row],[discount]]</f>
        <v>0</v>
      </c>
      <c r="J1566" s="1">
        <f>northwind_order_details[[#This Row],[purchase amount]]-northwind_order_details[[#This Row],[discount amount]]</f>
        <v>1638</v>
      </c>
      <c r="K1566" s="6" t="str">
        <f>IF(northwind_order_details[[#This Row],[discount amount]]&gt;0,"Yes","No")</f>
        <v>No</v>
      </c>
      <c r="L1566" s="1" t="str">
        <f>IF(northwind_order_details[[#This Row],[Revenue]]&gt;1000,"High",IF(northwind_order_details[[#This Row],[Revenue]]&gt;300,"Medium","Low"))</f>
        <v>High</v>
      </c>
      <c r="M15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67" spans="1:13" x14ac:dyDescent="0.25">
      <c r="A1567">
        <v>10861</v>
      </c>
      <c r="B1567">
        <v>18</v>
      </c>
      <c r="C1567" s="6">
        <v>62.5</v>
      </c>
      <c r="D1567">
        <v>20</v>
      </c>
      <c r="E1567" s="6" t="s">
        <v>6</v>
      </c>
      <c r="F1567" t="str">
        <f>_xlfn.XLOOKUP(northwind_order_details[[#This Row],[order_id]],northwind_orders[order_id],northwind_orders[ship_country])</f>
        <v>USA</v>
      </c>
      <c r="G1567">
        <f>INDEX(northwind_orders[],MATCH(northwind_order_details[[#This Row],[order_id]], northwind_orders[order_id], 0), MATCH("employee_id", northwind_orders[#Headers], 0))</f>
        <v>4</v>
      </c>
      <c r="H1567">
        <f>northwind_order_details[[#This Row],[unit_price]]*northwind_order_details[[#This Row],[quantity]]</f>
        <v>1250</v>
      </c>
      <c r="I1567" s="1">
        <f>northwind_order_details[[#This Row],[purchase amount]]*northwind_order_details[[#This Row],[discount]]</f>
        <v>0</v>
      </c>
      <c r="J1567" s="1">
        <f>northwind_order_details[[#This Row],[purchase amount]]-northwind_order_details[[#This Row],[discount amount]]</f>
        <v>1250</v>
      </c>
      <c r="K1567" s="6" t="str">
        <f>IF(northwind_order_details[[#This Row],[discount amount]]&gt;0,"Yes","No")</f>
        <v>No</v>
      </c>
      <c r="L1567" s="1" t="str">
        <f>IF(northwind_order_details[[#This Row],[Revenue]]&gt;1000,"High",IF(northwind_order_details[[#This Row],[Revenue]]&gt;300,"Medium","Low"))</f>
        <v>High</v>
      </c>
      <c r="M15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68" spans="1:13" x14ac:dyDescent="0.25">
      <c r="A1568">
        <v>10861</v>
      </c>
      <c r="B1568">
        <v>21</v>
      </c>
      <c r="C1568" s="6" t="s">
        <v>8</v>
      </c>
      <c r="D1568">
        <v>40</v>
      </c>
      <c r="E1568" s="6" t="s">
        <v>6</v>
      </c>
      <c r="F1568" t="str">
        <f>_xlfn.XLOOKUP(northwind_order_details[[#This Row],[order_id]],northwind_orders[order_id],northwind_orders[ship_country])</f>
        <v>USA</v>
      </c>
      <c r="G1568">
        <f>INDEX(northwind_orders[],MATCH(northwind_order_details[[#This Row],[order_id]], northwind_orders[order_id], 0), MATCH("employee_id", northwind_orders[#Headers], 0))</f>
        <v>4</v>
      </c>
      <c r="H1568">
        <f>northwind_order_details[[#This Row],[unit_price]]*northwind_order_details[[#This Row],[quantity]]</f>
        <v>400</v>
      </c>
      <c r="I1568" s="1">
        <f>northwind_order_details[[#This Row],[purchase amount]]*northwind_order_details[[#This Row],[discount]]</f>
        <v>0</v>
      </c>
      <c r="J1568" s="1">
        <f>northwind_order_details[[#This Row],[purchase amount]]-northwind_order_details[[#This Row],[discount amount]]</f>
        <v>400</v>
      </c>
      <c r="K1568" s="6" t="str">
        <f>IF(northwind_order_details[[#This Row],[discount amount]]&gt;0,"Yes","No")</f>
        <v>No</v>
      </c>
      <c r="L1568" s="1" t="str">
        <f>IF(northwind_order_details[[#This Row],[Revenue]]&gt;1000,"High",IF(northwind_order_details[[#This Row],[Revenue]]&gt;300,"Medium","Low"))</f>
        <v>Medium</v>
      </c>
      <c r="M15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69" spans="1:13" x14ac:dyDescent="0.25">
      <c r="A1569">
        <v>10861</v>
      </c>
      <c r="B1569">
        <v>33</v>
      </c>
      <c r="C1569" s="6">
        <v>2.5</v>
      </c>
      <c r="D1569">
        <v>35</v>
      </c>
      <c r="E1569" s="6" t="s">
        <v>6</v>
      </c>
      <c r="F1569" t="str">
        <f>_xlfn.XLOOKUP(northwind_order_details[[#This Row],[order_id]],northwind_orders[order_id],northwind_orders[ship_country])</f>
        <v>USA</v>
      </c>
      <c r="G1569">
        <f>INDEX(northwind_orders[],MATCH(northwind_order_details[[#This Row],[order_id]], northwind_orders[order_id], 0), MATCH("employee_id", northwind_orders[#Headers], 0))</f>
        <v>4</v>
      </c>
      <c r="H1569">
        <f>northwind_order_details[[#This Row],[unit_price]]*northwind_order_details[[#This Row],[quantity]]</f>
        <v>87.5</v>
      </c>
      <c r="I1569" s="1">
        <f>northwind_order_details[[#This Row],[purchase amount]]*northwind_order_details[[#This Row],[discount]]</f>
        <v>0</v>
      </c>
      <c r="J1569" s="1">
        <f>northwind_order_details[[#This Row],[purchase amount]]-northwind_order_details[[#This Row],[discount amount]]</f>
        <v>87.5</v>
      </c>
      <c r="K1569" s="6" t="str">
        <f>IF(northwind_order_details[[#This Row],[discount amount]]&gt;0,"Yes","No")</f>
        <v>No</v>
      </c>
      <c r="L1569" s="1" t="str">
        <f>IF(northwind_order_details[[#This Row],[Revenue]]&gt;1000,"High",IF(northwind_order_details[[#This Row],[Revenue]]&gt;300,"Medium","Low"))</f>
        <v>Low</v>
      </c>
      <c r="M15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70" spans="1:13" x14ac:dyDescent="0.25">
      <c r="A1570">
        <v>10861</v>
      </c>
      <c r="B1570">
        <v>62</v>
      </c>
      <c r="C1570" s="6">
        <v>49.3</v>
      </c>
      <c r="D1570">
        <v>3</v>
      </c>
      <c r="E1570" s="6" t="s">
        <v>6</v>
      </c>
      <c r="F1570" t="str">
        <f>_xlfn.XLOOKUP(northwind_order_details[[#This Row],[order_id]],northwind_orders[order_id],northwind_orders[ship_country])</f>
        <v>USA</v>
      </c>
      <c r="G1570">
        <f>INDEX(northwind_orders[],MATCH(northwind_order_details[[#This Row],[order_id]], northwind_orders[order_id], 0), MATCH("employee_id", northwind_orders[#Headers], 0))</f>
        <v>4</v>
      </c>
      <c r="H1570">
        <f>northwind_order_details[[#This Row],[unit_price]]*northwind_order_details[[#This Row],[quantity]]</f>
        <v>147.89999999999998</v>
      </c>
      <c r="I1570" s="1">
        <f>northwind_order_details[[#This Row],[purchase amount]]*northwind_order_details[[#This Row],[discount]]</f>
        <v>0</v>
      </c>
      <c r="J1570" s="1">
        <f>northwind_order_details[[#This Row],[purchase amount]]-northwind_order_details[[#This Row],[discount amount]]</f>
        <v>147.89999999999998</v>
      </c>
      <c r="K1570" s="6" t="str">
        <f>IF(northwind_order_details[[#This Row],[discount amount]]&gt;0,"Yes","No")</f>
        <v>No</v>
      </c>
      <c r="L1570" s="1" t="str">
        <f>IF(northwind_order_details[[#This Row],[Revenue]]&gt;1000,"High",IF(northwind_order_details[[#This Row],[Revenue]]&gt;300,"Medium","Low"))</f>
        <v>Low</v>
      </c>
      <c r="M15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71" spans="1:13" x14ac:dyDescent="0.25">
      <c r="A1571">
        <v>10862</v>
      </c>
      <c r="B1571">
        <v>11</v>
      </c>
      <c r="C1571" s="6" t="s">
        <v>37</v>
      </c>
      <c r="D1571">
        <v>25</v>
      </c>
      <c r="E1571" s="6" t="s">
        <v>6</v>
      </c>
      <c r="F1571" t="str">
        <f>_xlfn.XLOOKUP(northwind_order_details[[#This Row],[order_id]],northwind_orders[order_id],northwind_orders[ship_country])</f>
        <v>Germany</v>
      </c>
      <c r="G1571">
        <f>INDEX(northwind_orders[],MATCH(northwind_order_details[[#This Row],[order_id]], northwind_orders[order_id], 0), MATCH("employee_id", northwind_orders[#Headers], 0))</f>
        <v>8</v>
      </c>
      <c r="H1571">
        <f>northwind_order_details[[#This Row],[unit_price]]*northwind_order_details[[#This Row],[quantity]]</f>
        <v>525</v>
      </c>
      <c r="I1571" s="1">
        <f>northwind_order_details[[#This Row],[purchase amount]]*northwind_order_details[[#This Row],[discount]]</f>
        <v>0</v>
      </c>
      <c r="J1571" s="1">
        <f>northwind_order_details[[#This Row],[purchase amount]]-northwind_order_details[[#This Row],[discount amount]]</f>
        <v>525</v>
      </c>
      <c r="K1571" s="6" t="str">
        <f>IF(northwind_order_details[[#This Row],[discount amount]]&gt;0,"Yes","No")</f>
        <v>No</v>
      </c>
      <c r="L1571" s="1" t="str">
        <f>IF(northwind_order_details[[#This Row],[Revenue]]&gt;1000,"High",IF(northwind_order_details[[#This Row],[Revenue]]&gt;300,"Medium","Low"))</f>
        <v>Medium</v>
      </c>
      <c r="M15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2" spans="1:13" x14ac:dyDescent="0.25">
      <c r="A1572">
        <v>10862</v>
      </c>
      <c r="B1572">
        <v>52</v>
      </c>
      <c r="C1572" s="6" t="s">
        <v>32</v>
      </c>
      <c r="D1572">
        <v>8</v>
      </c>
      <c r="E1572" s="6" t="s">
        <v>6</v>
      </c>
      <c r="F1572" t="str">
        <f>_xlfn.XLOOKUP(northwind_order_details[[#This Row],[order_id]],northwind_orders[order_id],northwind_orders[ship_country])</f>
        <v>Germany</v>
      </c>
      <c r="G1572">
        <f>INDEX(northwind_orders[],MATCH(northwind_order_details[[#This Row],[order_id]], northwind_orders[order_id], 0), MATCH("employee_id", northwind_orders[#Headers], 0))</f>
        <v>8</v>
      </c>
      <c r="H1572">
        <f>northwind_order_details[[#This Row],[unit_price]]*northwind_order_details[[#This Row],[quantity]]</f>
        <v>56</v>
      </c>
      <c r="I1572" s="1">
        <f>northwind_order_details[[#This Row],[purchase amount]]*northwind_order_details[[#This Row],[discount]]</f>
        <v>0</v>
      </c>
      <c r="J1572" s="1">
        <f>northwind_order_details[[#This Row],[purchase amount]]-northwind_order_details[[#This Row],[discount amount]]</f>
        <v>56</v>
      </c>
      <c r="K1572" s="6" t="str">
        <f>IF(northwind_order_details[[#This Row],[discount amount]]&gt;0,"Yes","No")</f>
        <v>No</v>
      </c>
      <c r="L1572" s="1" t="str">
        <f>IF(northwind_order_details[[#This Row],[Revenue]]&gt;1000,"High",IF(northwind_order_details[[#This Row],[Revenue]]&gt;300,"Medium","Low"))</f>
        <v>Low</v>
      </c>
      <c r="M15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3" spans="1:13" x14ac:dyDescent="0.25">
      <c r="A1573">
        <v>10863</v>
      </c>
      <c r="B1573">
        <v>1</v>
      </c>
      <c r="C1573" s="6" t="s">
        <v>24</v>
      </c>
      <c r="D1573">
        <v>20</v>
      </c>
      <c r="E1573" s="6">
        <v>0.15</v>
      </c>
      <c r="F1573" t="str">
        <f>_xlfn.XLOOKUP(northwind_order_details[[#This Row],[order_id]],northwind_orders[order_id],northwind_orders[ship_country])</f>
        <v>Venezuela</v>
      </c>
      <c r="G1573">
        <f>INDEX(northwind_orders[],MATCH(northwind_order_details[[#This Row],[order_id]], northwind_orders[order_id], 0), MATCH("employee_id", northwind_orders[#Headers], 0))</f>
        <v>4</v>
      </c>
      <c r="H1573">
        <f>northwind_order_details[[#This Row],[unit_price]]*northwind_order_details[[#This Row],[quantity]]</f>
        <v>360</v>
      </c>
      <c r="I1573" s="1">
        <f>northwind_order_details[[#This Row],[purchase amount]]*northwind_order_details[[#This Row],[discount]]</f>
        <v>54</v>
      </c>
      <c r="J1573" s="1">
        <f>northwind_order_details[[#This Row],[purchase amount]]-northwind_order_details[[#This Row],[discount amount]]</f>
        <v>306</v>
      </c>
      <c r="K1573" s="6" t="str">
        <f>IF(northwind_order_details[[#This Row],[discount amount]]&gt;0,"Yes","No")</f>
        <v>Yes</v>
      </c>
      <c r="L1573" s="1" t="str">
        <f>IF(northwind_order_details[[#This Row],[Revenue]]&gt;1000,"High",IF(northwind_order_details[[#This Row],[Revenue]]&gt;300,"Medium","Low"))</f>
        <v>Medium</v>
      </c>
      <c r="M15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4" spans="1:13" x14ac:dyDescent="0.25">
      <c r="A1574">
        <v>10863</v>
      </c>
      <c r="B1574">
        <v>58</v>
      </c>
      <c r="C1574" s="6">
        <v>13.25</v>
      </c>
      <c r="D1574">
        <v>12</v>
      </c>
      <c r="E1574" s="6">
        <v>0.15</v>
      </c>
      <c r="F1574" t="str">
        <f>_xlfn.XLOOKUP(northwind_order_details[[#This Row],[order_id]],northwind_orders[order_id],northwind_orders[ship_country])</f>
        <v>Venezuela</v>
      </c>
      <c r="G1574">
        <f>INDEX(northwind_orders[],MATCH(northwind_order_details[[#This Row],[order_id]], northwind_orders[order_id], 0), MATCH("employee_id", northwind_orders[#Headers], 0))</f>
        <v>4</v>
      </c>
      <c r="H1574">
        <f>northwind_order_details[[#This Row],[unit_price]]*northwind_order_details[[#This Row],[quantity]]</f>
        <v>159</v>
      </c>
      <c r="I1574" s="1">
        <f>northwind_order_details[[#This Row],[purchase amount]]*northwind_order_details[[#This Row],[discount]]</f>
        <v>23.849999999999998</v>
      </c>
      <c r="J1574" s="1">
        <f>northwind_order_details[[#This Row],[purchase amount]]-northwind_order_details[[#This Row],[discount amount]]</f>
        <v>135.15</v>
      </c>
      <c r="K1574" s="6" t="str">
        <f>IF(northwind_order_details[[#This Row],[discount amount]]&gt;0,"Yes","No")</f>
        <v>Yes</v>
      </c>
      <c r="L1574" s="1" t="str">
        <f>IF(northwind_order_details[[#This Row],[Revenue]]&gt;1000,"High",IF(northwind_order_details[[#This Row],[Revenue]]&gt;300,"Medium","Low"))</f>
        <v>Low</v>
      </c>
      <c r="M15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75" spans="1:13" x14ac:dyDescent="0.25">
      <c r="A1575">
        <v>10864</v>
      </c>
      <c r="B1575">
        <v>35</v>
      </c>
      <c r="C1575" s="6" t="s">
        <v>24</v>
      </c>
      <c r="D1575">
        <v>4</v>
      </c>
      <c r="E1575" s="6" t="s">
        <v>6</v>
      </c>
      <c r="F1575" t="str">
        <f>_xlfn.XLOOKUP(northwind_order_details[[#This Row],[order_id]],northwind_orders[order_id],northwind_orders[ship_country])</f>
        <v>UK</v>
      </c>
      <c r="G1575">
        <f>INDEX(northwind_orders[],MATCH(northwind_order_details[[#This Row],[order_id]], northwind_orders[order_id], 0), MATCH("employee_id", northwind_orders[#Headers], 0))</f>
        <v>4</v>
      </c>
      <c r="H1575">
        <f>northwind_order_details[[#This Row],[unit_price]]*northwind_order_details[[#This Row],[quantity]]</f>
        <v>72</v>
      </c>
      <c r="I1575" s="1">
        <f>northwind_order_details[[#This Row],[purchase amount]]*northwind_order_details[[#This Row],[discount]]</f>
        <v>0</v>
      </c>
      <c r="J1575" s="1">
        <f>northwind_order_details[[#This Row],[purchase amount]]-northwind_order_details[[#This Row],[discount amount]]</f>
        <v>72</v>
      </c>
      <c r="K1575" s="6" t="str">
        <f>IF(northwind_order_details[[#This Row],[discount amount]]&gt;0,"Yes","No")</f>
        <v>No</v>
      </c>
      <c r="L1575" s="1" t="str">
        <f>IF(northwind_order_details[[#This Row],[Revenue]]&gt;1000,"High",IF(northwind_order_details[[#This Row],[Revenue]]&gt;300,"Medium","Low"))</f>
        <v>Low</v>
      </c>
      <c r="M15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6" spans="1:13" x14ac:dyDescent="0.25">
      <c r="A1576">
        <v>10864</v>
      </c>
      <c r="B1576">
        <v>67</v>
      </c>
      <c r="C1576" s="6" t="s">
        <v>5</v>
      </c>
      <c r="D1576">
        <v>15</v>
      </c>
      <c r="E1576" s="6" t="s">
        <v>6</v>
      </c>
      <c r="F1576" t="str">
        <f>_xlfn.XLOOKUP(northwind_order_details[[#This Row],[order_id]],northwind_orders[order_id],northwind_orders[ship_country])</f>
        <v>UK</v>
      </c>
      <c r="G1576">
        <f>INDEX(northwind_orders[],MATCH(northwind_order_details[[#This Row],[order_id]], northwind_orders[order_id], 0), MATCH("employee_id", northwind_orders[#Headers], 0))</f>
        <v>4</v>
      </c>
      <c r="H1576">
        <f>northwind_order_details[[#This Row],[unit_price]]*northwind_order_details[[#This Row],[quantity]]</f>
        <v>210</v>
      </c>
      <c r="I1576" s="1">
        <f>northwind_order_details[[#This Row],[purchase amount]]*northwind_order_details[[#This Row],[discount]]</f>
        <v>0</v>
      </c>
      <c r="J1576" s="1">
        <f>northwind_order_details[[#This Row],[purchase amount]]-northwind_order_details[[#This Row],[discount amount]]</f>
        <v>210</v>
      </c>
      <c r="K1576" s="6" t="str">
        <f>IF(northwind_order_details[[#This Row],[discount amount]]&gt;0,"Yes","No")</f>
        <v>No</v>
      </c>
      <c r="L1576" s="1" t="str">
        <f>IF(northwind_order_details[[#This Row],[Revenue]]&gt;1000,"High",IF(northwind_order_details[[#This Row],[Revenue]]&gt;300,"Medium","Low"))</f>
        <v>Low</v>
      </c>
      <c r="M15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7" spans="1:13" x14ac:dyDescent="0.25">
      <c r="A1577">
        <v>10865</v>
      </c>
      <c r="B1577">
        <v>38</v>
      </c>
      <c r="C1577" s="6">
        <v>263.5</v>
      </c>
      <c r="D1577">
        <v>60</v>
      </c>
      <c r="E1577" s="6">
        <v>0.05</v>
      </c>
      <c r="F1577" t="str">
        <f>_xlfn.XLOOKUP(northwind_order_details[[#This Row],[order_id]],northwind_orders[order_id],northwind_orders[ship_country])</f>
        <v>Germany</v>
      </c>
      <c r="G1577">
        <f>INDEX(northwind_orders[],MATCH(northwind_order_details[[#This Row],[order_id]], northwind_orders[order_id], 0), MATCH("employee_id", northwind_orders[#Headers], 0))</f>
        <v>2</v>
      </c>
      <c r="H1577">
        <f>northwind_order_details[[#This Row],[unit_price]]*northwind_order_details[[#This Row],[quantity]]</f>
        <v>15810</v>
      </c>
      <c r="I1577" s="1">
        <f>northwind_order_details[[#This Row],[purchase amount]]*northwind_order_details[[#This Row],[discount]]</f>
        <v>790.5</v>
      </c>
      <c r="J1577" s="1">
        <f>northwind_order_details[[#This Row],[purchase amount]]-northwind_order_details[[#This Row],[discount amount]]</f>
        <v>15019.5</v>
      </c>
      <c r="K1577" s="6" t="str">
        <f>IF(northwind_order_details[[#This Row],[discount amount]]&gt;0,"Yes","No")</f>
        <v>Yes</v>
      </c>
      <c r="L1577" s="1" t="str">
        <f>IF(northwind_order_details[[#This Row],[Revenue]]&gt;1000,"High",IF(northwind_order_details[[#This Row],[Revenue]]&gt;300,"Medium","Low"))</f>
        <v>High</v>
      </c>
      <c r="M15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78" spans="1:13" x14ac:dyDescent="0.25">
      <c r="A1578">
        <v>10865</v>
      </c>
      <c r="B1578">
        <v>39</v>
      </c>
      <c r="C1578" s="6" t="s">
        <v>24</v>
      </c>
      <c r="D1578">
        <v>80</v>
      </c>
      <c r="E1578" s="6">
        <v>0.05</v>
      </c>
      <c r="F1578" t="str">
        <f>_xlfn.XLOOKUP(northwind_order_details[[#This Row],[order_id]],northwind_orders[order_id],northwind_orders[ship_country])</f>
        <v>Germany</v>
      </c>
      <c r="G1578">
        <f>INDEX(northwind_orders[],MATCH(northwind_order_details[[#This Row],[order_id]], northwind_orders[order_id], 0), MATCH("employee_id", northwind_orders[#Headers], 0))</f>
        <v>2</v>
      </c>
      <c r="H1578">
        <f>northwind_order_details[[#This Row],[unit_price]]*northwind_order_details[[#This Row],[quantity]]</f>
        <v>1440</v>
      </c>
      <c r="I1578" s="1">
        <f>northwind_order_details[[#This Row],[purchase amount]]*northwind_order_details[[#This Row],[discount]]</f>
        <v>72</v>
      </c>
      <c r="J1578" s="1">
        <f>northwind_order_details[[#This Row],[purchase amount]]-northwind_order_details[[#This Row],[discount amount]]</f>
        <v>1368</v>
      </c>
      <c r="K1578" s="6" t="str">
        <f>IF(northwind_order_details[[#This Row],[discount amount]]&gt;0,"Yes","No")</f>
        <v>Yes</v>
      </c>
      <c r="L1578" s="1" t="str">
        <f>IF(northwind_order_details[[#This Row],[Revenue]]&gt;1000,"High",IF(northwind_order_details[[#This Row],[Revenue]]&gt;300,"Medium","Low"))</f>
        <v>High</v>
      </c>
      <c r="M15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79" spans="1:13" x14ac:dyDescent="0.25">
      <c r="A1579">
        <v>10866</v>
      </c>
      <c r="B1579">
        <v>2</v>
      </c>
      <c r="C1579" s="6" t="s">
        <v>20</v>
      </c>
      <c r="D1579">
        <v>21</v>
      </c>
      <c r="E1579" s="6">
        <v>0.25</v>
      </c>
      <c r="F1579" t="str">
        <f>_xlfn.XLOOKUP(northwind_order_details[[#This Row],[order_id]],northwind_orders[order_id],northwind_orders[ship_country])</f>
        <v>Sweden</v>
      </c>
      <c r="G1579">
        <f>INDEX(northwind_orders[],MATCH(northwind_order_details[[#This Row],[order_id]], northwind_orders[order_id], 0), MATCH("employee_id", northwind_orders[#Headers], 0))</f>
        <v>5</v>
      </c>
      <c r="H1579">
        <f>northwind_order_details[[#This Row],[unit_price]]*northwind_order_details[[#This Row],[quantity]]</f>
        <v>399</v>
      </c>
      <c r="I1579" s="1">
        <f>northwind_order_details[[#This Row],[purchase amount]]*northwind_order_details[[#This Row],[discount]]</f>
        <v>99.75</v>
      </c>
      <c r="J1579" s="1">
        <f>northwind_order_details[[#This Row],[purchase amount]]-northwind_order_details[[#This Row],[discount amount]]</f>
        <v>299.25</v>
      </c>
      <c r="K1579" s="6" t="str">
        <f>IF(northwind_order_details[[#This Row],[discount amount]]&gt;0,"Yes","No")</f>
        <v>Yes</v>
      </c>
      <c r="L1579" s="1" t="str">
        <f>IF(northwind_order_details[[#This Row],[Revenue]]&gt;1000,"High",IF(northwind_order_details[[#This Row],[Revenue]]&gt;300,"Medium","Low"))</f>
        <v>Low</v>
      </c>
      <c r="M15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0" spans="1:13" x14ac:dyDescent="0.25">
      <c r="A1580">
        <v>10866</v>
      </c>
      <c r="B1580">
        <v>24</v>
      </c>
      <c r="C1580" s="6">
        <v>4.5</v>
      </c>
      <c r="D1580">
        <v>6</v>
      </c>
      <c r="E1580" s="6">
        <v>0.25</v>
      </c>
      <c r="F1580" t="str">
        <f>_xlfn.XLOOKUP(northwind_order_details[[#This Row],[order_id]],northwind_orders[order_id],northwind_orders[ship_country])</f>
        <v>Sweden</v>
      </c>
      <c r="G1580">
        <f>INDEX(northwind_orders[],MATCH(northwind_order_details[[#This Row],[order_id]], northwind_orders[order_id], 0), MATCH("employee_id", northwind_orders[#Headers], 0))</f>
        <v>5</v>
      </c>
      <c r="H1580">
        <f>northwind_order_details[[#This Row],[unit_price]]*northwind_order_details[[#This Row],[quantity]]</f>
        <v>27</v>
      </c>
      <c r="I1580" s="1">
        <f>northwind_order_details[[#This Row],[purchase amount]]*northwind_order_details[[#This Row],[discount]]</f>
        <v>6.75</v>
      </c>
      <c r="J1580" s="1">
        <f>northwind_order_details[[#This Row],[purchase amount]]-northwind_order_details[[#This Row],[discount amount]]</f>
        <v>20.25</v>
      </c>
      <c r="K1580" s="6" t="str">
        <f>IF(northwind_order_details[[#This Row],[discount amount]]&gt;0,"Yes","No")</f>
        <v>Yes</v>
      </c>
      <c r="L1580" s="1" t="str">
        <f>IF(northwind_order_details[[#This Row],[Revenue]]&gt;1000,"High",IF(northwind_order_details[[#This Row],[Revenue]]&gt;300,"Medium","Low"))</f>
        <v>Low</v>
      </c>
      <c r="M158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81" spans="1:13" x14ac:dyDescent="0.25">
      <c r="A1581">
        <v>10866</v>
      </c>
      <c r="B1581">
        <v>30</v>
      </c>
      <c r="C1581" s="6">
        <v>25.89</v>
      </c>
      <c r="D1581">
        <v>40</v>
      </c>
      <c r="E1581" s="6">
        <v>0.25</v>
      </c>
      <c r="F1581" t="str">
        <f>_xlfn.XLOOKUP(northwind_order_details[[#This Row],[order_id]],northwind_orders[order_id],northwind_orders[ship_country])</f>
        <v>Sweden</v>
      </c>
      <c r="G1581">
        <f>INDEX(northwind_orders[],MATCH(northwind_order_details[[#This Row],[order_id]], northwind_orders[order_id], 0), MATCH("employee_id", northwind_orders[#Headers], 0))</f>
        <v>5</v>
      </c>
      <c r="H1581">
        <f>northwind_order_details[[#This Row],[unit_price]]*northwind_order_details[[#This Row],[quantity]]</f>
        <v>1035.5999999999999</v>
      </c>
      <c r="I1581" s="1">
        <f>northwind_order_details[[#This Row],[purchase amount]]*northwind_order_details[[#This Row],[discount]]</f>
        <v>258.89999999999998</v>
      </c>
      <c r="J1581" s="1">
        <f>northwind_order_details[[#This Row],[purchase amount]]-northwind_order_details[[#This Row],[discount amount]]</f>
        <v>776.69999999999993</v>
      </c>
      <c r="K1581" s="6" t="str">
        <f>IF(northwind_order_details[[#This Row],[discount amount]]&gt;0,"Yes","No")</f>
        <v>Yes</v>
      </c>
      <c r="L1581" s="1" t="str">
        <f>IF(northwind_order_details[[#This Row],[Revenue]]&gt;1000,"High",IF(northwind_order_details[[#This Row],[Revenue]]&gt;300,"Medium","Low"))</f>
        <v>Medium</v>
      </c>
      <c r="M158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82" spans="1:13" x14ac:dyDescent="0.25">
      <c r="A1582">
        <v>10867</v>
      </c>
      <c r="B1582">
        <v>53</v>
      </c>
      <c r="C1582" s="6">
        <v>32.799999999999997</v>
      </c>
      <c r="D1582">
        <v>3</v>
      </c>
      <c r="E1582" s="6" t="s">
        <v>6</v>
      </c>
      <c r="F1582" t="str">
        <f>_xlfn.XLOOKUP(northwind_order_details[[#This Row],[order_id]],northwind_orders[order_id],northwind_orders[ship_country])</f>
        <v>USA</v>
      </c>
      <c r="G1582">
        <f>INDEX(northwind_orders[],MATCH(northwind_order_details[[#This Row],[order_id]], northwind_orders[order_id], 0), MATCH("employee_id", northwind_orders[#Headers], 0))</f>
        <v>6</v>
      </c>
      <c r="H1582">
        <f>northwind_order_details[[#This Row],[unit_price]]*northwind_order_details[[#This Row],[quantity]]</f>
        <v>98.399999999999991</v>
      </c>
      <c r="I1582" s="1">
        <f>northwind_order_details[[#This Row],[purchase amount]]*northwind_order_details[[#This Row],[discount]]</f>
        <v>0</v>
      </c>
      <c r="J1582" s="1">
        <f>northwind_order_details[[#This Row],[purchase amount]]-northwind_order_details[[#This Row],[discount amount]]</f>
        <v>98.399999999999991</v>
      </c>
      <c r="K1582" s="6" t="str">
        <f>IF(northwind_order_details[[#This Row],[discount amount]]&gt;0,"Yes","No")</f>
        <v>No</v>
      </c>
      <c r="L1582" s="1" t="str">
        <f>IF(northwind_order_details[[#This Row],[Revenue]]&gt;1000,"High",IF(northwind_order_details[[#This Row],[Revenue]]&gt;300,"Medium","Low"))</f>
        <v>Low</v>
      </c>
      <c r="M15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83" spans="1:13" x14ac:dyDescent="0.25">
      <c r="A1583">
        <v>10868</v>
      </c>
      <c r="B1583">
        <v>26</v>
      </c>
      <c r="C1583" s="6">
        <v>31.23</v>
      </c>
      <c r="D1583">
        <v>20</v>
      </c>
      <c r="E1583" s="6" t="s">
        <v>6</v>
      </c>
      <c r="F1583" t="str">
        <f>_xlfn.XLOOKUP(northwind_order_details[[#This Row],[order_id]],northwind_orders[order_id],northwind_orders[ship_country])</f>
        <v>Brazil</v>
      </c>
      <c r="G1583">
        <f>INDEX(northwind_orders[],MATCH(northwind_order_details[[#This Row],[order_id]], northwind_orders[order_id], 0), MATCH("employee_id", northwind_orders[#Headers], 0))</f>
        <v>7</v>
      </c>
      <c r="H1583">
        <f>northwind_order_details[[#This Row],[unit_price]]*northwind_order_details[[#This Row],[quantity]]</f>
        <v>624.6</v>
      </c>
      <c r="I1583" s="1">
        <f>northwind_order_details[[#This Row],[purchase amount]]*northwind_order_details[[#This Row],[discount]]</f>
        <v>0</v>
      </c>
      <c r="J1583" s="1">
        <f>northwind_order_details[[#This Row],[purchase amount]]-northwind_order_details[[#This Row],[discount amount]]</f>
        <v>624.6</v>
      </c>
      <c r="K1583" s="6" t="str">
        <f>IF(northwind_order_details[[#This Row],[discount amount]]&gt;0,"Yes","No")</f>
        <v>No</v>
      </c>
      <c r="L1583" s="1" t="str">
        <f>IF(northwind_order_details[[#This Row],[Revenue]]&gt;1000,"High",IF(northwind_order_details[[#This Row],[Revenue]]&gt;300,"Medium","Low"))</f>
        <v>Medium</v>
      </c>
      <c r="M15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84" spans="1:13" x14ac:dyDescent="0.25">
      <c r="A1584">
        <v>10868</v>
      </c>
      <c r="B1584">
        <v>35</v>
      </c>
      <c r="C1584" s="6" t="s">
        <v>24</v>
      </c>
      <c r="D1584">
        <v>30</v>
      </c>
      <c r="E1584" s="6" t="s">
        <v>6</v>
      </c>
      <c r="F1584" t="str">
        <f>_xlfn.XLOOKUP(northwind_order_details[[#This Row],[order_id]],northwind_orders[order_id],northwind_orders[ship_country])</f>
        <v>Brazil</v>
      </c>
      <c r="G1584">
        <f>INDEX(northwind_orders[],MATCH(northwind_order_details[[#This Row],[order_id]], northwind_orders[order_id], 0), MATCH("employee_id", northwind_orders[#Headers], 0))</f>
        <v>7</v>
      </c>
      <c r="H1584">
        <f>northwind_order_details[[#This Row],[unit_price]]*northwind_order_details[[#This Row],[quantity]]</f>
        <v>540</v>
      </c>
      <c r="I1584" s="1">
        <f>northwind_order_details[[#This Row],[purchase amount]]*northwind_order_details[[#This Row],[discount]]</f>
        <v>0</v>
      </c>
      <c r="J1584" s="1">
        <f>northwind_order_details[[#This Row],[purchase amount]]-northwind_order_details[[#This Row],[discount amount]]</f>
        <v>540</v>
      </c>
      <c r="K1584" s="6" t="str">
        <f>IF(northwind_order_details[[#This Row],[discount amount]]&gt;0,"Yes","No")</f>
        <v>No</v>
      </c>
      <c r="L1584" s="1" t="str">
        <f>IF(northwind_order_details[[#This Row],[Revenue]]&gt;1000,"High",IF(northwind_order_details[[#This Row],[Revenue]]&gt;300,"Medium","Low"))</f>
        <v>Medium</v>
      </c>
      <c r="M15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5" spans="1:13" x14ac:dyDescent="0.25">
      <c r="A1585">
        <v>10868</v>
      </c>
      <c r="B1585">
        <v>49</v>
      </c>
      <c r="C1585" s="6" t="s">
        <v>17</v>
      </c>
      <c r="D1585">
        <v>42</v>
      </c>
      <c r="E1585" s="6">
        <v>0.1</v>
      </c>
      <c r="F1585" t="str">
        <f>_xlfn.XLOOKUP(northwind_order_details[[#This Row],[order_id]],northwind_orders[order_id],northwind_orders[ship_country])</f>
        <v>Brazil</v>
      </c>
      <c r="G1585">
        <f>INDEX(northwind_orders[],MATCH(northwind_order_details[[#This Row],[order_id]], northwind_orders[order_id], 0), MATCH("employee_id", northwind_orders[#Headers], 0))</f>
        <v>7</v>
      </c>
      <c r="H1585">
        <f>northwind_order_details[[#This Row],[unit_price]]*northwind_order_details[[#This Row],[quantity]]</f>
        <v>840</v>
      </c>
      <c r="I1585" s="1">
        <f>northwind_order_details[[#This Row],[purchase amount]]*northwind_order_details[[#This Row],[discount]]</f>
        <v>84</v>
      </c>
      <c r="J1585" s="1">
        <f>northwind_order_details[[#This Row],[purchase amount]]-northwind_order_details[[#This Row],[discount amount]]</f>
        <v>756</v>
      </c>
      <c r="K1585" s="6" t="str">
        <f>IF(northwind_order_details[[#This Row],[discount amount]]&gt;0,"Yes","No")</f>
        <v>Yes</v>
      </c>
      <c r="L1585" s="1" t="str">
        <f>IF(northwind_order_details[[#This Row],[Revenue]]&gt;1000,"High",IF(northwind_order_details[[#This Row],[Revenue]]&gt;300,"Medium","Low"))</f>
        <v>Medium</v>
      </c>
      <c r="M15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6" spans="1:13" x14ac:dyDescent="0.25">
      <c r="A1586">
        <v>10869</v>
      </c>
      <c r="B1586">
        <v>1</v>
      </c>
      <c r="C1586" s="6" t="s">
        <v>24</v>
      </c>
      <c r="D1586">
        <v>40</v>
      </c>
      <c r="E1586" s="6" t="s">
        <v>6</v>
      </c>
      <c r="F1586" t="str">
        <f>_xlfn.XLOOKUP(northwind_order_details[[#This Row],[order_id]],northwind_orders[order_id],northwind_orders[ship_country])</f>
        <v>UK</v>
      </c>
      <c r="G1586">
        <f>INDEX(northwind_orders[],MATCH(northwind_order_details[[#This Row],[order_id]], northwind_orders[order_id], 0), MATCH("employee_id", northwind_orders[#Headers], 0))</f>
        <v>5</v>
      </c>
      <c r="H1586">
        <f>northwind_order_details[[#This Row],[unit_price]]*northwind_order_details[[#This Row],[quantity]]</f>
        <v>720</v>
      </c>
      <c r="I1586" s="1">
        <f>northwind_order_details[[#This Row],[purchase amount]]*northwind_order_details[[#This Row],[discount]]</f>
        <v>0</v>
      </c>
      <c r="J1586" s="1">
        <f>northwind_order_details[[#This Row],[purchase amount]]-northwind_order_details[[#This Row],[discount amount]]</f>
        <v>720</v>
      </c>
      <c r="K1586" s="6" t="str">
        <f>IF(northwind_order_details[[#This Row],[discount amount]]&gt;0,"Yes","No")</f>
        <v>No</v>
      </c>
      <c r="L1586" s="1" t="str">
        <f>IF(northwind_order_details[[#This Row],[Revenue]]&gt;1000,"High",IF(northwind_order_details[[#This Row],[Revenue]]&gt;300,"Medium","Low"))</f>
        <v>Medium</v>
      </c>
      <c r="M158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7" spans="1:13" x14ac:dyDescent="0.25">
      <c r="A1587">
        <v>10869</v>
      </c>
      <c r="B1587">
        <v>11</v>
      </c>
      <c r="C1587" s="6" t="s">
        <v>37</v>
      </c>
      <c r="D1587">
        <v>10</v>
      </c>
      <c r="E1587" s="6" t="s">
        <v>6</v>
      </c>
      <c r="F1587" t="str">
        <f>_xlfn.XLOOKUP(northwind_order_details[[#This Row],[order_id]],northwind_orders[order_id],northwind_orders[ship_country])</f>
        <v>UK</v>
      </c>
      <c r="G1587">
        <f>INDEX(northwind_orders[],MATCH(northwind_order_details[[#This Row],[order_id]], northwind_orders[order_id], 0), MATCH("employee_id", northwind_orders[#Headers], 0))</f>
        <v>5</v>
      </c>
      <c r="H1587">
        <f>northwind_order_details[[#This Row],[unit_price]]*northwind_order_details[[#This Row],[quantity]]</f>
        <v>210</v>
      </c>
      <c r="I1587" s="1">
        <f>northwind_order_details[[#This Row],[purchase amount]]*northwind_order_details[[#This Row],[discount]]</f>
        <v>0</v>
      </c>
      <c r="J1587" s="1">
        <f>northwind_order_details[[#This Row],[purchase amount]]-northwind_order_details[[#This Row],[discount amount]]</f>
        <v>210</v>
      </c>
      <c r="K1587" s="6" t="str">
        <f>IF(northwind_order_details[[#This Row],[discount amount]]&gt;0,"Yes","No")</f>
        <v>No</v>
      </c>
      <c r="L1587" s="1" t="str">
        <f>IF(northwind_order_details[[#This Row],[Revenue]]&gt;1000,"High",IF(northwind_order_details[[#This Row],[Revenue]]&gt;300,"Medium","Low"))</f>
        <v>Low</v>
      </c>
      <c r="M15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8" spans="1:13" x14ac:dyDescent="0.25">
      <c r="A1588">
        <v>10869</v>
      </c>
      <c r="B1588">
        <v>23</v>
      </c>
      <c r="C1588" s="6" t="s">
        <v>40</v>
      </c>
      <c r="D1588">
        <v>50</v>
      </c>
      <c r="E1588" s="6" t="s">
        <v>6</v>
      </c>
      <c r="F1588" t="str">
        <f>_xlfn.XLOOKUP(northwind_order_details[[#This Row],[order_id]],northwind_orders[order_id],northwind_orders[ship_country])</f>
        <v>UK</v>
      </c>
      <c r="G1588">
        <f>INDEX(northwind_orders[],MATCH(northwind_order_details[[#This Row],[order_id]], northwind_orders[order_id], 0), MATCH("employee_id", northwind_orders[#Headers], 0))</f>
        <v>5</v>
      </c>
      <c r="H1588">
        <f>northwind_order_details[[#This Row],[unit_price]]*northwind_order_details[[#This Row],[quantity]]</f>
        <v>450</v>
      </c>
      <c r="I1588" s="1">
        <f>northwind_order_details[[#This Row],[purchase amount]]*northwind_order_details[[#This Row],[discount]]</f>
        <v>0</v>
      </c>
      <c r="J1588" s="1">
        <f>northwind_order_details[[#This Row],[purchase amount]]-northwind_order_details[[#This Row],[discount amount]]</f>
        <v>450</v>
      </c>
      <c r="K1588" s="6" t="str">
        <f>IF(northwind_order_details[[#This Row],[discount amount]]&gt;0,"Yes","No")</f>
        <v>No</v>
      </c>
      <c r="L1588" s="1" t="str">
        <f>IF(northwind_order_details[[#This Row],[Revenue]]&gt;1000,"High",IF(northwind_order_details[[#This Row],[Revenue]]&gt;300,"Medium","Low"))</f>
        <v>Medium</v>
      </c>
      <c r="M15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89" spans="1:13" x14ac:dyDescent="0.25">
      <c r="A1589">
        <v>10869</v>
      </c>
      <c r="B1589">
        <v>68</v>
      </c>
      <c r="C1589" s="6">
        <v>12.5</v>
      </c>
      <c r="D1589">
        <v>20</v>
      </c>
      <c r="E1589" s="6" t="s">
        <v>6</v>
      </c>
      <c r="F1589" t="str">
        <f>_xlfn.XLOOKUP(northwind_order_details[[#This Row],[order_id]],northwind_orders[order_id],northwind_orders[ship_country])</f>
        <v>UK</v>
      </c>
      <c r="G1589">
        <f>INDEX(northwind_orders[],MATCH(northwind_order_details[[#This Row],[order_id]], northwind_orders[order_id], 0), MATCH("employee_id", northwind_orders[#Headers], 0))</f>
        <v>5</v>
      </c>
      <c r="H1589">
        <f>northwind_order_details[[#This Row],[unit_price]]*northwind_order_details[[#This Row],[quantity]]</f>
        <v>250</v>
      </c>
      <c r="I1589" s="1">
        <f>northwind_order_details[[#This Row],[purchase amount]]*northwind_order_details[[#This Row],[discount]]</f>
        <v>0</v>
      </c>
      <c r="J1589" s="1">
        <f>northwind_order_details[[#This Row],[purchase amount]]-northwind_order_details[[#This Row],[discount amount]]</f>
        <v>250</v>
      </c>
      <c r="K1589" s="6" t="str">
        <f>IF(northwind_order_details[[#This Row],[discount amount]]&gt;0,"Yes","No")</f>
        <v>No</v>
      </c>
      <c r="L1589" s="1" t="str">
        <f>IF(northwind_order_details[[#This Row],[Revenue]]&gt;1000,"High",IF(northwind_order_details[[#This Row],[Revenue]]&gt;300,"Medium","Low"))</f>
        <v>Low</v>
      </c>
      <c r="M158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90" spans="1:13" x14ac:dyDescent="0.25">
      <c r="A1590">
        <v>10870</v>
      </c>
      <c r="B1590">
        <v>35</v>
      </c>
      <c r="C1590" s="6" t="s">
        <v>24</v>
      </c>
      <c r="D1590">
        <v>3</v>
      </c>
      <c r="E1590" s="6" t="s">
        <v>6</v>
      </c>
      <c r="F1590" t="str">
        <f>_xlfn.XLOOKUP(northwind_order_details[[#This Row],[order_id]],northwind_orders[order_id],northwind_orders[ship_country])</f>
        <v>Poland</v>
      </c>
      <c r="G1590">
        <f>INDEX(northwind_orders[],MATCH(northwind_order_details[[#This Row],[order_id]], northwind_orders[order_id], 0), MATCH("employee_id", northwind_orders[#Headers], 0))</f>
        <v>5</v>
      </c>
      <c r="H1590">
        <f>northwind_order_details[[#This Row],[unit_price]]*northwind_order_details[[#This Row],[quantity]]</f>
        <v>54</v>
      </c>
      <c r="I1590" s="1">
        <f>northwind_order_details[[#This Row],[purchase amount]]*northwind_order_details[[#This Row],[discount]]</f>
        <v>0</v>
      </c>
      <c r="J1590" s="1">
        <f>northwind_order_details[[#This Row],[purchase amount]]-northwind_order_details[[#This Row],[discount amount]]</f>
        <v>54</v>
      </c>
      <c r="K1590" s="6" t="str">
        <f>IF(northwind_order_details[[#This Row],[discount amount]]&gt;0,"Yes","No")</f>
        <v>No</v>
      </c>
      <c r="L1590" s="1" t="str">
        <f>IF(northwind_order_details[[#This Row],[Revenue]]&gt;1000,"High",IF(northwind_order_details[[#This Row],[Revenue]]&gt;300,"Medium","Low"))</f>
        <v>Low</v>
      </c>
      <c r="M15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91" spans="1:13" x14ac:dyDescent="0.25">
      <c r="A1591">
        <v>10870</v>
      </c>
      <c r="B1591">
        <v>51</v>
      </c>
      <c r="C1591" s="6" t="s">
        <v>39</v>
      </c>
      <c r="D1591">
        <v>2</v>
      </c>
      <c r="E1591" s="6" t="s">
        <v>6</v>
      </c>
      <c r="F1591" t="str">
        <f>_xlfn.XLOOKUP(northwind_order_details[[#This Row],[order_id]],northwind_orders[order_id],northwind_orders[ship_country])</f>
        <v>Poland</v>
      </c>
      <c r="G1591">
        <f>INDEX(northwind_orders[],MATCH(northwind_order_details[[#This Row],[order_id]], northwind_orders[order_id], 0), MATCH("employee_id", northwind_orders[#Headers], 0))</f>
        <v>5</v>
      </c>
      <c r="H1591">
        <f>northwind_order_details[[#This Row],[unit_price]]*northwind_order_details[[#This Row],[quantity]]</f>
        <v>106</v>
      </c>
      <c r="I1591" s="1">
        <f>northwind_order_details[[#This Row],[purchase amount]]*northwind_order_details[[#This Row],[discount]]</f>
        <v>0</v>
      </c>
      <c r="J1591" s="1">
        <f>northwind_order_details[[#This Row],[purchase amount]]-northwind_order_details[[#This Row],[discount amount]]</f>
        <v>106</v>
      </c>
      <c r="K1591" s="6" t="str">
        <f>IF(northwind_order_details[[#This Row],[discount amount]]&gt;0,"Yes","No")</f>
        <v>No</v>
      </c>
      <c r="L1591" s="1" t="str">
        <f>IF(northwind_order_details[[#This Row],[Revenue]]&gt;1000,"High",IF(northwind_order_details[[#This Row],[Revenue]]&gt;300,"Medium","Low"))</f>
        <v>Low</v>
      </c>
      <c r="M15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92" spans="1:13" x14ac:dyDescent="0.25">
      <c r="A1592">
        <v>10871</v>
      </c>
      <c r="B1592">
        <v>6</v>
      </c>
      <c r="C1592" s="6" t="s">
        <v>41</v>
      </c>
      <c r="D1592">
        <v>50</v>
      </c>
      <c r="E1592" s="6">
        <v>0.05</v>
      </c>
      <c r="F1592" t="str">
        <f>_xlfn.XLOOKUP(northwind_order_details[[#This Row],[order_id]],northwind_orders[order_id],northwind_orders[ship_country])</f>
        <v>France</v>
      </c>
      <c r="G1592">
        <f>INDEX(northwind_orders[],MATCH(northwind_order_details[[#This Row],[order_id]], northwind_orders[order_id], 0), MATCH("employee_id", northwind_orders[#Headers], 0))</f>
        <v>9</v>
      </c>
      <c r="H1592">
        <f>northwind_order_details[[#This Row],[unit_price]]*northwind_order_details[[#This Row],[quantity]]</f>
        <v>1250</v>
      </c>
      <c r="I1592" s="1">
        <f>northwind_order_details[[#This Row],[purchase amount]]*northwind_order_details[[#This Row],[discount]]</f>
        <v>62.5</v>
      </c>
      <c r="J1592" s="1">
        <f>northwind_order_details[[#This Row],[purchase amount]]-northwind_order_details[[#This Row],[discount amount]]</f>
        <v>1187.5</v>
      </c>
      <c r="K1592" s="6" t="str">
        <f>IF(northwind_order_details[[#This Row],[discount amount]]&gt;0,"Yes","No")</f>
        <v>Yes</v>
      </c>
      <c r="L1592" s="1" t="str">
        <f>IF(northwind_order_details[[#This Row],[Revenue]]&gt;1000,"High",IF(northwind_order_details[[#This Row],[Revenue]]&gt;300,"Medium","Low"))</f>
        <v>High</v>
      </c>
      <c r="M15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93" spans="1:13" x14ac:dyDescent="0.25">
      <c r="A1593">
        <v>10871</v>
      </c>
      <c r="B1593">
        <v>16</v>
      </c>
      <c r="C1593" s="6">
        <v>17.45</v>
      </c>
      <c r="D1593">
        <v>12</v>
      </c>
      <c r="E1593" s="6">
        <v>0.05</v>
      </c>
      <c r="F1593" t="str">
        <f>_xlfn.XLOOKUP(northwind_order_details[[#This Row],[order_id]],northwind_orders[order_id],northwind_orders[ship_country])</f>
        <v>France</v>
      </c>
      <c r="G1593">
        <f>INDEX(northwind_orders[],MATCH(northwind_order_details[[#This Row],[order_id]], northwind_orders[order_id], 0), MATCH("employee_id", northwind_orders[#Headers], 0))</f>
        <v>9</v>
      </c>
      <c r="H1593">
        <f>northwind_order_details[[#This Row],[unit_price]]*northwind_order_details[[#This Row],[quantity]]</f>
        <v>209.39999999999998</v>
      </c>
      <c r="I1593" s="1">
        <f>northwind_order_details[[#This Row],[purchase amount]]*northwind_order_details[[#This Row],[discount]]</f>
        <v>10.469999999999999</v>
      </c>
      <c r="J1593" s="1">
        <f>northwind_order_details[[#This Row],[purchase amount]]-northwind_order_details[[#This Row],[discount amount]]</f>
        <v>198.92999999999998</v>
      </c>
      <c r="K1593" s="6" t="str">
        <f>IF(northwind_order_details[[#This Row],[discount amount]]&gt;0,"Yes","No")</f>
        <v>Yes</v>
      </c>
      <c r="L1593" s="1" t="str">
        <f>IF(northwind_order_details[[#This Row],[Revenue]]&gt;1000,"High",IF(northwind_order_details[[#This Row],[Revenue]]&gt;300,"Medium","Low"))</f>
        <v>Low</v>
      </c>
      <c r="M15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94" spans="1:13" x14ac:dyDescent="0.25">
      <c r="A1594">
        <v>10871</v>
      </c>
      <c r="B1594">
        <v>17</v>
      </c>
      <c r="C1594" s="6" t="s">
        <v>35</v>
      </c>
      <c r="D1594">
        <v>16</v>
      </c>
      <c r="E1594" s="6">
        <v>0.05</v>
      </c>
      <c r="F1594" t="str">
        <f>_xlfn.XLOOKUP(northwind_order_details[[#This Row],[order_id]],northwind_orders[order_id],northwind_orders[ship_country])</f>
        <v>France</v>
      </c>
      <c r="G1594">
        <f>INDEX(northwind_orders[],MATCH(northwind_order_details[[#This Row],[order_id]], northwind_orders[order_id], 0), MATCH("employee_id", northwind_orders[#Headers], 0))</f>
        <v>9</v>
      </c>
      <c r="H1594">
        <f>northwind_order_details[[#This Row],[unit_price]]*northwind_order_details[[#This Row],[quantity]]</f>
        <v>624</v>
      </c>
      <c r="I1594" s="1">
        <f>northwind_order_details[[#This Row],[purchase amount]]*northwind_order_details[[#This Row],[discount]]</f>
        <v>31.200000000000003</v>
      </c>
      <c r="J1594" s="1">
        <f>northwind_order_details[[#This Row],[purchase amount]]-northwind_order_details[[#This Row],[discount amount]]</f>
        <v>592.79999999999995</v>
      </c>
      <c r="K1594" s="6" t="str">
        <f>IF(northwind_order_details[[#This Row],[discount amount]]&gt;0,"Yes","No")</f>
        <v>Yes</v>
      </c>
      <c r="L1594" s="1" t="str">
        <f>IF(northwind_order_details[[#This Row],[Revenue]]&gt;1000,"High",IF(northwind_order_details[[#This Row],[Revenue]]&gt;300,"Medium","Low"))</f>
        <v>Medium</v>
      </c>
      <c r="M15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95" spans="1:13" x14ac:dyDescent="0.25">
      <c r="A1595">
        <v>10872</v>
      </c>
      <c r="B1595">
        <v>55</v>
      </c>
      <c r="C1595" s="6" t="s">
        <v>14</v>
      </c>
      <c r="D1595">
        <v>10</v>
      </c>
      <c r="E1595" s="6">
        <v>0.05</v>
      </c>
      <c r="F1595" t="str">
        <f>_xlfn.XLOOKUP(northwind_order_details[[#This Row],[order_id]],northwind_orders[order_id],northwind_orders[ship_country])</f>
        <v>Spain</v>
      </c>
      <c r="G1595">
        <f>INDEX(northwind_orders[],MATCH(northwind_order_details[[#This Row],[order_id]], northwind_orders[order_id], 0), MATCH("employee_id", northwind_orders[#Headers], 0))</f>
        <v>5</v>
      </c>
      <c r="H1595">
        <f>northwind_order_details[[#This Row],[unit_price]]*northwind_order_details[[#This Row],[quantity]]</f>
        <v>240</v>
      </c>
      <c r="I1595" s="1">
        <f>northwind_order_details[[#This Row],[purchase amount]]*northwind_order_details[[#This Row],[discount]]</f>
        <v>12</v>
      </c>
      <c r="J1595" s="1">
        <f>northwind_order_details[[#This Row],[purchase amount]]-northwind_order_details[[#This Row],[discount amount]]</f>
        <v>228</v>
      </c>
      <c r="K1595" s="6" t="str">
        <f>IF(northwind_order_details[[#This Row],[discount amount]]&gt;0,"Yes","No")</f>
        <v>Yes</v>
      </c>
      <c r="L1595" s="1" t="str">
        <f>IF(northwind_order_details[[#This Row],[Revenue]]&gt;1000,"High",IF(northwind_order_details[[#This Row],[Revenue]]&gt;300,"Medium","Low"))</f>
        <v>Low</v>
      </c>
      <c r="M15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596" spans="1:13" x14ac:dyDescent="0.25">
      <c r="A1596">
        <v>10872</v>
      </c>
      <c r="B1596">
        <v>62</v>
      </c>
      <c r="C1596" s="6">
        <v>49.3</v>
      </c>
      <c r="D1596">
        <v>20</v>
      </c>
      <c r="E1596" s="6">
        <v>0.05</v>
      </c>
      <c r="F1596" t="str">
        <f>_xlfn.XLOOKUP(northwind_order_details[[#This Row],[order_id]],northwind_orders[order_id],northwind_orders[ship_country])</f>
        <v>Spain</v>
      </c>
      <c r="G1596">
        <f>INDEX(northwind_orders[],MATCH(northwind_order_details[[#This Row],[order_id]], northwind_orders[order_id], 0), MATCH("employee_id", northwind_orders[#Headers], 0))</f>
        <v>5</v>
      </c>
      <c r="H1596">
        <f>northwind_order_details[[#This Row],[unit_price]]*northwind_order_details[[#This Row],[quantity]]</f>
        <v>986</v>
      </c>
      <c r="I1596" s="1">
        <f>northwind_order_details[[#This Row],[purchase amount]]*northwind_order_details[[#This Row],[discount]]</f>
        <v>49.300000000000004</v>
      </c>
      <c r="J1596" s="1">
        <f>northwind_order_details[[#This Row],[purchase amount]]-northwind_order_details[[#This Row],[discount amount]]</f>
        <v>936.7</v>
      </c>
      <c r="K1596" s="6" t="str">
        <f>IF(northwind_order_details[[#This Row],[discount amount]]&gt;0,"Yes","No")</f>
        <v>Yes</v>
      </c>
      <c r="L1596" s="1" t="str">
        <f>IF(northwind_order_details[[#This Row],[Revenue]]&gt;1000,"High",IF(northwind_order_details[[#This Row],[Revenue]]&gt;300,"Medium","Low"))</f>
        <v>Medium</v>
      </c>
      <c r="M159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97" spans="1:13" x14ac:dyDescent="0.25">
      <c r="A1597">
        <v>10872</v>
      </c>
      <c r="B1597">
        <v>64</v>
      </c>
      <c r="C1597" s="6">
        <v>33.25</v>
      </c>
      <c r="D1597">
        <v>15</v>
      </c>
      <c r="E1597" s="6">
        <v>0.05</v>
      </c>
      <c r="F1597" t="str">
        <f>_xlfn.XLOOKUP(northwind_order_details[[#This Row],[order_id]],northwind_orders[order_id],northwind_orders[ship_country])</f>
        <v>Spain</v>
      </c>
      <c r="G1597">
        <f>INDEX(northwind_orders[],MATCH(northwind_order_details[[#This Row],[order_id]], northwind_orders[order_id], 0), MATCH("employee_id", northwind_orders[#Headers], 0))</f>
        <v>5</v>
      </c>
      <c r="H1597">
        <f>northwind_order_details[[#This Row],[unit_price]]*northwind_order_details[[#This Row],[quantity]]</f>
        <v>498.75</v>
      </c>
      <c r="I1597" s="1">
        <f>northwind_order_details[[#This Row],[purchase amount]]*northwind_order_details[[#This Row],[discount]]</f>
        <v>24.9375</v>
      </c>
      <c r="J1597" s="1">
        <f>northwind_order_details[[#This Row],[purchase amount]]-northwind_order_details[[#This Row],[discount amount]]</f>
        <v>473.8125</v>
      </c>
      <c r="K1597" s="6" t="str">
        <f>IF(northwind_order_details[[#This Row],[discount amount]]&gt;0,"Yes","No")</f>
        <v>Yes</v>
      </c>
      <c r="L1597" s="1" t="str">
        <f>IF(northwind_order_details[[#This Row],[Revenue]]&gt;1000,"High",IF(northwind_order_details[[#This Row],[Revenue]]&gt;300,"Medium","Low"))</f>
        <v>Medium</v>
      </c>
      <c r="M15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98" spans="1:13" x14ac:dyDescent="0.25">
      <c r="A1598">
        <v>10872</v>
      </c>
      <c r="B1598">
        <v>65</v>
      </c>
      <c r="C1598" s="6">
        <v>21.05</v>
      </c>
      <c r="D1598">
        <v>21</v>
      </c>
      <c r="E1598" s="6">
        <v>0.05</v>
      </c>
      <c r="F1598" t="str">
        <f>_xlfn.XLOOKUP(northwind_order_details[[#This Row],[order_id]],northwind_orders[order_id],northwind_orders[ship_country])</f>
        <v>Spain</v>
      </c>
      <c r="G1598">
        <f>INDEX(northwind_orders[],MATCH(northwind_order_details[[#This Row],[order_id]], northwind_orders[order_id], 0), MATCH("employee_id", northwind_orders[#Headers], 0))</f>
        <v>5</v>
      </c>
      <c r="H1598">
        <f>northwind_order_details[[#This Row],[unit_price]]*northwind_order_details[[#This Row],[quantity]]</f>
        <v>442.05</v>
      </c>
      <c r="I1598" s="1">
        <f>northwind_order_details[[#This Row],[purchase amount]]*northwind_order_details[[#This Row],[discount]]</f>
        <v>22.102500000000003</v>
      </c>
      <c r="J1598" s="1">
        <f>northwind_order_details[[#This Row],[purchase amount]]-northwind_order_details[[#This Row],[discount amount]]</f>
        <v>419.94749999999999</v>
      </c>
      <c r="K1598" s="6" t="str">
        <f>IF(northwind_order_details[[#This Row],[discount amount]]&gt;0,"Yes","No")</f>
        <v>Yes</v>
      </c>
      <c r="L1598" s="1" t="str">
        <f>IF(northwind_order_details[[#This Row],[Revenue]]&gt;1000,"High",IF(northwind_order_details[[#This Row],[Revenue]]&gt;300,"Medium","Low"))</f>
        <v>Medium</v>
      </c>
      <c r="M15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599" spans="1:13" x14ac:dyDescent="0.25">
      <c r="A1599">
        <v>10873</v>
      </c>
      <c r="B1599">
        <v>21</v>
      </c>
      <c r="C1599" s="6" t="s">
        <v>8</v>
      </c>
      <c r="D1599">
        <v>20</v>
      </c>
      <c r="E1599" s="6" t="s">
        <v>6</v>
      </c>
      <c r="F1599" t="str">
        <f>_xlfn.XLOOKUP(northwind_order_details[[#This Row],[order_id]],northwind_orders[order_id],northwind_orders[ship_country])</f>
        <v>Finland</v>
      </c>
      <c r="G1599">
        <f>INDEX(northwind_orders[],MATCH(northwind_order_details[[#This Row],[order_id]], northwind_orders[order_id], 0), MATCH("employee_id", northwind_orders[#Headers], 0))</f>
        <v>4</v>
      </c>
      <c r="H1599">
        <f>northwind_order_details[[#This Row],[unit_price]]*northwind_order_details[[#This Row],[quantity]]</f>
        <v>200</v>
      </c>
      <c r="I1599" s="1">
        <f>northwind_order_details[[#This Row],[purchase amount]]*northwind_order_details[[#This Row],[discount]]</f>
        <v>0</v>
      </c>
      <c r="J1599" s="1">
        <f>northwind_order_details[[#This Row],[purchase amount]]-northwind_order_details[[#This Row],[discount amount]]</f>
        <v>200</v>
      </c>
      <c r="K1599" s="6" t="str">
        <f>IF(northwind_order_details[[#This Row],[discount amount]]&gt;0,"Yes","No")</f>
        <v>No</v>
      </c>
      <c r="L1599" s="1" t="str">
        <f>IF(northwind_order_details[[#This Row],[Revenue]]&gt;1000,"High",IF(northwind_order_details[[#This Row],[Revenue]]&gt;300,"Medium","Low"))</f>
        <v>Low</v>
      </c>
      <c r="M15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00" spans="1:13" x14ac:dyDescent="0.25">
      <c r="A1600">
        <v>10873</v>
      </c>
      <c r="B1600">
        <v>28</v>
      </c>
      <c r="C1600" s="6">
        <v>45.6</v>
      </c>
      <c r="D1600">
        <v>3</v>
      </c>
      <c r="E1600" s="6" t="s">
        <v>6</v>
      </c>
      <c r="F1600" t="str">
        <f>_xlfn.XLOOKUP(northwind_order_details[[#This Row],[order_id]],northwind_orders[order_id],northwind_orders[ship_country])</f>
        <v>Finland</v>
      </c>
      <c r="G1600">
        <f>INDEX(northwind_orders[],MATCH(northwind_order_details[[#This Row],[order_id]], northwind_orders[order_id], 0), MATCH("employee_id", northwind_orders[#Headers], 0))</f>
        <v>4</v>
      </c>
      <c r="H1600">
        <f>northwind_order_details[[#This Row],[unit_price]]*northwind_order_details[[#This Row],[quantity]]</f>
        <v>136.80000000000001</v>
      </c>
      <c r="I1600" s="1">
        <f>northwind_order_details[[#This Row],[purchase amount]]*northwind_order_details[[#This Row],[discount]]</f>
        <v>0</v>
      </c>
      <c r="J1600" s="1">
        <f>northwind_order_details[[#This Row],[purchase amount]]-northwind_order_details[[#This Row],[discount amount]]</f>
        <v>136.80000000000001</v>
      </c>
      <c r="K1600" s="6" t="str">
        <f>IF(northwind_order_details[[#This Row],[discount amount]]&gt;0,"Yes","No")</f>
        <v>No</v>
      </c>
      <c r="L1600" s="1" t="str">
        <f>IF(northwind_order_details[[#This Row],[Revenue]]&gt;1000,"High",IF(northwind_order_details[[#This Row],[Revenue]]&gt;300,"Medium","Low"))</f>
        <v>Low</v>
      </c>
      <c r="M160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01" spans="1:13" x14ac:dyDescent="0.25">
      <c r="A1601">
        <v>10874</v>
      </c>
      <c r="B1601">
        <v>10</v>
      </c>
      <c r="C1601" s="6" t="s">
        <v>34</v>
      </c>
      <c r="D1601">
        <v>10</v>
      </c>
      <c r="E1601" s="6" t="s">
        <v>6</v>
      </c>
      <c r="F1601" t="str">
        <f>_xlfn.XLOOKUP(northwind_order_details[[#This Row],[order_id]],northwind_orders[order_id],northwind_orders[ship_country])</f>
        <v>Spain</v>
      </c>
      <c r="G1601">
        <f>INDEX(northwind_orders[],MATCH(northwind_order_details[[#This Row],[order_id]], northwind_orders[order_id], 0), MATCH("employee_id", northwind_orders[#Headers], 0))</f>
        <v>5</v>
      </c>
      <c r="H1601">
        <f>northwind_order_details[[#This Row],[unit_price]]*northwind_order_details[[#This Row],[quantity]]</f>
        <v>310</v>
      </c>
      <c r="I1601" s="1">
        <f>northwind_order_details[[#This Row],[purchase amount]]*northwind_order_details[[#This Row],[discount]]</f>
        <v>0</v>
      </c>
      <c r="J1601" s="1">
        <f>northwind_order_details[[#This Row],[purchase amount]]-northwind_order_details[[#This Row],[discount amount]]</f>
        <v>310</v>
      </c>
      <c r="K1601" s="6" t="str">
        <f>IF(northwind_order_details[[#This Row],[discount amount]]&gt;0,"Yes","No")</f>
        <v>No</v>
      </c>
      <c r="L1601" s="1" t="str">
        <f>IF(northwind_order_details[[#This Row],[Revenue]]&gt;1000,"High",IF(northwind_order_details[[#This Row],[Revenue]]&gt;300,"Medium","Low"))</f>
        <v>Medium</v>
      </c>
      <c r="M16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02" spans="1:13" x14ac:dyDescent="0.25">
      <c r="A1602">
        <v>10875</v>
      </c>
      <c r="B1602">
        <v>19</v>
      </c>
      <c r="C1602" s="6">
        <v>9.1999999999999993</v>
      </c>
      <c r="D1602">
        <v>25</v>
      </c>
      <c r="E1602" s="6" t="s">
        <v>6</v>
      </c>
      <c r="F1602" t="str">
        <f>_xlfn.XLOOKUP(northwind_order_details[[#This Row],[order_id]],northwind_orders[order_id],northwind_orders[ship_country])</f>
        <v>Sweden</v>
      </c>
      <c r="G1602">
        <f>INDEX(northwind_orders[],MATCH(northwind_order_details[[#This Row],[order_id]], northwind_orders[order_id], 0), MATCH("employee_id", northwind_orders[#Headers], 0))</f>
        <v>4</v>
      </c>
      <c r="H1602">
        <f>northwind_order_details[[#This Row],[unit_price]]*northwind_order_details[[#This Row],[quantity]]</f>
        <v>229.99999999999997</v>
      </c>
      <c r="I1602" s="1">
        <f>northwind_order_details[[#This Row],[purchase amount]]*northwind_order_details[[#This Row],[discount]]</f>
        <v>0</v>
      </c>
      <c r="J1602" s="1">
        <f>northwind_order_details[[#This Row],[purchase amount]]-northwind_order_details[[#This Row],[discount amount]]</f>
        <v>229.99999999999997</v>
      </c>
      <c r="K1602" s="6" t="str">
        <f>IF(northwind_order_details[[#This Row],[discount amount]]&gt;0,"Yes","No")</f>
        <v>No</v>
      </c>
      <c r="L1602" s="1" t="str">
        <f>IF(northwind_order_details[[#This Row],[Revenue]]&gt;1000,"High",IF(northwind_order_details[[#This Row],[Revenue]]&gt;300,"Medium","Low"))</f>
        <v>Low</v>
      </c>
      <c r="M16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03" spans="1:13" x14ac:dyDescent="0.25">
      <c r="A1603">
        <v>10875</v>
      </c>
      <c r="B1603">
        <v>47</v>
      </c>
      <c r="C1603" s="6">
        <v>9.5</v>
      </c>
      <c r="D1603">
        <v>21</v>
      </c>
      <c r="E1603" s="6">
        <v>0.1</v>
      </c>
      <c r="F1603" t="str">
        <f>_xlfn.XLOOKUP(northwind_order_details[[#This Row],[order_id]],northwind_orders[order_id],northwind_orders[ship_country])</f>
        <v>Sweden</v>
      </c>
      <c r="G1603">
        <f>INDEX(northwind_orders[],MATCH(northwind_order_details[[#This Row],[order_id]], northwind_orders[order_id], 0), MATCH("employee_id", northwind_orders[#Headers], 0))</f>
        <v>4</v>
      </c>
      <c r="H1603">
        <f>northwind_order_details[[#This Row],[unit_price]]*northwind_order_details[[#This Row],[quantity]]</f>
        <v>199.5</v>
      </c>
      <c r="I1603" s="1">
        <f>northwind_order_details[[#This Row],[purchase amount]]*northwind_order_details[[#This Row],[discount]]</f>
        <v>19.950000000000003</v>
      </c>
      <c r="J1603" s="1">
        <f>northwind_order_details[[#This Row],[purchase amount]]-northwind_order_details[[#This Row],[discount amount]]</f>
        <v>179.55</v>
      </c>
      <c r="K1603" s="6" t="str">
        <f>IF(northwind_order_details[[#This Row],[discount amount]]&gt;0,"Yes","No")</f>
        <v>Yes</v>
      </c>
      <c r="L1603" s="1" t="str">
        <f>IF(northwind_order_details[[#This Row],[Revenue]]&gt;1000,"High",IF(northwind_order_details[[#This Row],[Revenue]]&gt;300,"Medium","Low"))</f>
        <v>Low</v>
      </c>
      <c r="M160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04" spans="1:13" x14ac:dyDescent="0.25">
      <c r="A1604">
        <v>10875</v>
      </c>
      <c r="B1604">
        <v>49</v>
      </c>
      <c r="C1604" s="6" t="s">
        <v>17</v>
      </c>
      <c r="D1604">
        <v>15</v>
      </c>
      <c r="E1604" s="6" t="s">
        <v>6</v>
      </c>
      <c r="F1604" t="str">
        <f>_xlfn.XLOOKUP(northwind_order_details[[#This Row],[order_id]],northwind_orders[order_id],northwind_orders[ship_country])</f>
        <v>Sweden</v>
      </c>
      <c r="G1604">
        <f>INDEX(northwind_orders[],MATCH(northwind_order_details[[#This Row],[order_id]], northwind_orders[order_id], 0), MATCH("employee_id", northwind_orders[#Headers], 0))</f>
        <v>4</v>
      </c>
      <c r="H1604">
        <f>northwind_order_details[[#This Row],[unit_price]]*northwind_order_details[[#This Row],[quantity]]</f>
        <v>300</v>
      </c>
      <c r="I1604" s="1">
        <f>northwind_order_details[[#This Row],[purchase amount]]*northwind_order_details[[#This Row],[discount]]</f>
        <v>0</v>
      </c>
      <c r="J1604" s="1">
        <f>northwind_order_details[[#This Row],[purchase amount]]-northwind_order_details[[#This Row],[discount amount]]</f>
        <v>300</v>
      </c>
      <c r="K1604" s="6" t="str">
        <f>IF(northwind_order_details[[#This Row],[discount amount]]&gt;0,"Yes","No")</f>
        <v>No</v>
      </c>
      <c r="L1604" s="1" t="str">
        <f>IF(northwind_order_details[[#This Row],[Revenue]]&gt;1000,"High",IF(northwind_order_details[[#This Row],[Revenue]]&gt;300,"Medium","Low"))</f>
        <v>Low</v>
      </c>
      <c r="M16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05" spans="1:13" x14ac:dyDescent="0.25">
      <c r="A1605">
        <v>10876</v>
      </c>
      <c r="B1605">
        <v>46</v>
      </c>
      <c r="C1605" s="6" t="s">
        <v>13</v>
      </c>
      <c r="D1605">
        <v>21</v>
      </c>
      <c r="E1605" s="6" t="s">
        <v>6</v>
      </c>
      <c r="F1605" t="str">
        <f>_xlfn.XLOOKUP(northwind_order_details[[#This Row],[order_id]],northwind_orders[order_id],northwind_orders[ship_country])</f>
        <v>France</v>
      </c>
      <c r="G1605">
        <f>INDEX(northwind_orders[],MATCH(northwind_order_details[[#This Row],[order_id]], northwind_orders[order_id], 0), MATCH("employee_id", northwind_orders[#Headers], 0))</f>
        <v>7</v>
      </c>
      <c r="H1605">
        <f>northwind_order_details[[#This Row],[unit_price]]*northwind_order_details[[#This Row],[quantity]]</f>
        <v>252</v>
      </c>
      <c r="I1605" s="1">
        <f>northwind_order_details[[#This Row],[purchase amount]]*northwind_order_details[[#This Row],[discount]]</f>
        <v>0</v>
      </c>
      <c r="J1605" s="1">
        <f>northwind_order_details[[#This Row],[purchase amount]]-northwind_order_details[[#This Row],[discount amount]]</f>
        <v>252</v>
      </c>
      <c r="K1605" s="6" t="str">
        <f>IF(northwind_order_details[[#This Row],[discount amount]]&gt;0,"Yes","No")</f>
        <v>No</v>
      </c>
      <c r="L1605" s="1" t="str">
        <f>IF(northwind_order_details[[#This Row],[Revenue]]&gt;1000,"High",IF(northwind_order_details[[#This Row],[Revenue]]&gt;300,"Medium","Low"))</f>
        <v>Low</v>
      </c>
      <c r="M16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06" spans="1:13" x14ac:dyDescent="0.25">
      <c r="A1606">
        <v>10876</v>
      </c>
      <c r="B1606">
        <v>64</v>
      </c>
      <c r="C1606" s="6">
        <v>33.25</v>
      </c>
      <c r="D1606">
        <v>20</v>
      </c>
      <c r="E1606" s="6" t="s">
        <v>6</v>
      </c>
      <c r="F1606" t="str">
        <f>_xlfn.XLOOKUP(northwind_order_details[[#This Row],[order_id]],northwind_orders[order_id],northwind_orders[ship_country])</f>
        <v>France</v>
      </c>
      <c r="G1606">
        <f>INDEX(northwind_orders[],MATCH(northwind_order_details[[#This Row],[order_id]], northwind_orders[order_id], 0), MATCH("employee_id", northwind_orders[#Headers], 0))</f>
        <v>7</v>
      </c>
      <c r="H1606">
        <f>northwind_order_details[[#This Row],[unit_price]]*northwind_order_details[[#This Row],[quantity]]</f>
        <v>665</v>
      </c>
      <c r="I1606" s="1">
        <f>northwind_order_details[[#This Row],[purchase amount]]*northwind_order_details[[#This Row],[discount]]</f>
        <v>0</v>
      </c>
      <c r="J1606" s="1">
        <f>northwind_order_details[[#This Row],[purchase amount]]-northwind_order_details[[#This Row],[discount amount]]</f>
        <v>665</v>
      </c>
      <c r="K1606" s="6" t="str">
        <f>IF(northwind_order_details[[#This Row],[discount amount]]&gt;0,"Yes","No")</f>
        <v>No</v>
      </c>
      <c r="L1606" s="1" t="str">
        <f>IF(northwind_order_details[[#This Row],[Revenue]]&gt;1000,"High",IF(northwind_order_details[[#This Row],[Revenue]]&gt;300,"Medium","Low"))</f>
        <v>Medium</v>
      </c>
      <c r="M160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07" spans="1:13" x14ac:dyDescent="0.25">
      <c r="A1607">
        <v>10877</v>
      </c>
      <c r="B1607">
        <v>16</v>
      </c>
      <c r="C1607" s="6">
        <v>17.45</v>
      </c>
      <c r="D1607">
        <v>30</v>
      </c>
      <c r="E1607" s="6">
        <v>0.25</v>
      </c>
      <c r="F1607" t="str">
        <f>_xlfn.XLOOKUP(northwind_order_details[[#This Row],[order_id]],northwind_orders[order_id],northwind_orders[ship_country])</f>
        <v>Brazil</v>
      </c>
      <c r="G1607">
        <f>INDEX(northwind_orders[],MATCH(northwind_order_details[[#This Row],[order_id]], northwind_orders[order_id], 0), MATCH("employee_id", northwind_orders[#Headers], 0))</f>
        <v>1</v>
      </c>
      <c r="H1607">
        <f>northwind_order_details[[#This Row],[unit_price]]*northwind_order_details[[#This Row],[quantity]]</f>
        <v>523.5</v>
      </c>
      <c r="I1607" s="1">
        <f>northwind_order_details[[#This Row],[purchase amount]]*northwind_order_details[[#This Row],[discount]]</f>
        <v>130.875</v>
      </c>
      <c r="J1607" s="1">
        <f>northwind_order_details[[#This Row],[purchase amount]]-northwind_order_details[[#This Row],[discount amount]]</f>
        <v>392.625</v>
      </c>
      <c r="K1607" s="6" t="str">
        <f>IF(northwind_order_details[[#This Row],[discount amount]]&gt;0,"Yes","No")</f>
        <v>Yes</v>
      </c>
      <c r="L1607" s="1" t="str">
        <f>IF(northwind_order_details[[#This Row],[Revenue]]&gt;1000,"High",IF(northwind_order_details[[#This Row],[Revenue]]&gt;300,"Medium","Low"))</f>
        <v>Medium</v>
      </c>
      <c r="M160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08" spans="1:13" x14ac:dyDescent="0.25">
      <c r="A1608">
        <v>10877</v>
      </c>
      <c r="B1608">
        <v>18</v>
      </c>
      <c r="C1608" s="6">
        <v>62.5</v>
      </c>
      <c r="D1608">
        <v>25</v>
      </c>
      <c r="E1608" s="6" t="s">
        <v>6</v>
      </c>
      <c r="F1608" t="str">
        <f>_xlfn.XLOOKUP(northwind_order_details[[#This Row],[order_id]],northwind_orders[order_id],northwind_orders[ship_country])</f>
        <v>Brazil</v>
      </c>
      <c r="G1608">
        <f>INDEX(northwind_orders[],MATCH(northwind_order_details[[#This Row],[order_id]], northwind_orders[order_id], 0), MATCH("employee_id", northwind_orders[#Headers], 0))</f>
        <v>1</v>
      </c>
      <c r="H1608">
        <f>northwind_order_details[[#This Row],[unit_price]]*northwind_order_details[[#This Row],[quantity]]</f>
        <v>1562.5</v>
      </c>
      <c r="I1608" s="1">
        <f>northwind_order_details[[#This Row],[purchase amount]]*northwind_order_details[[#This Row],[discount]]</f>
        <v>0</v>
      </c>
      <c r="J1608" s="1">
        <f>northwind_order_details[[#This Row],[purchase amount]]-northwind_order_details[[#This Row],[discount amount]]</f>
        <v>1562.5</v>
      </c>
      <c r="K1608" s="6" t="str">
        <f>IF(northwind_order_details[[#This Row],[discount amount]]&gt;0,"Yes","No")</f>
        <v>No</v>
      </c>
      <c r="L1608" s="1" t="str">
        <f>IF(northwind_order_details[[#This Row],[Revenue]]&gt;1000,"High",IF(northwind_order_details[[#This Row],[Revenue]]&gt;300,"Medium","Low"))</f>
        <v>High</v>
      </c>
      <c r="M16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09" spans="1:13" x14ac:dyDescent="0.25">
      <c r="A1609">
        <v>10878</v>
      </c>
      <c r="B1609">
        <v>20</v>
      </c>
      <c r="C1609" s="6" t="s">
        <v>29</v>
      </c>
      <c r="D1609">
        <v>20</v>
      </c>
      <c r="E1609" s="6">
        <v>0.05</v>
      </c>
      <c r="F1609" t="str">
        <f>_xlfn.XLOOKUP(northwind_order_details[[#This Row],[order_id]],northwind_orders[order_id],northwind_orders[ship_country])</f>
        <v>Germany</v>
      </c>
      <c r="G1609">
        <f>INDEX(northwind_orders[],MATCH(northwind_order_details[[#This Row],[order_id]], northwind_orders[order_id], 0), MATCH("employee_id", northwind_orders[#Headers], 0))</f>
        <v>4</v>
      </c>
      <c r="H1609">
        <f>northwind_order_details[[#This Row],[unit_price]]*northwind_order_details[[#This Row],[quantity]]</f>
        <v>1620</v>
      </c>
      <c r="I1609" s="1">
        <f>northwind_order_details[[#This Row],[purchase amount]]*northwind_order_details[[#This Row],[discount]]</f>
        <v>81</v>
      </c>
      <c r="J1609" s="1">
        <f>northwind_order_details[[#This Row],[purchase amount]]-northwind_order_details[[#This Row],[discount amount]]</f>
        <v>1539</v>
      </c>
      <c r="K1609" s="6" t="str">
        <f>IF(northwind_order_details[[#This Row],[discount amount]]&gt;0,"Yes","No")</f>
        <v>Yes</v>
      </c>
      <c r="L1609" s="1" t="str">
        <f>IF(northwind_order_details[[#This Row],[Revenue]]&gt;1000,"High",IF(northwind_order_details[[#This Row],[Revenue]]&gt;300,"Medium","Low"))</f>
        <v>High</v>
      </c>
      <c r="M16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0" spans="1:13" x14ac:dyDescent="0.25">
      <c r="A1610">
        <v>10879</v>
      </c>
      <c r="B1610">
        <v>40</v>
      </c>
      <c r="C1610" s="6">
        <v>18.399999999999999</v>
      </c>
      <c r="D1610">
        <v>12</v>
      </c>
      <c r="E1610" s="6" t="s">
        <v>6</v>
      </c>
      <c r="F1610" t="str">
        <f>_xlfn.XLOOKUP(northwind_order_details[[#This Row],[order_id]],northwind_orders[order_id],northwind_orders[ship_country])</f>
        <v>Finland</v>
      </c>
      <c r="G1610">
        <f>INDEX(northwind_orders[],MATCH(northwind_order_details[[#This Row],[order_id]], northwind_orders[order_id], 0), MATCH("employee_id", northwind_orders[#Headers], 0))</f>
        <v>3</v>
      </c>
      <c r="H1610">
        <f>northwind_order_details[[#This Row],[unit_price]]*northwind_order_details[[#This Row],[quantity]]</f>
        <v>220.79999999999998</v>
      </c>
      <c r="I1610" s="1">
        <f>northwind_order_details[[#This Row],[purchase amount]]*northwind_order_details[[#This Row],[discount]]</f>
        <v>0</v>
      </c>
      <c r="J1610" s="1">
        <f>northwind_order_details[[#This Row],[purchase amount]]-northwind_order_details[[#This Row],[discount amount]]</f>
        <v>220.79999999999998</v>
      </c>
      <c r="K1610" s="6" t="str">
        <f>IF(northwind_order_details[[#This Row],[discount amount]]&gt;0,"Yes","No")</f>
        <v>No</v>
      </c>
      <c r="L1610" s="1" t="str">
        <f>IF(northwind_order_details[[#This Row],[Revenue]]&gt;1000,"High",IF(northwind_order_details[[#This Row],[Revenue]]&gt;300,"Medium","Low"))</f>
        <v>Low</v>
      </c>
      <c r="M161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11" spans="1:13" x14ac:dyDescent="0.25">
      <c r="A1611">
        <v>10879</v>
      </c>
      <c r="B1611">
        <v>65</v>
      </c>
      <c r="C1611" s="6">
        <v>21.05</v>
      </c>
      <c r="D1611">
        <v>10</v>
      </c>
      <c r="E1611" s="6" t="s">
        <v>6</v>
      </c>
      <c r="F1611" t="str">
        <f>_xlfn.XLOOKUP(northwind_order_details[[#This Row],[order_id]],northwind_orders[order_id],northwind_orders[ship_country])</f>
        <v>Finland</v>
      </c>
      <c r="G1611">
        <f>INDEX(northwind_orders[],MATCH(northwind_order_details[[#This Row],[order_id]], northwind_orders[order_id], 0), MATCH("employee_id", northwind_orders[#Headers], 0))</f>
        <v>3</v>
      </c>
      <c r="H1611">
        <f>northwind_order_details[[#This Row],[unit_price]]*northwind_order_details[[#This Row],[quantity]]</f>
        <v>210.5</v>
      </c>
      <c r="I1611" s="1">
        <f>northwind_order_details[[#This Row],[purchase amount]]*northwind_order_details[[#This Row],[discount]]</f>
        <v>0</v>
      </c>
      <c r="J1611" s="1">
        <f>northwind_order_details[[#This Row],[purchase amount]]-northwind_order_details[[#This Row],[discount amount]]</f>
        <v>210.5</v>
      </c>
      <c r="K1611" s="6" t="str">
        <f>IF(northwind_order_details[[#This Row],[discount amount]]&gt;0,"Yes","No")</f>
        <v>No</v>
      </c>
      <c r="L1611" s="1" t="str">
        <f>IF(northwind_order_details[[#This Row],[Revenue]]&gt;1000,"High",IF(northwind_order_details[[#This Row],[Revenue]]&gt;300,"Medium","Low"))</f>
        <v>Low</v>
      </c>
      <c r="M16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12" spans="1:13" x14ac:dyDescent="0.25">
      <c r="A1612">
        <v>10879</v>
      </c>
      <c r="B1612">
        <v>76</v>
      </c>
      <c r="C1612" s="6" t="s">
        <v>24</v>
      </c>
      <c r="D1612">
        <v>10</v>
      </c>
      <c r="E1612" s="6" t="s">
        <v>6</v>
      </c>
      <c r="F1612" t="str">
        <f>_xlfn.XLOOKUP(northwind_order_details[[#This Row],[order_id]],northwind_orders[order_id],northwind_orders[ship_country])</f>
        <v>Finland</v>
      </c>
      <c r="G1612">
        <f>INDEX(northwind_orders[],MATCH(northwind_order_details[[#This Row],[order_id]], northwind_orders[order_id], 0), MATCH("employee_id", northwind_orders[#Headers], 0))</f>
        <v>3</v>
      </c>
      <c r="H1612">
        <f>northwind_order_details[[#This Row],[unit_price]]*northwind_order_details[[#This Row],[quantity]]</f>
        <v>180</v>
      </c>
      <c r="I1612" s="1">
        <f>northwind_order_details[[#This Row],[purchase amount]]*northwind_order_details[[#This Row],[discount]]</f>
        <v>0</v>
      </c>
      <c r="J1612" s="1">
        <f>northwind_order_details[[#This Row],[purchase amount]]-northwind_order_details[[#This Row],[discount amount]]</f>
        <v>180</v>
      </c>
      <c r="K1612" s="6" t="str">
        <f>IF(northwind_order_details[[#This Row],[discount amount]]&gt;0,"Yes","No")</f>
        <v>No</v>
      </c>
      <c r="L1612" s="1" t="str">
        <f>IF(northwind_order_details[[#This Row],[Revenue]]&gt;1000,"High",IF(northwind_order_details[[#This Row],[Revenue]]&gt;300,"Medium","Low"))</f>
        <v>Low</v>
      </c>
      <c r="M16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3" spans="1:13" x14ac:dyDescent="0.25">
      <c r="A1613">
        <v>10880</v>
      </c>
      <c r="B1613">
        <v>23</v>
      </c>
      <c r="C1613" s="6" t="s">
        <v>40</v>
      </c>
      <c r="D1613">
        <v>30</v>
      </c>
      <c r="E1613" s="6">
        <v>0.2</v>
      </c>
      <c r="F1613" t="str">
        <f>_xlfn.XLOOKUP(northwind_order_details[[#This Row],[order_id]],northwind_orders[order_id],northwind_orders[ship_country])</f>
        <v>Sweden</v>
      </c>
      <c r="G1613">
        <f>INDEX(northwind_orders[],MATCH(northwind_order_details[[#This Row],[order_id]], northwind_orders[order_id], 0), MATCH("employee_id", northwind_orders[#Headers], 0))</f>
        <v>7</v>
      </c>
      <c r="H1613">
        <f>northwind_order_details[[#This Row],[unit_price]]*northwind_order_details[[#This Row],[quantity]]</f>
        <v>270</v>
      </c>
      <c r="I1613" s="1">
        <f>northwind_order_details[[#This Row],[purchase amount]]*northwind_order_details[[#This Row],[discount]]</f>
        <v>54</v>
      </c>
      <c r="J1613" s="1">
        <f>northwind_order_details[[#This Row],[purchase amount]]-northwind_order_details[[#This Row],[discount amount]]</f>
        <v>216</v>
      </c>
      <c r="K1613" s="6" t="str">
        <f>IF(northwind_order_details[[#This Row],[discount amount]]&gt;0,"Yes","No")</f>
        <v>Yes</v>
      </c>
      <c r="L1613" s="1" t="str">
        <f>IF(northwind_order_details[[#This Row],[Revenue]]&gt;1000,"High",IF(northwind_order_details[[#This Row],[Revenue]]&gt;300,"Medium","Low"))</f>
        <v>Low</v>
      </c>
      <c r="M16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4" spans="1:13" x14ac:dyDescent="0.25">
      <c r="A1614">
        <v>10880</v>
      </c>
      <c r="B1614">
        <v>61</v>
      </c>
      <c r="C1614" s="6">
        <v>28.5</v>
      </c>
      <c r="D1614">
        <v>30</v>
      </c>
      <c r="E1614" s="6">
        <v>0.2</v>
      </c>
      <c r="F1614" t="str">
        <f>_xlfn.XLOOKUP(northwind_order_details[[#This Row],[order_id]],northwind_orders[order_id],northwind_orders[ship_country])</f>
        <v>Sweden</v>
      </c>
      <c r="G1614">
        <f>INDEX(northwind_orders[],MATCH(northwind_order_details[[#This Row],[order_id]], northwind_orders[order_id], 0), MATCH("employee_id", northwind_orders[#Headers], 0))</f>
        <v>7</v>
      </c>
      <c r="H1614">
        <f>northwind_order_details[[#This Row],[unit_price]]*northwind_order_details[[#This Row],[quantity]]</f>
        <v>855</v>
      </c>
      <c r="I1614" s="1">
        <f>northwind_order_details[[#This Row],[purchase amount]]*northwind_order_details[[#This Row],[discount]]</f>
        <v>171</v>
      </c>
      <c r="J1614" s="1">
        <f>northwind_order_details[[#This Row],[purchase amount]]-northwind_order_details[[#This Row],[discount amount]]</f>
        <v>684</v>
      </c>
      <c r="K1614" s="6" t="str">
        <f>IF(northwind_order_details[[#This Row],[discount amount]]&gt;0,"Yes","No")</f>
        <v>Yes</v>
      </c>
      <c r="L1614" s="1" t="str">
        <f>IF(northwind_order_details[[#This Row],[Revenue]]&gt;1000,"High",IF(northwind_order_details[[#This Row],[Revenue]]&gt;300,"Medium","Low"))</f>
        <v>Medium</v>
      </c>
      <c r="M161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15" spans="1:13" x14ac:dyDescent="0.25">
      <c r="A1615">
        <v>10880</v>
      </c>
      <c r="B1615">
        <v>70</v>
      </c>
      <c r="C1615" s="6" t="s">
        <v>21</v>
      </c>
      <c r="D1615">
        <v>50</v>
      </c>
      <c r="E1615" s="6">
        <v>0.2</v>
      </c>
      <c r="F1615" t="str">
        <f>_xlfn.XLOOKUP(northwind_order_details[[#This Row],[order_id]],northwind_orders[order_id],northwind_orders[ship_country])</f>
        <v>Sweden</v>
      </c>
      <c r="G1615">
        <f>INDEX(northwind_orders[],MATCH(northwind_order_details[[#This Row],[order_id]], northwind_orders[order_id], 0), MATCH("employee_id", northwind_orders[#Headers], 0))</f>
        <v>7</v>
      </c>
      <c r="H1615">
        <f>northwind_order_details[[#This Row],[unit_price]]*northwind_order_details[[#This Row],[quantity]]</f>
        <v>750</v>
      </c>
      <c r="I1615" s="1">
        <f>northwind_order_details[[#This Row],[purchase amount]]*northwind_order_details[[#This Row],[discount]]</f>
        <v>150</v>
      </c>
      <c r="J1615" s="1">
        <f>northwind_order_details[[#This Row],[purchase amount]]-northwind_order_details[[#This Row],[discount amount]]</f>
        <v>600</v>
      </c>
      <c r="K1615" s="6" t="str">
        <f>IF(northwind_order_details[[#This Row],[discount amount]]&gt;0,"Yes","No")</f>
        <v>Yes</v>
      </c>
      <c r="L1615" s="1" t="str">
        <f>IF(northwind_order_details[[#This Row],[Revenue]]&gt;1000,"High",IF(northwind_order_details[[#This Row],[Revenue]]&gt;300,"Medium","Low"))</f>
        <v>Medium</v>
      </c>
      <c r="M16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6" spans="1:13" x14ac:dyDescent="0.25">
      <c r="A1616">
        <v>10881</v>
      </c>
      <c r="B1616">
        <v>73</v>
      </c>
      <c r="C1616" s="6" t="s">
        <v>21</v>
      </c>
      <c r="D1616">
        <v>10</v>
      </c>
      <c r="E1616" s="6" t="s">
        <v>6</v>
      </c>
      <c r="F1616" t="str">
        <f>_xlfn.XLOOKUP(northwind_order_details[[#This Row],[order_id]],northwind_orders[order_id],northwind_orders[ship_country])</f>
        <v>Argentina</v>
      </c>
      <c r="G1616">
        <f>INDEX(northwind_orders[],MATCH(northwind_order_details[[#This Row],[order_id]], northwind_orders[order_id], 0), MATCH("employee_id", northwind_orders[#Headers], 0))</f>
        <v>4</v>
      </c>
      <c r="H1616">
        <f>northwind_order_details[[#This Row],[unit_price]]*northwind_order_details[[#This Row],[quantity]]</f>
        <v>150</v>
      </c>
      <c r="I1616" s="1">
        <f>northwind_order_details[[#This Row],[purchase amount]]*northwind_order_details[[#This Row],[discount]]</f>
        <v>0</v>
      </c>
      <c r="J1616" s="1">
        <f>northwind_order_details[[#This Row],[purchase amount]]-northwind_order_details[[#This Row],[discount amount]]</f>
        <v>150</v>
      </c>
      <c r="K1616" s="6" t="str">
        <f>IF(northwind_order_details[[#This Row],[discount amount]]&gt;0,"Yes","No")</f>
        <v>No</v>
      </c>
      <c r="L1616" s="1" t="str">
        <f>IF(northwind_order_details[[#This Row],[Revenue]]&gt;1000,"High",IF(northwind_order_details[[#This Row],[Revenue]]&gt;300,"Medium","Low"))</f>
        <v>Low</v>
      </c>
      <c r="M16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7" spans="1:13" x14ac:dyDescent="0.25">
      <c r="A1617">
        <v>10882</v>
      </c>
      <c r="B1617">
        <v>42</v>
      </c>
      <c r="C1617" s="6" t="s">
        <v>5</v>
      </c>
      <c r="D1617">
        <v>25</v>
      </c>
      <c r="E1617" s="6" t="s">
        <v>6</v>
      </c>
      <c r="F1617" t="str">
        <f>_xlfn.XLOOKUP(northwind_order_details[[#This Row],[order_id]],northwind_orders[order_id],northwind_orders[ship_country])</f>
        <v>USA</v>
      </c>
      <c r="G1617">
        <f>INDEX(northwind_orders[],MATCH(northwind_order_details[[#This Row],[order_id]], northwind_orders[order_id], 0), MATCH("employee_id", northwind_orders[#Headers], 0))</f>
        <v>4</v>
      </c>
      <c r="H1617">
        <f>northwind_order_details[[#This Row],[unit_price]]*northwind_order_details[[#This Row],[quantity]]</f>
        <v>350</v>
      </c>
      <c r="I1617" s="1">
        <f>northwind_order_details[[#This Row],[purchase amount]]*northwind_order_details[[#This Row],[discount]]</f>
        <v>0</v>
      </c>
      <c r="J1617" s="1">
        <f>northwind_order_details[[#This Row],[purchase amount]]-northwind_order_details[[#This Row],[discount amount]]</f>
        <v>350</v>
      </c>
      <c r="K1617" s="6" t="str">
        <f>IF(northwind_order_details[[#This Row],[discount amount]]&gt;0,"Yes","No")</f>
        <v>No</v>
      </c>
      <c r="L1617" s="1" t="str">
        <f>IF(northwind_order_details[[#This Row],[Revenue]]&gt;1000,"High",IF(northwind_order_details[[#This Row],[Revenue]]&gt;300,"Medium","Low"))</f>
        <v>Medium</v>
      </c>
      <c r="M16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8" spans="1:13" x14ac:dyDescent="0.25">
      <c r="A1618">
        <v>10882</v>
      </c>
      <c r="B1618">
        <v>49</v>
      </c>
      <c r="C1618" s="6" t="s">
        <v>17</v>
      </c>
      <c r="D1618">
        <v>20</v>
      </c>
      <c r="E1618" s="6">
        <v>0.15</v>
      </c>
      <c r="F1618" t="str">
        <f>_xlfn.XLOOKUP(northwind_order_details[[#This Row],[order_id]],northwind_orders[order_id],northwind_orders[ship_country])</f>
        <v>USA</v>
      </c>
      <c r="G1618">
        <f>INDEX(northwind_orders[],MATCH(northwind_order_details[[#This Row],[order_id]], northwind_orders[order_id], 0), MATCH("employee_id", northwind_orders[#Headers], 0))</f>
        <v>4</v>
      </c>
      <c r="H1618">
        <f>northwind_order_details[[#This Row],[unit_price]]*northwind_order_details[[#This Row],[quantity]]</f>
        <v>400</v>
      </c>
      <c r="I1618" s="1">
        <f>northwind_order_details[[#This Row],[purchase amount]]*northwind_order_details[[#This Row],[discount]]</f>
        <v>60</v>
      </c>
      <c r="J1618" s="1">
        <f>northwind_order_details[[#This Row],[purchase amount]]-northwind_order_details[[#This Row],[discount amount]]</f>
        <v>340</v>
      </c>
      <c r="K1618" s="6" t="str">
        <f>IF(northwind_order_details[[#This Row],[discount amount]]&gt;0,"Yes","No")</f>
        <v>Yes</v>
      </c>
      <c r="L1618" s="1" t="str">
        <f>IF(northwind_order_details[[#This Row],[Revenue]]&gt;1000,"High",IF(northwind_order_details[[#This Row],[Revenue]]&gt;300,"Medium","Low"))</f>
        <v>Medium</v>
      </c>
      <c r="M16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19" spans="1:13" x14ac:dyDescent="0.25">
      <c r="A1619">
        <v>10882</v>
      </c>
      <c r="B1619">
        <v>54</v>
      </c>
      <c r="C1619" s="6">
        <v>7.45</v>
      </c>
      <c r="D1619">
        <v>32</v>
      </c>
      <c r="E1619" s="6">
        <v>0.15</v>
      </c>
      <c r="F1619" t="str">
        <f>_xlfn.XLOOKUP(northwind_order_details[[#This Row],[order_id]],northwind_orders[order_id],northwind_orders[ship_country])</f>
        <v>USA</v>
      </c>
      <c r="G1619">
        <f>INDEX(northwind_orders[],MATCH(northwind_order_details[[#This Row],[order_id]], northwind_orders[order_id], 0), MATCH("employee_id", northwind_orders[#Headers], 0))</f>
        <v>4</v>
      </c>
      <c r="H1619">
        <f>northwind_order_details[[#This Row],[unit_price]]*northwind_order_details[[#This Row],[quantity]]</f>
        <v>238.4</v>
      </c>
      <c r="I1619" s="1">
        <f>northwind_order_details[[#This Row],[purchase amount]]*northwind_order_details[[#This Row],[discount]]</f>
        <v>35.76</v>
      </c>
      <c r="J1619" s="1">
        <f>northwind_order_details[[#This Row],[purchase amount]]-northwind_order_details[[#This Row],[discount amount]]</f>
        <v>202.64000000000001</v>
      </c>
      <c r="K1619" s="6" t="str">
        <f>IF(northwind_order_details[[#This Row],[discount amount]]&gt;0,"Yes","No")</f>
        <v>Yes</v>
      </c>
      <c r="L1619" s="1" t="str">
        <f>IF(northwind_order_details[[#This Row],[Revenue]]&gt;1000,"High",IF(northwind_order_details[[#This Row],[Revenue]]&gt;300,"Medium","Low"))</f>
        <v>Low</v>
      </c>
      <c r="M161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20" spans="1:13" x14ac:dyDescent="0.25">
      <c r="A1620">
        <v>10883</v>
      </c>
      <c r="B1620">
        <v>24</v>
      </c>
      <c r="C1620" s="6">
        <v>4.5</v>
      </c>
      <c r="D1620">
        <v>8</v>
      </c>
      <c r="E1620" s="6" t="s">
        <v>6</v>
      </c>
      <c r="F1620" t="str">
        <f>_xlfn.XLOOKUP(northwind_order_details[[#This Row],[order_id]],northwind_orders[order_id],northwind_orders[ship_country])</f>
        <v>USA</v>
      </c>
      <c r="G1620">
        <f>INDEX(northwind_orders[],MATCH(northwind_order_details[[#This Row],[order_id]], northwind_orders[order_id], 0), MATCH("employee_id", northwind_orders[#Headers], 0))</f>
        <v>8</v>
      </c>
      <c r="H1620">
        <f>northwind_order_details[[#This Row],[unit_price]]*northwind_order_details[[#This Row],[quantity]]</f>
        <v>36</v>
      </c>
      <c r="I1620" s="1">
        <f>northwind_order_details[[#This Row],[purchase amount]]*northwind_order_details[[#This Row],[discount]]</f>
        <v>0</v>
      </c>
      <c r="J1620" s="1">
        <f>northwind_order_details[[#This Row],[purchase amount]]-northwind_order_details[[#This Row],[discount amount]]</f>
        <v>36</v>
      </c>
      <c r="K1620" s="6" t="str">
        <f>IF(northwind_order_details[[#This Row],[discount amount]]&gt;0,"Yes","No")</f>
        <v>No</v>
      </c>
      <c r="L1620" s="1" t="str">
        <f>IF(northwind_order_details[[#This Row],[Revenue]]&gt;1000,"High",IF(northwind_order_details[[#This Row],[Revenue]]&gt;300,"Medium","Low"))</f>
        <v>Low</v>
      </c>
      <c r="M16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21" spans="1:13" x14ac:dyDescent="0.25">
      <c r="A1621">
        <v>10884</v>
      </c>
      <c r="B1621">
        <v>21</v>
      </c>
      <c r="C1621" s="6" t="s">
        <v>8</v>
      </c>
      <c r="D1621">
        <v>40</v>
      </c>
      <c r="E1621" s="6">
        <v>0.05</v>
      </c>
      <c r="F1621" t="str">
        <f>_xlfn.XLOOKUP(northwind_order_details[[#This Row],[order_id]],northwind_orders[order_id],northwind_orders[ship_country])</f>
        <v>USA</v>
      </c>
      <c r="G1621">
        <f>INDEX(northwind_orders[],MATCH(northwind_order_details[[#This Row],[order_id]], northwind_orders[order_id], 0), MATCH("employee_id", northwind_orders[#Headers], 0))</f>
        <v>4</v>
      </c>
      <c r="H1621">
        <f>northwind_order_details[[#This Row],[unit_price]]*northwind_order_details[[#This Row],[quantity]]</f>
        <v>400</v>
      </c>
      <c r="I1621" s="1">
        <f>northwind_order_details[[#This Row],[purchase amount]]*northwind_order_details[[#This Row],[discount]]</f>
        <v>20</v>
      </c>
      <c r="J1621" s="1">
        <f>northwind_order_details[[#This Row],[purchase amount]]-northwind_order_details[[#This Row],[discount amount]]</f>
        <v>380</v>
      </c>
      <c r="K1621" s="6" t="str">
        <f>IF(northwind_order_details[[#This Row],[discount amount]]&gt;0,"Yes","No")</f>
        <v>Yes</v>
      </c>
      <c r="L1621" s="1" t="str">
        <f>IF(northwind_order_details[[#This Row],[Revenue]]&gt;1000,"High",IF(northwind_order_details[[#This Row],[Revenue]]&gt;300,"Medium","Low"))</f>
        <v>Medium</v>
      </c>
      <c r="M16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2" spans="1:13" x14ac:dyDescent="0.25">
      <c r="A1622">
        <v>10884</v>
      </c>
      <c r="B1622">
        <v>56</v>
      </c>
      <c r="C1622" s="6" t="s">
        <v>30</v>
      </c>
      <c r="D1622">
        <v>21</v>
      </c>
      <c r="E1622" s="6">
        <v>0.05</v>
      </c>
      <c r="F1622" t="str">
        <f>_xlfn.XLOOKUP(northwind_order_details[[#This Row],[order_id]],northwind_orders[order_id],northwind_orders[ship_country])</f>
        <v>USA</v>
      </c>
      <c r="G1622">
        <f>INDEX(northwind_orders[],MATCH(northwind_order_details[[#This Row],[order_id]], northwind_orders[order_id], 0), MATCH("employee_id", northwind_orders[#Headers], 0))</f>
        <v>4</v>
      </c>
      <c r="H1622">
        <f>northwind_order_details[[#This Row],[unit_price]]*northwind_order_details[[#This Row],[quantity]]</f>
        <v>798</v>
      </c>
      <c r="I1622" s="1">
        <f>northwind_order_details[[#This Row],[purchase amount]]*northwind_order_details[[#This Row],[discount]]</f>
        <v>39.900000000000006</v>
      </c>
      <c r="J1622" s="1">
        <f>northwind_order_details[[#This Row],[purchase amount]]-northwind_order_details[[#This Row],[discount amount]]</f>
        <v>758.1</v>
      </c>
      <c r="K1622" s="6" t="str">
        <f>IF(northwind_order_details[[#This Row],[discount amount]]&gt;0,"Yes","No")</f>
        <v>Yes</v>
      </c>
      <c r="L1622" s="1" t="str">
        <f>IF(northwind_order_details[[#This Row],[Revenue]]&gt;1000,"High",IF(northwind_order_details[[#This Row],[Revenue]]&gt;300,"Medium","Low"))</f>
        <v>Medium</v>
      </c>
      <c r="M16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3" spans="1:13" x14ac:dyDescent="0.25">
      <c r="A1623">
        <v>10884</v>
      </c>
      <c r="B1623">
        <v>65</v>
      </c>
      <c r="C1623" s="6">
        <v>21.05</v>
      </c>
      <c r="D1623">
        <v>12</v>
      </c>
      <c r="E1623" s="6">
        <v>0.05</v>
      </c>
      <c r="F1623" t="str">
        <f>_xlfn.XLOOKUP(northwind_order_details[[#This Row],[order_id]],northwind_orders[order_id],northwind_orders[ship_country])</f>
        <v>USA</v>
      </c>
      <c r="G1623">
        <f>INDEX(northwind_orders[],MATCH(northwind_order_details[[#This Row],[order_id]], northwind_orders[order_id], 0), MATCH("employee_id", northwind_orders[#Headers], 0))</f>
        <v>4</v>
      </c>
      <c r="H1623">
        <f>northwind_order_details[[#This Row],[unit_price]]*northwind_order_details[[#This Row],[quantity]]</f>
        <v>252.60000000000002</v>
      </c>
      <c r="I1623" s="1">
        <f>northwind_order_details[[#This Row],[purchase amount]]*northwind_order_details[[#This Row],[discount]]</f>
        <v>12.630000000000003</v>
      </c>
      <c r="J1623" s="1">
        <f>northwind_order_details[[#This Row],[purchase amount]]-northwind_order_details[[#This Row],[discount amount]]</f>
        <v>239.97000000000003</v>
      </c>
      <c r="K1623" s="6" t="str">
        <f>IF(northwind_order_details[[#This Row],[discount amount]]&gt;0,"Yes","No")</f>
        <v>Yes</v>
      </c>
      <c r="L1623" s="1" t="str">
        <f>IF(northwind_order_details[[#This Row],[Revenue]]&gt;1000,"High",IF(northwind_order_details[[#This Row],[Revenue]]&gt;300,"Medium","Low"))</f>
        <v>Low</v>
      </c>
      <c r="M162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24" spans="1:13" x14ac:dyDescent="0.25">
      <c r="A1624">
        <v>10885</v>
      </c>
      <c r="B1624">
        <v>2</v>
      </c>
      <c r="C1624" s="6" t="s">
        <v>20</v>
      </c>
      <c r="D1624">
        <v>20</v>
      </c>
      <c r="E1624" s="6" t="s">
        <v>6</v>
      </c>
      <c r="F1624" t="str">
        <f>_xlfn.XLOOKUP(northwind_order_details[[#This Row],[order_id]],northwind_orders[order_id],northwind_orders[ship_country])</f>
        <v>Belgium</v>
      </c>
      <c r="G1624">
        <f>INDEX(northwind_orders[],MATCH(northwind_order_details[[#This Row],[order_id]], northwind_orders[order_id], 0), MATCH("employee_id", northwind_orders[#Headers], 0))</f>
        <v>6</v>
      </c>
      <c r="H1624">
        <f>northwind_order_details[[#This Row],[unit_price]]*northwind_order_details[[#This Row],[quantity]]</f>
        <v>380</v>
      </c>
      <c r="I1624" s="1">
        <f>northwind_order_details[[#This Row],[purchase amount]]*northwind_order_details[[#This Row],[discount]]</f>
        <v>0</v>
      </c>
      <c r="J1624" s="1">
        <f>northwind_order_details[[#This Row],[purchase amount]]-northwind_order_details[[#This Row],[discount amount]]</f>
        <v>380</v>
      </c>
      <c r="K1624" s="6" t="str">
        <f>IF(northwind_order_details[[#This Row],[discount amount]]&gt;0,"Yes","No")</f>
        <v>No</v>
      </c>
      <c r="L1624" s="1" t="str">
        <f>IF(northwind_order_details[[#This Row],[Revenue]]&gt;1000,"High",IF(northwind_order_details[[#This Row],[Revenue]]&gt;300,"Medium","Low"))</f>
        <v>Medium</v>
      </c>
      <c r="M16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5" spans="1:13" x14ac:dyDescent="0.25">
      <c r="A1625">
        <v>10885</v>
      </c>
      <c r="B1625">
        <v>24</v>
      </c>
      <c r="C1625" s="6">
        <v>4.5</v>
      </c>
      <c r="D1625">
        <v>12</v>
      </c>
      <c r="E1625" s="6" t="s">
        <v>6</v>
      </c>
      <c r="F1625" t="str">
        <f>_xlfn.XLOOKUP(northwind_order_details[[#This Row],[order_id]],northwind_orders[order_id],northwind_orders[ship_country])</f>
        <v>Belgium</v>
      </c>
      <c r="G1625">
        <f>INDEX(northwind_orders[],MATCH(northwind_order_details[[#This Row],[order_id]], northwind_orders[order_id], 0), MATCH("employee_id", northwind_orders[#Headers], 0))</f>
        <v>6</v>
      </c>
      <c r="H1625">
        <f>northwind_order_details[[#This Row],[unit_price]]*northwind_order_details[[#This Row],[quantity]]</f>
        <v>54</v>
      </c>
      <c r="I1625" s="1">
        <f>northwind_order_details[[#This Row],[purchase amount]]*northwind_order_details[[#This Row],[discount]]</f>
        <v>0</v>
      </c>
      <c r="J1625" s="1">
        <f>northwind_order_details[[#This Row],[purchase amount]]-northwind_order_details[[#This Row],[discount amount]]</f>
        <v>54</v>
      </c>
      <c r="K1625" s="6" t="str">
        <f>IF(northwind_order_details[[#This Row],[discount amount]]&gt;0,"Yes","No")</f>
        <v>No</v>
      </c>
      <c r="L1625" s="1" t="str">
        <f>IF(northwind_order_details[[#This Row],[Revenue]]&gt;1000,"High",IF(northwind_order_details[[#This Row],[Revenue]]&gt;300,"Medium","Low"))</f>
        <v>Low</v>
      </c>
      <c r="M16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26" spans="1:13" x14ac:dyDescent="0.25">
      <c r="A1626">
        <v>10885</v>
      </c>
      <c r="B1626">
        <v>70</v>
      </c>
      <c r="C1626" s="6" t="s">
        <v>21</v>
      </c>
      <c r="D1626">
        <v>30</v>
      </c>
      <c r="E1626" s="6" t="s">
        <v>6</v>
      </c>
      <c r="F1626" t="str">
        <f>_xlfn.XLOOKUP(northwind_order_details[[#This Row],[order_id]],northwind_orders[order_id],northwind_orders[ship_country])</f>
        <v>Belgium</v>
      </c>
      <c r="G1626">
        <f>INDEX(northwind_orders[],MATCH(northwind_order_details[[#This Row],[order_id]], northwind_orders[order_id], 0), MATCH("employee_id", northwind_orders[#Headers], 0))</f>
        <v>6</v>
      </c>
      <c r="H1626">
        <f>northwind_order_details[[#This Row],[unit_price]]*northwind_order_details[[#This Row],[quantity]]</f>
        <v>450</v>
      </c>
      <c r="I1626" s="1">
        <f>northwind_order_details[[#This Row],[purchase amount]]*northwind_order_details[[#This Row],[discount]]</f>
        <v>0</v>
      </c>
      <c r="J1626" s="1">
        <f>northwind_order_details[[#This Row],[purchase amount]]-northwind_order_details[[#This Row],[discount amount]]</f>
        <v>450</v>
      </c>
      <c r="K1626" s="6" t="str">
        <f>IF(northwind_order_details[[#This Row],[discount amount]]&gt;0,"Yes","No")</f>
        <v>No</v>
      </c>
      <c r="L1626" s="1" t="str">
        <f>IF(northwind_order_details[[#This Row],[Revenue]]&gt;1000,"High",IF(northwind_order_details[[#This Row],[Revenue]]&gt;300,"Medium","Low"))</f>
        <v>Medium</v>
      </c>
      <c r="M16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7" spans="1:13" x14ac:dyDescent="0.25">
      <c r="A1627">
        <v>10885</v>
      </c>
      <c r="B1627">
        <v>77</v>
      </c>
      <c r="C1627" s="6" t="s">
        <v>19</v>
      </c>
      <c r="D1627">
        <v>25</v>
      </c>
      <c r="E1627" s="6" t="s">
        <v>6</v>
      </c>
      <c r="F1627" t="str">
        <f>_xlfn.XLOOKUP(northwind_order_details[[#This Row],[order_id]],northwind_orders[order_id],northwind_orders[ship_country])</f>
        <v>Belgium</v>
      </c>
      <c r="G1627">
        <f>INDEX(northwind_orders[],MATCH(northwind_order_details[[#This Row],[order_id]], northwind_orders[order_id], 0), MATCH("employee_id", northwind_orders[#Headers], 0))</f>
        <v>6</v>
      </c>
      <c r="H1627">
        <f>northwind_order_details[[#This Row],[unit_price]]*northwind_order_details[[#This Row],[quantity]]</f>
        <v>325</v>
      </c>
      <c r="I1627" s="1">
        <f>northwind_order_details[[#This Row],[purchase amount]]*northwind_order_details[[#This Row],[discount]]</f>
        <v>0</v>
      </c>
      <c r="J1627" s="1">
        <f>northwind_order_details[[#This Row],[purchase amount]]-northwind_order_details[[#This Row],[discount amount]]</f>
        <v>325</v>
      </c>
      <c r="K1627" s="6" t="str">
        <f>IF(northwind_order_details[[#This Row],[discount amount]]&gt;0,"Yes","No")</f>
        <v>No</v>
      </c>
      <c r="L1627" s="1" t="str">
        <f>IF(northwind_order_details[[#This Row],[Revenue]]&gt;1000,"High",IF(northwind_order_details[[#This Row],[Revenue]]&gt;300,"Medium","Low"))</f>
        <v>Medium</v>
      </c>
      <c r="M16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8" spans="1:13" x14ac:dyDescent="0.25">
      <c r="A1628">
        <v>10886</v>
      </c>
      <c r="B1628">
        <v>10</v>
      </c>
      <c r="C1628" s="6" t="s">
        <v>34</v>
      </c>
      <c r="D1628">
        <v>70</v>
      </c>
      <c r="E1628" s="6" t="s">
        <v>6</v>
      </c>
      <c r="F1628" t="str">
        <f>_xlfn.XLOOKUP(northwind_order_details[[#This Row],[order_id]],northwind_orders[order_id],northwind_orders[ship_country])</f>
        <v>Brazil</v>
      </c>
      <c r="G1628">
        <f>INDEX(northwind_orders[],MATCH(northwind_order_details[[#This Row],[order_id]], northwind_orders[order_id], 0), MATCH("employee_id", northwind_orders[#Headers], 0))</f>
        <v>1</v>
      </c>
      <c r="H1628">
        <f>northwind_order_details[[#This Row],[unit_price]]*northwind_order_details[[#This Row],[quantity]]</f>
        <v>2170</v>
      </c>
      <c r="I1628" s="1">
        <f>northwind_order_details[[#This Row],[purchase amount]]*northwind_order_details[[#This Row],[discount]]</f>
        <v>0</v>
      </c>
      <c r="J1628" s="1">
        <f>northwind_order_details[[#This Row],[purchase amount]]-northwind_order_details[[#This Row],[discount amount]]</f>
        <v>2170</v>
      </c>
      <c r="K1628" s="6" t="str">
        <f>IF(northwind_order_details[[#This Row],[discount amount]]&gt;0,"Yes","No")</f>
        <v>No</v>
      </c>
      <c r="L1628" s="1" t="str">
        <f>IF(northwind_order_details[[#This Row],[Revenue]]&gt;1000,"High",IF(northwind_order_details[[#This Row],[Revenue]]&gt;300,"Medium","Low"))</f>
        <v>High</v>
      </c>
      <c r="M16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29" spans="1:13" x14ac:dyDescent="0.25">
      <c r="A1629">
        <v>10886</v>
      </c>
      <c r="B1629">
        <v>31</v>
      </c>
      <c r="C1629" s="6">
        <v>12.5</v>
      </c>
      <c r="D1629">
        <v>35</v>
      </c>
      <c r="E1629" s="6" t="s">
        <v>6</v>
      </c>
      <c r="F1629" t="str">
        <f>_xlfn.XLOOKUP(northwind_order_details[[#This Row],[order_id]],northwind_orders[order_id],northwind_orders[ship_country])</f>
        <v>Brazil</v>
      </c>
      <c r="G1629">
        <f>INDEX(northwind_orders[],MATCH(northwind_order_details[[#This Row],[order_id]], northwind_orders[order_id], 0), MATCH("employee_id", northwind_orders[#Headers], 0))</f>
        <v>1</v>
      </c>
      <c r="H1629">
        <f>northwind_order_details[[#This Row],[unit_price]]*northwind_order_details[[#This Row],[quantity]]</f>
        <v>437.5</v>
      </c>
      <c r="I1629" s="1">
        <f>northwind_order_details[[#This Row],[purchase amount]]*northwind_order_details[[#This Row],[discount]]</f>
        <v>0</v>
      </c>
      <c r="J1629" s="1">
        <f>northwind_order_details[[#This Row],[purchase amount]]-northwind_order_details[[#This Row],[discount amount]]</f>
        <v>437.5</v>
      </c>
      <c r="K1629" s="6" t="str">
        <f>IF(northwind_order_details[[#This Row],[discount amount]]&gt;0,"Yes","No")</f>
        <v>No</v>
      </c>
      <c r="L1629" s="1" t="str">
        <f>IF(northwind_order_details[[#This Row],[Revenue]]&gt;1000,"High",IF(northwind_order_details[[#This Row],[Revenue]]&gt;300,"Medium","Low"))</f>
        <v>Medium</v>
      </c>
      <c r="M16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30" spans="1:13" x14ac:dyDescent="0.25">
      <c r="A1630">
        <v>10886</v>
      </c>
      <c r="B1630">
        <v>77</v>
      </c>
      <c r="C1630" s="6" t="s">
        <v>19</v>
      </c>
      <c r="D1630">
        <v>40</v>
      </c>
      <c r="E1630" s="6" t="s">
        <v>6</v>
      </c>
      <c r="F1630" t="str">
        <f>_xlfn.XLOOKUP(northwind_order_details[[#This Row],[order_id]],northwind_orders[order_id],northwind_orders[ship_country])</f>
        <v>Brazil</v>
      </c>
      <c r="G1630">
        <f>INDEX(northwind_orders[],MATCH(northwind_order_details[[#This Row],[order_id]], northwind_orders[order_id], 0), MATCH("employee_id", northwind_orders[#Headers], 0))</f>
        <v>1</v>
      </c>
      <c r="H1630">
        <f>northwind_order_details[[#This Row],[unit_price]]*northwind_order_details[[#This Row],[quantity]]</f>
        <v>520</v>
      </c>
      <c r="I1630" s="1">
        <f>northwind_order_details[[#This Row],[purchase amount]]*northwind_order_details[[#This Row],[discount]]</f>
        <v>0</v>
      </c>
      <c r="J1630" s="1">
        <f>northwind_order_details[[#This Row],[purchase amount]]-northwind_order_details[[#This Row],[discount amount]]</f>
        <v>520</v>
      </c>
      <c r="K1630" s="6" t="str">
        <f>IF(northwind_order_details[[#This Row],[discount amount]]&gt;0,"Yes","No")</f>
        <v>No</v>
      </c>
      <c r="L1630" s="1" t="str">
        <f>IF(northwind_order_details[[#This Row],[Revenue]]&gt;1000,"High",IF(northwind_order_details[[#This Row],[Revenue]]&gt;300,"Medium","Low"))</f>
        <v>Medium</v>
      </c>
      <c r="M163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1" spans="1:13" x14ac:dyDescent="0.25">
      <c r="A1631">
        <v>10887</v>
      </c>
      <c r="B1631">
        <v>25</v>
      </c>
      <c r="C1631" s="6" t="s">
        <v>5</v>
      </c>
      <c r="D1631">
        <v>5</v>
      </c>
      <c r="E1631" s="6" t="s">
        <v>6</v>
      </c>
      <c r="F1631" t="str">
        <f>_xlfn.XLOOKUP(northwind_order_details[[#This Row],[order_id]],northwind_orders[order_id],northwind_orders[ship_country])</f>
        <v>Spain</v>
      </c>
      <c r="G1631">
        <f>INDEX(northwind_orders[],MATCH(northwind_order_details[[#This Row],[order_id]], northwind_orders[order_id], 0), MATCH("employee_id", northwind_orders[#Headers], 0))</f>
        <v>8</v>
      </c>
      <c r="H1631">
        <f>northwind_order_details[[#This Row],[unit_price]]*northwind_order_details[[#This Row],[quantity]]</f>
        <v>70</v>
      </c>
      <c r="I1631" s="1">
        <f>northwind_order_details[[#This Row],[purchase amount]]*northwind_order_details[[#This Row],[discount]]</f>
        <v>0</v>
      </c>
      <c r="J1631" s="1">
        <f>northwind_order_details[[#This Row],[purchase amount]]-northwind_order_details[[#This Row],[discount amount]]</f>
        <v>70</v>
      </c>
      <c r="K1631" s="6" t="str">
        <f>IF(northwind_order_details[[#This Row],[discount amount]]&gt;0,"Yes","No")</f>
        <v>No</v>
      </c>
      <c r="L1631" s="1" t="str">
        <f>IF(northwind_order_details[[#This Row],[Revenue]]&gt;1000,"High",IF(northwind_order_details[[#This Row],[Revenue]]&gt;300,"Medium","Low"))</f>
        <v>Low</v>
      </c>
      <c r="M16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2" spans="1:13" x14ac:dyDescent="0.25">
      <c r="A1632">
        <v>10888</v>
      </c>
      <c r="B1632">
        <v>2</v>
      </c>
      <c r="C1632" s="6" t="s">
        <v>20</v>
      </c>
      <c r="D1632">
        <v>20</v>
      </c>
      <c r="E1632" s="6" t="s">
        <v>6</v>
      </c>
      <c r="F1632" t="str">
        <f>_xlfn.XLOOKUP(northwind_order_details[[#This Row],[order_id]],northwind_orders[order_id],northwind_orders[ship_country])</f>
        <v>Spain</v>
      </c>
      <c r="G1632">
        <f>INDEX(northwind_orders[],MATCH(northwind_order_details[[#This Row],[order_id]], northwind_orders[order_id], 0), MATCH("employee_id", northwind_orders[#Headers], 0))</f>
        <v>1</v>
      </c>
      <c r="H1632">
        <f>northwind_order_details[[#This Row],[unit_price]]*northwind_order_details[[#This Row],[quantity]]</f>
        <v>380</v>
      </c>
      <c r="I1632" s="1">
        <f>northwind_order_details[[#This Row],[purchase amount]]*northwind_order_details[[#This Row],[discount]]</f>
        <v>0</v>
      </c>
      <c r="J1632" s="1">
        <f>northwind_order_details[[#This Row],[purchase amount]]-northwind_order_details[[#This Row],[discount amount]]</f>
        <v>380</v>
      </c>
      <c r="K1632" s="6" t="str">
        <f>IF(northwind_order_details[[#This Row],[discount amount]]&gt;0,"Yes","No")</f>
        <v>No</v>
      </c>
      <c r="L1632" s="1" t="str">
        <f>IF(northwind_order_details[[#This Row],[Revenue]]&gt;1000,"High",IF(northwind_order_details[[#This Row],[Revenue]]&gt;300,"Medium","Low"))</f>
        <v>Medium</v>
      </c>
      <c r="M16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3" spans="1:13" x14ac:dyDescent="0.25">
      <c r="A1633">
        <v>10888</v>
      </c>
      <c r="B1633">
        <v>68</v>
      </c>
      <c r="C1633" s="6">
        <v>12.5</v>
      </c>
      <c r="D1633">
        <v>18</v>
      </c>
      <c r="E1633" s="6" t="s">
        <v>6</v>
      </c>
      <c r="F1633" t="str">
        <f>_xlfn.XLOOKUP(northwind_order_details[[#This Row],[order_id]],northwind_orders[order_id],northwind_orders[ship_country])</f>
        <v>Spain</v>
      </c>
      <c r="G1633">
        <f>INDEX(northwind_orders[],MATCH(northwind_order_details[[#This Row],[order_id]], northwind_orders[order_id], 0), MATCH("employee_id", northwind_orders[#Headers], 0))</f>
        <v>1</v>
      </c>
      <c r="H1633">
        <f>northwind_order_details[[#This Row],[unit_price]]*northwind_order_details[[#This Row],[quantity]]</f>
        <v>225</v>
      </c>
      <c r="I1633" s="1">
        <f>northwind_order_details[[#This Row],[purchase amount]]*northwind_order_details[[#This Row],[discount]]</f>
        <v>0</v>
      </c>
      <c r="J1633" s="1">
        <f>northwind_order_details[[#This Row],[purchase amount]]-northwind_order_details[[#This Row],[discount amount]]</f>
        <v>225</v>
      </c>
      <c r="K1633" s="6" t="str">
        <f>IF(northwind_order_details[[#This Row],[discount amount]]&gt;0,"Yes","No")</f>
        <v>No</v>
      </c>
      <c r="L1633" s="1" t="str">
        <f>IF(northwind_order_details[[#This Row],[Revenue]]&gt;1000,"High",IF(northwind_order_details[[#This Row],[Revenue]]&gt;300,"Medium","Low"))</f>
        <v>Low</v>
      </c>
      <c r="M163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34" spans="1:13" x14ac:dyDescent="0.25">
      <c r="A1634">
        <v>10889</v>
      </c>
      <c r="B1634">
        <v>11</v>
      </c>
      <c r="C1634" s="6" t="s">
        <v>37</v>
      </c>
      <c r="D1634">
        <v>40</v>
      </c>
      <c r="E1634" s="6" t="s">
        <v>6</v>
      </c>
      <c r="F1634" t="str">
        <f>_xlfn.XLOOKUP(northwind_order_details[[#This Row],[order_id]],northwind_orders[order_id],northwind_orders[ship_country])</f>
        <v>USA</v>
      </c>
      <c r="G1634">
        <f>INDEX(northwind_orders[],MATCH(northwind_order_details[[#This Row],[order_id]], northwind_orders[order_id], 0), MATCH("employee_id", northwind_orders[#Headers], 0))</f>
        <v>9</v>
      </c>
      <c r="H1634">
        <f>northwind_order_details[[#This Row],[unit_price]]*northwind_order_details[[#This Row],[quantity]]</f>
        <v>840</v>
      </c>
      <c r="I1634" s="1">
        <f>northwind_order_details[[#This Row],[purchase amount]]*northwind_order_details[[#This Row],[discount]]</f>
        <v>0</v>
      </c>
      <c r="J1634" s="1">
        <f>northwind_order_details[[#This Row],[purchase amount]]-northwind_order_details[[#This Row],[discount amount]]</f>
        <v>840</v>
      </c>
      <c r="K1634" s="6" t="str">
        <f>IF(northwind_order_details[[#This Row],[discount amount]]&gt;0,"Yes","No")</f>
        <v>No</v>
      </c>
      <c r="L1634" s="1" t="str">
        <f>IF(northwind_order_details[[#This Row],[Revenue]]&gt;1000,"High",IF(northwind_order_details[[#This Row],[Revenue]]&gt;300,"Medium","Low"))</f>
        <v>Medium</v>
      </c>
      <c r="M16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5" spans="1:13" x14ac:dyDescent="0.25">
      <c r="A1635">
        <v>10889</v>
      </c>
      <c r="B1635">
        <v>38</v>
      </c>
      <c r="C1635" s="6">
        <v>263.5</v>
      </c>
      <c r="D1635">
        <v>40</v>
      </c>
      <c r="E1635" s="6" t="s">
        <v>6</v>
      </c>
      <c r="F1635" t="str">
        <f>_xlfn.XLOOKUP(northwind_order_details[[#This Row],[order_id]],northwind_orders[order_id],northwind_orders[ship_country])</f>
        <v>USA</v>
      </c>
      <c r="G1635">
        <f>INDEX(northwind_orders[],MATCH(northwind_order_details[[#This Row],[order_id]], northwind_orders[order_id], 0), MATCH("employee_id", northwind_orders[#Headers], 0))</f>
        <v>9</v>
      </c>
      <c r="H1635">
        <f>northwind_order_details[[#This Row],[unit_price]]*northwind_order_details[[#This Row],[quantity]]</f>
        <v>10540</v>
      </c>
      <c r="I1635" s="1">
        <f>northwind_order_details[[#This Row],[purchase amount]]*northwind_order_details[[#This Row],[discount]]</f>
        <v>0</v>
      </c>
      <c r="J1635" s="1">
        <f>northwind_order_details[[#This Row],[purchase amount]]-northwind_order_details[[#This Row],[discount amount]]</f>
        <v>10540</v>
      </c>
      <c r="K1635" s="6" t="str">
        <f>IF(northwind_order_details[[#This Row],[discount amount]]&gt;0,"Yes","No")</f>
        <v>No</v>
      </c>
      <c r="L1635" s="1" t="str">
        <f>IF(northwind_order_details[[#This Row],[Revenue]]&gt;1000,"High",IF(northwind_order_details[[#This Row],[Revenue]]&gt;300,"Medium","Low"))</f>
        <v>High</v>
      </c>
      <c r="M163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36" spans="1:13" x14ac:dyDescent="0.25">
      <c r="A1636">
        <v>10890</v>
      </c>
      <c r="B1636">
        <v>17</v>
      </c>
      <c r="C1636" s="6" t="s">
        <v>35</v>
      </c>
      <c r="D1636">
        <v>15</v>
      </c>
      <c r="E1636" s="6" t="s">
        <v>6</v>
      </c>
      <c r="F1636" t="str">
        <f>_xlfn.XLOOKUP(northwind_order_details[[#This Row],[order_id]],northwind_orders[order_id],northwind_orders[ship_country])</f>
        <v>France</v>
      </c>
      <c r="G1636">
        <f>INDEX(northwind_orders[],MATCH(northwind_order_details[[#This Row],[order_id]], northwind_orders[order_id], 0), MATCH("employee_id", northwind_orders[#Headers], 0))</f>
        <v>7</v>
      </c>
      <c r="H1636">
        <f>northwind_order_details[[#This Row],[unit_price]]*northwind_order_details[[#This Row],[quantity]]</f>
        <v>585</v>
      </c>
      <c r="I1636" s="1">
        <f>northwind_order_details[[#This Row],[purchase amount]]*northwind_order_details[[#This Row],[discount]]</f>
        <v>0</v>
      </c>
      <c r="J1636" s="1">
        <f>northwind_order_details[[#This Row],[purchase amount]]-northwind_order_details[[#This Row],[discount amount]]</f>
        <v>585</v>
      </c>
      <c r="K1636" s="6" t="str">
        <f>IF(northwind_order_details[[#This Row],[discount amount]]&gt;0,"Yes","No")</f>
        <v>No</v>
      </c>
      <c r="L1636" s="1" t="str">
        <f>IF(northwind_order_details[[#This Row],[Revenue]]&gt;1000,"High",IF(northwind_order_details[[#This Row],[Revenue]]&gt;300,"Medium","Low"))</f>
        <v>Medium</v>
      </c>
      <c r="M16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7" spans="1:13" x14ac:dyDescent="0.25">
      <c r="A1637">
        <v>10890</v>
      </c>
      <c r="B1637">
        <v>34</v>
      </c>
      <c r="C1637" s="6" t="s">
        <v>5</v>
      </c>
      <c r="D1637">
        <v>10</v>
      </c>
      <c r="E1637" s="6" t="s">
        <v>6</v>
      </c>
      <c r="F1637" t="str">
        <f>_xlfn.XLOOKUP(northwind_order_details[[#This Row],[order_id]],northwind_orders[order_id],northwind_orders[ship_country])</f>
        <v>France</v>
      </c>
      <c r="G1637">
        <f>INDEX(northwind_orders[],MATCH(northwind_order_details[[#This Row],[order_id]], northwind_orders[order_id], 0), MATCH("employee_id", northwind_orders[#Headers], 0))</f>
        <v>7</v>
      </c>
      <c r="H1637">
        <f>northwind_order_details[[#This Row],[unit_price]]*northwind_order_details[[#This Row],[quantity]]</f>
        <v>140</v>
      </c>
      <c r="I1637" s="1">
        <f>northwind_order_details[[#This Row],[purchase amount]]*northwind_order_details[[#This Row],[discount]]</f>
        <v>0</v>
      </c>
      <c r="J1637" s="1">
        <f>northwind_order_details[[#This Row],[purchase amount]]-northwind_order_details[[#This Row],[discount amount]]</f>
        <v>140</v>
      </c>
      <c r="K1637" s="6" t="str">
        <f>IF(northwind_order_details[[#This Row],[discount amount]]&gt;0,"Yes","No")</f>
        <v>No</v>
      </c>
      <c r="L1637" s="1" t="str">
        <f>IF(northwind_order_details[[#This Row],[Revenue]]&gt;1000,"High",IF(northwind_order_details[[#This Row],[Revenue]]&gt;300,"Medium","Low"))</f>
        <v>Low</v>
      </c>
      <c r="M16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38" spans="1:13" x14ac:dyDescent="0.25">
      <c r="A1638">
        <v>10890</v>
      </c>
      <c r="B1638">
        <v>41</v>
      </c>
      <c r="C1638" s="6">
        <v>9.65</v>
      </c>
      <c r="D1638">
        <v>14</v>
      </c>
      <c r="E1638" s="6" t="s">
        <v>6</v>
      </c>
      <c r="F1638" t="str">
        <f>_xlfn.XLOOKUP(northwind_order_details[[#This Row],[order_id]],northwind_orders[order_id],northwind_orders[ship_country])</f>
        <v>France</v>
      </c>
      <c r="G1638">
        <f>INDEX(northwind_orders[],MATCH(northwind_order_details[[#This Row],[order_id]], northwind_orders[order_id], 0), MATCH("employee_id", northwind_orders[#Headers], 0))</f>
        <v>7</v>
      </c>
      <c r="H1638">
        <f>northwind_order_details[[#This Row],[unit_price]]*northwind_order_details[[#This Row],[quantity]]</f>
        <v>135.1</v>
      </c>
      <c r="I1638" s="1">
        <f>northwind_order_details[[#This Row],[purchase amount]]*northwind_order_details[[#This Row],[discount]]</f>
        <v>0</v>
      </c>
      <c r="J1638" s="1">
        <f>northwind_order_details[[#This Row],[purchase amount]]-northwind_order_details[[#This Row],[discount amount]]</f>
        <v>135.1</v>
      </c>
      <c r="K1638" s="6" t="str">
        <f>IF(northwind_order_details[[#This Row],[discount amount]]&gt;0,"Yes","No")</f>
        <v>No</v>
      </c>
      <c r="L1638" s="1" t="str">
        <f>IF(northwind_order_details[[#This Row],[Revenue]]&gt;1000,"High",IF(northwind_order_details[[#This Row],[Revenue]]&gt;300,"Medium","Low"))</f>
        <v>Low</v>
      </c>
      <c r="M163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39" spans="1:13" x14ac:dyDescent="0.25">
      <c r="A1639">
        <v>10891</v>
      </c>
      <c r="B1639">
        <v>30</v>
      </c>
      <c r="C1639" s="6">
        <v>25.89</v>
      </c>
      <c r="D1639">
        <v>15</v>
      </c>
      <c r="E1639" s="6">
        <v>0.05</v>
      </c>
      <c r="F1639" t="str">
        <f>_xlfn.XLOOKUP(northwind_order_details[[#This Row],[order_id]],northwind_orders[order_id],northwind_orders[ship_country])</f>
        <v>Germany</v>
      </c>
      <c r="G1639">
        <f>INDEX(northwind_orders[],MATCH(northwind_order_details[[#This Row],[order_id]], northwind_orders[order_id], 0), MATCH("employee_id", northwind_orders[#Headers], 0))</f>
        <v>7</v>
      </c>
      <c r="H1639">
        <f>northwind_order_details[[#This Row],[unit_price]]*northwind_order_details[[#This Row],[quantity]]</f>
        <v>388.35</v>
      </c>
      <c r="I1639" s="1">
        <f>northwind_order_details[[#This Row],[purchase amount]]*northwind_order_details[[#This Row],[discount]]</f>
        <v>19.417500000000004</v>
      </c>
      <c r="J1639" s="1">
        <f>northwind_order_details[[#This Row],[purchase amount]]-northwind_order_details[[#This Row],[discount amount]]</f>
        <v>368.9325</v>
      </c>
      <c r="K1639" s="6" t="str">
        <f>IF(northwind_order_details[[#This Row],[discount amount]]&gt;0,"Yes","No")</f>
        <v>Yes</v>
      </c>
      <c r="L1639" s="1" t="str">
        <f>IF(northwind_order_details[[#This Row],[Revenue]]&gt;1000,"High",IF(northwind_order_details[[#This Row],[Revenue]]&gt;300,"Medium","Low"))</f>
        <v>Medium</v>
      </c>
      <c r="M163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40" spans="1:13" x14ac:dyDescent="0.25">
      <c r="A1640">
        <v>10892</v>
      </c>
      <c r="B1640">
        <v>59</v>
      </c>
      <c r="C1640" s="6" t="s">
        <v>33</v>
      </c>
      <c r="D1640">
        <v>40</v>
      </c>
      <c r="E1640" s="6">
        <v>0.05</v>
      </c>
      <c r="F1640" t="str">
        <f>_xlfn.XLOOKUP(northwind_order_details[[#This Row],[order_id]],northwind_orders[order_id],northwind_orders[ship_country])</f>
        <v>Belgium</v>
      </c>
      <c r="G1640">
        <f>INDEX(northwind_orders[],MATCH(northwind_order_details[[#This Row],[order_id]], northwind_orders[order_id], 0), MATCH("employee_id", northwind_orders[#Headers], 0))</f>
        <v>4</v>
      </c>
      <c r="H1640">
        <f>northwind_order_details[[#This Row],[unit_price]]*northwind_order_details[[#This Row],[quantity]]</f>
        <v>2200</v>
      </c>
      <c r="I1640" s="1">
        <f>northwind_order_details[[#This Row],[purchase amount]]*northwind_order_details[[#This Row],[discount]]</f>
        <v>110</v>
      </c>
      <c r="J1640" s="1">
        <f>northwind_order_details[[#This Row],[purchase amount]]-northwind_order_details[[#This Row],[discount amount]]</f>
        <v>2090</v>
      </c>
      <c r="K1640" s="6" t="str">
        <f>IF(northwind_order_details[[#This Row],[discount amount]]&gt;0,"Yes","No")</f>
        <v>Yes</v>
      </c>
      <c r="L1640" s="1" t="str">
        <f>IF(northwind_order_details[[#This Row],[Revenue]]&gt;1000,"High",IF(northwind_order_details[[#This Row],[Revenue]]&gt;300,"Medium","Low"))</f>
        <v>High</v>
      </c>
      <c r="M16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41" spans="1:13" x14ac:dyDescent="0.25">
      <c r="A1641">
        <v>10893</v>
      </c>
      <c r="B1641">
        <v>8</v>
      </c>
      <c r="C1641" s="6" t="s">
        <v>27</v>
      </c>
      <c r="D1641">
        <v>30</v>
      </c>
      <c r="E1641" s="6" t="s">
        <v>6</v>
      </c>
      <c r="F1641" t="str">
        <f>_xlfn.XLOOKUP(northwind_order_details[[#This Row],[order_id]],northwind_orders[order_id],northwind_orders[ship_country])</f>
        <v>Germany</v>
      </c>
      <c r="G1641">
        <f>INDEX(northwind_orders[],MATCH(northwind_order_details[[#This Row],[order_id]], northwind_orders[order_id], 0), MATCH("employee_id", northwind_orders[#Headers], 0))</f>
        <v>9</v>
      </c>
      <c r="H1641">
        <f>northwind_order_details[[#This Row],[unit_price]]*northwind_order_details[[#This Row],[quantity]]</f>
        <v>1200</v>
      </c>
      <c r="I1641" s="1">
        <f>northwind_order_details[[#This Row],[purchase amount]]*northwind_order_details[[#This Row],[discount]]</f>
        <v>0</v>
      </c>
      <c r="J1641" s="1">
        <f>northwind_order_details[[#This Row],[purchase amount]]-northwind_order_details[[#This Row],[discount amount]]</f>
        <v>1200</v>
      </c>
      <c r="K1641" s="6" t="str">
        <f>IF(northwind_order_details[[#This Row],[discount amount]]&gt;0,"Yes","No")</f>
        <v>No</v>
      </c>
      <c r="L1641" s="1" t="str">
        <f>IF(northwind_order_details[[#This Row],[Revenue]]&gt;1000,"High",IF(northwind_order_details[[#This Row],[Revenue]]&gt;300,"Medium","Low"))</f>
        <v>High</v>
      </c>
      <c r="M16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42" spans="1:13" x14ac:dyDescent="0.25">
      <c r="A1642">
        <v>10893</v>
      </c>
      <c r="B1642">
        <v>24</v>
      </c>
      <c r="C1642" s="6">
        <v>4.5</v>
      </c>
      <c r="D1642">
        <v>10</v>
      </c>
      <c r="E1642" s="6" t="s">
        <v>6</v>
      </c>
      <c r="F1642" t="str">
        <f>_xlfn.XLOOKUP(northwind_order_details[[#This Row],[order_id]],northwind_orders[order_id],northwind_orders[ship_country])</f>
        <v>Germany</v>
      </c>
      <c r="G1642">
        <f>INDEX(northwind_orders[],MATCH(northwind_order_details[[#This Row],[order_id]], northwind_orders[order_id], 0), MATCH("employee_id", northwind_orders[#Headers], 0))</f>
        <v>9</v>
      </c>
      <c r="H1642">
        <f>northwind_order_details[[#This Row],[unit_price]]*northwind_order_details[[#This Row],[quantity]]</f>
        <v>45</v>
      </c>
      <c r="I1642" s="1">
        <f>northwind_order_details[[#This Row],[purchase amount]]*northwind_order_details[[#This Row],[discount]]</f>
        <v>0</v>
      </c>
      <c r="J1642" s="1">
        <f>northwind_order_details[[#This Row],[purchase amount]]-northwind_order_details[[#This Row],[discount amount]]</f>
        <v>45</v>
      </c>
      <c r="K1642" s="6" t="str">
        <f>IF(northwind_order_details[[#This Row],[discount amount]]&gt;0,"Yes","No")</f>
        <v>No</v>
      </c>
      <c r="L1642" s="1" t="str">
        <f>IF(northwind_order_details[[#This Row],[Revenue]]&gt;1000,"High",IF(northwind_order_details[[#This Row],[Revenue]]&gt;300,"Medium","Low"))</f>
        <v>Low</v>
      </c>
      <c r="M164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43" spans="1:13" x14ac:dyDescent="0.25">
      <c r="A1643">
        <v>10893</v>
      </c>
      <c r="B1643">
        <v>29</v>
      </c>
      <c r="C1643" s="6">
        <v>123.79</v>
      </c>
      <c r="D1643">
        <v>24</v>
      </c>
      <c r="E1643" s="6" t="s">
        <v>6</v>
      </c>
      <c r="F1643" t="str">
        <f>_xlfn.XLOOKUP(northwind_order_details[[#This Row],[order_id]],northwind_orders[order_id],northwind_orders[ship_country])</f>
        <v>Germany</v>
      </c>
      <c r="G1643">
        <f>INDEX(northwind_orders[],MATCH(northwind_order_details[[#This Row],[order_id]], northwind_orders[order_id], 0), MATCH("employee_id", northwind_orders[#Headers], 0))</f>
        <v>9</v>
      </c>
      <c r="H1643">
        <f>northwind_order_details[[#This Row],[unit_price]]*northwind_order_details[[#This Row],[quantity]]</f>
        <v>2970.96</v>
      </c>
      <c r="I1643" s="1">
        <f>northwind_order_details[[#This Row],[purchase amount]]*northwind_order_details[[#This Row],[discount]]</f>
        <v>0</v>
      </c>
      <c r="J1643" s="1">
        <f>northwind_order_details[[#This Row],[purchase amount]]-northwind_order_details[[#This Row],[discount amount]]</f>
        <v>2970.96</v>
      </c>
      <c r="K1643" s="6" t="str">
        <f>IF(northwind_order_details[[#This Row],[discount amount]]&gt;0,"Yes","No")</f>
        <v>No</v>
      </c>
      <c r="L1643" s="1" t="str">
        <f>IF(northwind_order_details[[#This Row],[Revenue]]&gt;1000,"High",IF(northwind_order_details[[#This Row],[Revenue]]&gt;300,"Medium","Low"))</f>
        <v>High</v>
      </c>
      <c r="M16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44" spans="1:13" x14ac:dyDescent="0.25">
      <c r="A1644">
        <v>10893</v>
      </c>
      <c r="B1644">
        <v>30</v>
      </c>
      <c r="C1644" s="6">
        <v>25.89</v>
      </c>
      <c r="D1644">
        <v>35</v>
      </c>
      <c r="E1644" s="6" t="s">
        <v>6</v>
      </c>
      <c r="F1644" t="str">
        <f>_xlfn.XLOOKUP(northwind_order_details[[#This Row],[order_id]],northwind_orders[order_id],northwind_orders[ship_country])</f>
        <v>Germany</v>
      </c>
      <c r="G1644">
        <f>INDEX(northwind_orders[],MATCH(northwind_order_details[[#This Row],[order_id]], northwind_orders[order_id], 0), MATCH("employee_id", northwind_orders[#Headers], 0))</f>
        <v>9</v>
      </c>
      <c r="H1644">
        <f>northwind_order_details[[#This Row],[unit_price]]*northwind_order_details[[#This Row],[quantity]]</f>
        <v>906.15</v>
      </c>
      <c r="I1644" s="1">
        <f>northwind_order_details[[#This Row],[purchase amount]]*northwind_order_details[[#This Row],[discount]]</f>
        <v>0</v>
      </c>
      <c r="J1644" s="1">
        <f>northwind_order_details[[#This Row],[purchase amount]]-northwind_order_details[[#This Row],[discount amount]]</f>
        <v>906.15</v>
      </c>
      <c r="K1644" s="6" t="str">
        <f>IF(northwind_order_details[[#This Row],[discount amount]]&gt;0,"Yes","No")</f>
        <v>No</v>
      </c>
      <c r="L1644" s="1" t="str">
        <f>IF(northwind_order_details[[#This Row],[Revenue]]&gt;1000,"High",IF(northwind_order_details[[#This Row],[Revenue]]&gt;300,"Medium","Low"))</f>
        <v>Medium</v>
      </c>
      <c r="M16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45" spans="1:13" x14ac:dyDescent="0.25">
      <c r="A1645">
        <v>10893</v>
      </c>
      <c r="B1645">
        <v>36</v>
      </c>
      <c r="C1645" s="6" t="s">
        <v>20</v>
      </c>
      <c r="D1645">
        <v>20</v>
      </c>
      <c r="E1645" s="6" t="s">
        <v>6</v>
      </c>
      <c r="F1645" t="str">
        <f>_xlfn.XLOOKUP(northwind_order_details[[#This Row],[order_id]],northwind_orders[order_id],northwind_orders[ship_country])</f>
        <v>Germany</v>
      </c>
      <c r="G1645">
        <f>INDEX(northwind_orders[],MATCH(northwind_order_details[[#This Row],[order_id]], northwind_orders[order_id], 0), MATCH("employee_id", northwind_orders[#Headers], 0))</f>
        <v>9</v>
      </c>
      <c r="H1645">
        <f>northwind_order_details[[#This Row],[unit_price]]*northwind_order_details[[#This Row],[quantity]]</f>
        <v>380</v>
      </c>
      <c r="I1645" s="1">
        <f>northwind_order_details[[#This Row],[purchase amount]]*northwind_order_details[[#This Row],[discount]]</f>
        <v>0</v>
      </c>
      <c r="J1645" s="1">
        <f>northwind_order_details[[#This Row],[purchase amount]]-northwind_order_details[[#This Row],[discount amount]]</f>
        <v>380</v>
      </c>
      <c r="K1645" s="6" t="str">
        <f>IF(northwind_order_details[[#This Row],[discount amount]]&gt;0,"Yes","No")</f>
        <v>No</v>
      </c>
      <c r="L1645" s="1" t="str">
        <f>IF(northwind_order_details[[#This Row],[Revenue]]&gt;1000,"High",IF(northwind_order_details[[#This Row],[Revenue]]&gt;300,"Medium","Low"))</f>
        <v>Medium</v>
      </c>
      <c r="M16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46" spans="1:13" x14ac:dyDescent="0.25">
      <c r="A1646">
        <v>10894</v>
      </c>
      <c r="B1646">
        <v>13</v>
      </c>
      <c r="C1646" s="6" t="s">
        <v>23</v>
      </c>
      <c r="D1646">
        <v>28</v>
      </c>
      <c r="E1646" s="6">
        <v>0.05</v>
      </c>
      <c r="F1646" t="str">
        <f>_xlfn.XLOOKUP(northwind_order_details[[#This Row],[order_id]],northwind_orders[order_id],northwind_orders[ship_country])</f>
        <v>USA</v>
      </c>
      <c r="G1646">
        <f>INDEX(northwind_orders[],MATCH(northwind_order_details[[#This Row],[order_id]], northwind_orders[order_id], 0), MATCH("employee_id", northwind_orders[#Headers], 0))</f>
        <v>1</v>
      </c>
      <c r="H1646">
        <f>northwind_order_details[[#This Row],[unit_price]]*northwind_order_details[[#This Row],[quantity]]</f>
        <v>168</v>
      </c>
      <c r="I1646" s="1">
        <f>northwind_order_details[[#This Row],[purchase amount]]*northwind_order_details[[#This Row],[discount]]</f>
        <v>8.4</v>
      </c>
      <c r="J1646" s="1">
        <f>northwind_order_details[[#This Row],[purchase amount]]-northwind_order_details[[#This Row],[discount amount]]</f>
        <v>159.6</v>
      </c>
      <c r="K1646" s="6" t="str">
        <f>IF(northwind_order_details[[#This Row],[discount amount]]&gt;0,"Yes","No")</f>
        <v>Yes</v>
      </c>
      <c r="L1646" s="1" t="str">
        <f>IF(northwind_order_details[[#This Row],[Revenue]]&gt;1000,"High",IF(northwind_order_details[[#This Row],[Revenue]]&gt;300,"Medium","Low"))</f>
        <v>Low</v>
      </c>
      <c r="M16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47" spans="1:13" x14ac:dyDescent="0.25">
      <c r="A1647">
        <v>10894</v>
      </c>
      <c r="B1647">
        <v>69</v>
      </c>
      <c r="C1647" s="6" t="s">
        <v>38</v>
      </c>
      <c r="D1647">
        <v>50</v>
      </c>
      <c r="E1647" s="6">
        <v>0.05</v>
      </c>
      <c r="F1647" t="str">
        <f>_xlfn.XLOOKUP(northwind_order_details[[#This Row],[order_id]],northwind_orders[order_id],northwind_orders[ship_country])</f>
        <v>USA</v>
      </c>
      <c r="G1647">
        <f>INDEX(northwind_orders[],MATCH(northwind_order_details[[#This Row],[order_id]], northwind_orders[order_id], 0), MATCH("employee_id", northwind_orders[#Headers], 0))</f>
        <v>1</v>
      </c>
      <c r="H1647">
        <f>northwind_order_details[[#This Row],[unit_price]]*northwind_order_details[[#This Row],[quantity]]</f>
        <v>1800</v>
      </c>
      <c r="I1647" s="1">
        <f>northwind_order_details[[#This Row],[purchase amount]]*northwind_order_details[[#This Row],[discount]]</f>
        <v>90</v>
      </c>
      <c r="J1647" s="1">
        <f>northwind_order_details[[#This Row],[purchase amount]]-northwind_order_details[[#This Row],[discount amount]]</f>
        <v>1710</v>
      </c>
      <c r="K1647" s="6" t="str">
        <f>IF(northwind_order_details[[#This Row],[discount amount]]&gt;0,"Yes","No")</f>
        <v>Yes</v>
      </c>
      <c r="L1647" s="1" t="str">
        <f>IF(northwind_order_details[[#This Row],[Revenue]]&gt;1000,"High",IF(northwind_order_details[[#This Row],[Revenue]]&gt;300,"Medium","Low"))</f>
        <v>High</v>
      </c>
      <c r="M16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48" spans="1:13" x14ac:dyDescent="0.25">
      <c r="A1648">
        <v>10894</v>
      </c>
      <c r="B1648">
        <v>75</v>
      </c>
      <c r="C1648" s="6">
        <v>7.75</v>
      </c>
      <c r="D1648">
        <v>120</v>
      </c>
      <c r="E1648" s="6">
        <v>0.05</v>
      </c>
      <c r="F1648" t="str">
        <f>_xlfn.XLOOKUP(northwind_order_details[[#This Row],[order_id]],northwind_orders[order_id],northwind_orders[ship_country])</f>
        <v>USA</v>
      </c>
      <c r="G1648">
        <f>INDEX(northwind_orders[],MATCH(northwind_order_details[[#This Row],[order_id]], northwind_orders[order_id], 0), MATCH("employee_id", northwind_orders[#Headers], 0))</f>
        <v>1</v>
      </c>
      <c r="H1648">
        <f>northwind_order_details[[#This Row],[unit_price]]*northwind_order_details[[#This Row],[quantity]]</f>
        <v>930</v>
      </c>
      <c r="I1648" s="1">
        <f>northwind_order_details[[#This Row],[purchase amount]]*northwind_order_details[[#This Row],[discount]]</f>
        <v>46.5</v>
      </c>
      <c r="J1648" s="1">
        <f>northwind_order_details[[#This Row],[purchase amount]]-northwind_order_details[[#This Row],[discount amount]]</f>
        <v>883.5</v>
      </c>
      <c r="K1648" s="6" t="str">
        <f>IF(northwind_order_details[[#This Row],[discount amount]]&gt;0,"Yes","No")</f>
        <v>Yes</v>
      </c>
      <c r="L1648" s="1" t="str">
        <f>IF(northwind_order_details[[#This Row],[Revenue]]&gt;1000,"High",IF(northwind_order_details[[#This Row],[Revenue]]&gt;300,"Medium","Low"))</f>
        <v>Medium</v>
      </c>
      <c r="M164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49" spans="1:13" x14ac:dyDescent="0.25">
      <c r="A1649">
        <v>10895</v>
      </c>
      <c r="B1649">
        <v>24</v>
      </c>
      <c r="C1649" s="6">
        <v>4.5</v>
      </c>
      <c r="D1649">
        <v>110</v>
      </c>
      <c r="E1649" s="6" t="s">
        <v>6</v>
      </c>
      <c r="F1649" t="str">
        <f>_xlfn.XLOOKUP(northwind_order_details[[#This Row],[order_id]],northwind_orders[order_id],northwind_orders[ship_country])</f>
        <v>Austria</v>
      </c>
      <c r="G1649">
        <f>INDEX(northwind_orders[],MATCH(northwind_order_details[[#This Row],[order_id]], northwind_orders[order_id], 0), MATCH("employee_id", northwind_orders[#Headers], 0))</f>
        <v>3</v>
      </c>
      <c r="H1649">
        <f>northwind_order_details[[#This Row],[unit_price]]*northwind_order_details[[#This Row],[quantity]]</f>
        <v>495</v>
      </c>
      <c r="I1649" s="1">
        <f>northwind_order_details[[#This Row],[purchase amount]]*northwind_order_details[[#This Row],[discount]]</f>
        <v>0</v>
      </c>
      <c r="J1649" s="1">
        <f>northwind_order_details[[#This Row],[purchase amount]]-northwind_order_details[[#This Row],[discount amount]]</f>
        <v>495</v>
      </c>
      <c r="K1649" s="6" t="str">
        <f>IF(northwind_order_details[[#This Row],[discount amount]]&gt;0,"Yes","No")</f>
        <v>No</v>
      </c>
      <c r="L1649" s="1" t="str">
        <f>IF(northwind_order_details[[#This Row],[Revenue]]&gt;1000,"High",IF(northwind_order_details[[#This Row],[Revenue]]&gt;300,"Medium","Low"))</f>
        <v>Medium</v>
      </c>
      <c r="M16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50" spans="1:13" x14ac:dyDescent="0.25">
      <c r="A1650">
        <v>10895</v>
      </c>
      <c r="B1650">
        <v>39</v>
      </c>
      <c r="C1650" s="6" t="s">
        <v>24</v>
      </c>
      <c r="D1650">
        <v>45</v>
      </c>
      <c r="E1650" s="6" t="s">
        <v>6</v>
      </c>
      <c r="F1650" t="str">
        <f>_xlfn.XLOOKUP(northwind_order_details[[#This Row],[order_id]],northwind_orders[order_id],northwind_orders[ship_country])</f>
        <v>Austria</v>
      </c>
      <c r="G1650">
        <f>INDEX(northwind_orders[],MATCH(northwind_order_details[[#This Row],[order_id]], northwind_orders[order_id], 0), MATCH("employee_id", northwind_orders[#Headers], 0))</f>
        <v>3</v>
      </c>
      <c r="H1650">
        <f>northwind_order_details[[#This Row],[unit_price]]*northwind_order_details[[#This Row],[quantity]]</f>
        <v>810</v>
      </c>
      <c r="I1650" s="1">
        <f>northwind_order_details[[#This Row],[purchase amount]]*northwind_order_details[[#This Row],[discount]]</f>
        <v>0</v>
      </c>
      <c r="J1650" s="1">
        <f>northwind_order_details[[#This Row],[purchase amount]]-northwind_order_details[[#This Row],[discount amount]]</f>
        <v>810</v>
      </c>
      <c r="K1650" s="6" t="str">
        <f>IF(northwind_order_details[[#This Row],[discount amount]]&gt;0,"Yes","No")</f>
        <v>No</v>
      </c>
      <c r="L1650" s="1" t="str">
        <f>IF(northwind_order_details[[#This Row],[Revenue]]&gt;1000,"High",IF(northwind_order_details[[#This Row],[Revenue]]&gt;300,"Medium","Low"))</f>
        <v>Medium</v>
      </c>
      <c r="M165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1" spans="1:13" x14ac:dyDescent="0.25">
      <c r="A1651">
        <v>10895</v>
      </c>
      <c r="B1651">
        <v>40</v>
      </c>
      <c r="C1651" s="6">
        <v>18.399999999999999</v>
      </c>
      <c r="D1651">
        <v>91</v>
      </c>
      <c r="E1651" s="6" t="s">
        <v>6</v>
      </c>
      <c r="F1651" t="str">
        <f>_xlfn.XLOOKUP(northwind_order_details[[#This Row],[order_id]],northwind_orders[order_id],northwind_orders[ship_country])</f>
        <v>Austria</v>
      </c>
      <c r="G1651">
        <f>INDEX(northwind_orders[],MATCH(northwind_order_details[[#This Row],[order_id]], northwind_orders[order_id], 0), MATCH("employee_id", northwind_orders[#Headers], 0))</f>
        <v>3</v>
      </c>
      <c r="H1651">
        <f>northwind_order_details[[#This Row],[unit_price]]*northwind_order_details[[#This Row],[quantity]]</f>
        <v>1674.3999999999999</v>
      </c>
      <c r="I1651" s="1">
        <f>northwind_order_details[[#This Row],[purchase amount]]*northwind_order_details[[#This Row],[discount]]</f>
        <v>0</v>
      </c>
      <c r="J1651" s="1">
        <f>northwind_order_details[[#This Row],[purchase amount]]-northwind_order_details[[#This Row],[discount amount]]</f>
        <v>1674.3999999999999</v>
      </c>
      <c r="K1651" s="6" t="str">
        <f>IF(northwind_order_details[[#This Row],[discount amount]]&gt;0,"Yes","No")</f>
        <v>No</v>
      </c>
      <c r="L1651" s="1" t="str">
        <f>IF(northwind_order_details[[#This Row],[Revenue]]&gt;1000,"High",IF(northwind_order_details[[#This Row],[Revenue]]&gt;300,"Medium","Low"))</f>
        <v>High</v>
      </c>
      <c r="M16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52" spans="1:13" x14ac:dyDescent="0.25">
      <c r="A1652">
        <v>10895</v>
      </c>
      <c r="B1652">
        <v>60</v>
      </c>
      <c r="C1652" s="6" t="s">
        <v>28</v>
      </c>
      <c r="D1652">
        <v>100</v>
      </c>
      <c r="E1652" s="6" t="s">
        <v>6</v>
      </c>
      <c r="F1652" t="str">
        <f>_xlfn.XLOOKUP(northwind_order_details[[#This Row],[order_id]],northwind_orders[order_id],northwind_orders[ship_country])</f>
        <v>Austria</v>
      </c>
      <c r="G1652">
        <f>INDEX(northwind_orders[],MATCH(northwind_order_details[[#This Row],[order_id]], northwind_orders[order_id], 0), MATCH("employee_id", northwind_orders[#Headers], 0))</f>
        <v>3</v>
      </c>
      <c r="H1652">
        <f>northwind_order_details[[#This Row],[unit_price]]*northwind_order_details[[#This Row],[quantity]]</f>
        <v>3400</v>
      </c>
      <c r="I1652" s="1">
        <f>northwind_order_details[[#This Row],[purchase amount]]*northwind_order_details[[#This Row],[discount]]</f>
        <v>0</v>
      </c>
      <c r="J1652" s="1">
        <f>northwind_order_details[[#This Row],[purchase amount]]-northwind_order_details[[#This Row],[discount amount]]</f>
        <v>3400</v>
      </c>
      <c r="K1652" s="6" t="str">
        <f>IF(northwind_order_details[[#This Row],[discount amount]]&gt;0,"Yes","No")</f>
        <v>No</v>
      </c>
      <c r="L1652" s="1" t="str">
        <f>IF(northwind_order_details[[#This Row],[Revenue]]&gt;1000,"High",IF(northwind_order_details[[#This Row],[Revenue]]&gt;300,"Medium","Low"))</f>
        <v>High</v>
      </c>
      <c r="M16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3" spans="1:13" x14ac:dyDescent="0.25">
      <c r="A1653">
        <v>10896</v>
      </c>
      <c r="B1653">
        <v>45</v>
      </c>
      <c r="C1653" s="6">
        <v>9.5</v>
      </c>
      <c r="D1653">
        <v>15</v>
      </c>
      <c r="E1653" s="6" t="s">
        <v>6</v>
      </c>
      <c r="F1653" t="str">
        <f>_xlfn.XLOOKUP(northwind_order_details[[#This Row],[order_id]],northwind_orders[order_id],northwind_orders[ship_country])</f>
        <v>Belgium</v>
      </c>
      <c r="G1653">
        <f>INDEX(northwind_orders[],MATCH(northwind_order_details[[#This Row],[order_id]], northwind_orders[order_id], 0), MATCH("employee_id", northwind_orders[#Headers], 0))</f>
        <v>7</v>
      </c>
      <c r="H1653">
        <f>northwind_order_details[[#This Row],[unit_price]]*northwind_order_details[[#This Row],[quantity]]</f>
        <v>142.5</v>
      </c>
      <c r="I1653" s="1">
        <f>northwind_order_details[[#This Row],[purchase amount]]*northwind_order_details[[#This Row],[discount]]</f>
        <v>0</v>
      </c>
      <c r="J1653" s="1">
        <f>northwind_order_details[[#This Row],[purchase amount]]-northwind_order_details[[#This Row],[discount amount]]</f>
        <v>142.5</v>
      </c>
      <c r="K1653" s="6" t="str">
        <f>IF(northwind_order_details[[#This Row],[discount amount]]&gt;0,"Yes","No")</f>
        <v>No</v>
      </c>
      <c r="L1653" s="1" t="str">
        <f>IF(northwind_order_details[[#This Row],[Revenue]]&gt;1000,"High",IF(northwind_order_details[[#This Row],[Revenue]]&gt;300,"Medium","Low"))</f>
        <v>Low</v>
      </c>
      <c r="M16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54" spans="1:13" x14ac:dyDescent="0.25">
      <c r="A1654">
        <v>10896</v>
      </c>
      <c r="B1654">
        <v>56</v>
      </c>
      <c r="C1654" s="6" t="s">
        <v>30</v>
      </c>
      <c r="D1654">
        <v>16</v>
      </c>
      <c r="E1654" s="6" t="s">
        <v>6</v>
      </c>
      <c r="F1654" t="str">
        <f>_xlfn.XLOOKUP(northwind_order_details[[#This Row],[order_id]],northwind_orders[order_id],northwind_orders[ship_country])</f>
        <v>Belgium</v>
      </c>
      <c r="G1654">
        <f>INDEX(northwind_orders[],MATCH(northwind_order_details[[#This Row],[order_id]], northwind_orders[order_id], 0), MATCH("employee_id", northwind_orders[#Headers], 0))</f>
        <v>7</v>
      </c>
      <c r="H1654">
        <f>northwind_order_details[[#This Row],[unit_price]]*northwind_order_details[[#This Row],[quantity]]</f>
        <v>608</v>
      </c>
      <c r="I1654" s="1">
        <f>northwind_order_details[[#This Row],[purchase amount]]*northwind_order_details[[#This Row],[discount]]</f>
        <v>0</v>
      </c>
      <c r="J1654" s="1">
        <f>northwind_order_details[[#This Row],[purchase amount]]-northwind_order_details[[#This Row],[discount amount]]</f>
        <v>608</v>
      </c>
      <c r="K1654" s="6" t="str">
        <f>IF(northwind_order_details[[#This Row],[discount amount]]&gt;0,"Yes","No")</f>
        <v>No</v>
      </c>
      <c r="L1654" s="1" t="str">
        <f>IF(northwind_order_details[[#This Row],[Revenue]]&gt;1000,"High",IF(northwind_order_details[[#This Row],[Revenue]]&gt;300,"Medium","Low"))</f>
        <v>Medium</v>
      </c>
      <c r="M16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5" spans="1:13" x14ac:dyDescent="0.25">
      <c r="A1655">
        <v>10898</v>
      </c>
      <c r="B1655">
        <v>13</v>
      </c>
      <c r="C1655" s="6" t="s">
        <v>23</v>
      </c>
      <c r="D1655">
        <v>5</v>
      </c>
      <c r="E1655" s="6" t="s">
        <v>6</v>
      </c>
      <c r="F1655" t="str">
        <f>_xlfn.XLOOKUP(northwind_order_details[[#This Row],[order_id]],northwind_orders[order_id],northwind_orders[ship_country])</f>
        <v>Argentina</v>
      </c>
      <c r="G1655">
        <f>INDEX(northwind_orders[],MATCH(northwind_order_details[[#This Row],[order_id]], northwind_orders[order_id], 0), MATCH("employee_id", northwind_orders[#Headers], 0))</f>
        <v>4</v>
      </c>
      <c r="H1655">
        <f>northwind_order_details[[#This Row],[unit_price]]*northwind_order_details[[#This Row],[quantity]]</f>
        <v>30</v>
      </c>
      <c r="I1655" s="1">
        <f>northwind_order_details[[#This Row],[purchase amount]]*northwind_order_details[[#This Row],[discount]]</f>
        <v>0</v>
      </c>
      <c r="J1655" s="1">
        <f>northwind_order_details[[#This Row],[purchase amount]]-northwind_order_details[[#This Row],[discount amount]]</f>
        <v>30</v>
      </c>
      <c r="K1655" s="6" t="str">
        <f>IF(northwind_order_details[[#This Row],[discount amount]]&gt;0,"Yes","No")</f>
        <v>No</v>
      </c>
      <c r="L1655" s="1" t="str">
        <f>IF(northwind_order_details[[#This Row],[Revenue]]&gt;1000,"High",IF(northwind_order_details[[#This Row],[Revenue]]&gt;300,"Medium","Low"))</f>
        <v>Low</v>
      </c>
      <c r="M16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6" spans="1:13" x14ac:dyDescent="0.25">
      <c r="A1656">
        <v>10899</v>
      </c>
      <c r="B1656">
        <v>39</v>
      </c>
      <c r="C1656" s="6" t="s">
        <v>24</v>
      </c>
      <c r="D1656">
        <v>8</v>
      </c>
      <c r="E1656" s="6">
        <v>0.15</v>
      </c>
      <c r="F1656" t="str">
        <f>_xlfn.XLOOKUP(northwind_order_details[[#This Row],[order_id]],northwind_orders[order_id],northwind_orders[ship_country])</f>
        <v>Venezuela</v>
      </c>
      <c r="G1656">
        <f>INDEX(northwind_orders[],MATCH(northwind_order_details[[#This Row],[order_id]], northwind_orders[order_id], 0), MATCH("employee_id", northwind_orders[#Headers], 0))</f>
        <v>5</v>
      </c>
      <c r="H1656">
        <f>northwind_order_details[[#This Row],[unit_price]]*northwind_order_details[[#This Row],[quantity]]</f>
        <v>144</v>
      </c>
      <c r="I1656" s="1">
        <f>northwind_order_details[[#This Row],[purchase amount]]*northwind_order_details[[#This Row],[discount]]</f>
        <v>21.599999999999998</v>
      </c>
      <c r="J1656" s="1">
        <f>northwind_order_details[[#This Row],[purchase amount]]-northwind_order_details[[#This Row],[discount amount]]</f>
        <v>122.4</v>
      </c>
      <c r="K1656" s="6" t="str">
        <f>IF(northwind_order_details[[#This Row],[discount amount]]&gt;0,"Yes","No")</f>
        <v>Yes</v>
      </c>
      <c r="L1656" s="1" t="str">
        <f>IF(northwind_order_details[[#This Row],[Revenue]]&gt;1000,"High",IF(northwind_order_details[[#This Row],[Revenue]]&gt;300,"Medium","Low"))</f>
        <v>Low</v>
      </c>
      <c r="M16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7" spans="1:13" x14ac:dyDescent="0.25">
      <c r="A1657">
        <v>10900</v>
      </c>
      <c r="B1657">
        <v>70</v>
      </c>
      <c r="C1657" s="6" t="s">
        <v>21</v>
      </c>
      <c r="D1657">
        <v>3</v>
      </c>
      <c r="E1657" s="6">
        <v>0.25</v>
      </c>
      <c r="F1657" t="str">
        <f>_xlfn.XLOOKUP(northwind_order_details[[#This Row],[order_id]],northwind_orders[order_id],northwind_orders[ship_country])</f>
        <v>Brazil</v>
      </c>
      <c r="G1657">
        <f>INDEX(northwind_orders[],MATCH(northwind_order_details[[#This Row],[order_id]], northwind_orders[order_id], 0), MATCH("employee_id", northwind_orders[#Headers], 0))</f>
        <v>1</v>
      </c>
      <c r="H1657">
        <f>northwind_order_details[[#This Row],[unit_price]]*northwind_order_details[[#This Row],[quantity]]</f>
        <v>45</v>
      </c>
      <c r="I1657" s="1">
        <f>northwind_order_details[[#This Row],[purchase amount]]*northwind_order_details[[#This Row],[discount]]</f>
        <v>11.25</v>
      </c>
      <c r="J1657" s="1">
        <f>northwind_order_details[[#This Row],[purchase amount]]-northwind_order_details[[#This Row],[discount amount]]</f>
        <v>33.75</v>
      </c>
      <c r="K1657" s="6" t="str">
        <f>IF(northwind_order_details[[#This Row],[discount amount]]&gt;0,"Yes","No")</f>
        <v>Yes</v>
      </c>
      <c r="L1657" s="1" t="str">
        <f>IF(northwind_order_details[[#This Row],[Revenue]]&gt;1000,"High",IF(northwind_order_details[[#This Row],[Revenue]]&gt;300,"Medium","Low"))</f>
        <v>Low</v>
      </c>
      <c r="M16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58" spans="1:13" x14ac:dyDescent="0.25">
      <c r="A1658">
        <v>10901</v>
      </c>
      <c r="B1658">
        <v>41</v>
      </c>
      <c r="C1658" s="6">
        <v>9.65</v>
      </c>
      <c r="D1658">
        <v>30</v>
      </c>
      <c r="E1658" s="6" t="s">
        <v>6</v>
      </c>
      <c r="F1658" t="str">
        <f>_xlfn.XLOOKUP(northwind_order_details[[#This Row],[order_id]],northwind_orders[order_id],northwind_orders[ship_country])</f>
        <v>Venezuela</v>
      </c>
      <c r="G1658">
        <f>INDEX(northwind_orders[],MATCH(northwind_order_details[[#This Row],[order_id]], northwind_orders[order_id], 0), MATCH("employee_id", northwind_orders[#Headers], 0))</f>
        <v>4</v>
      </c>
      <c r="H1658">
        <f>northwind_order_details[[#This Row],[unit_price]]*northwind_order_details[[#This Row],[quantity]]</f>
        <v>289.5</v>
      </c>
      <c r="I1658" s="1">
        <f>northwind_order_details[[#This Row],[purchase amount]]*northwind_order_details[[#This Row],[discount]]</f>
        <v>0</v>
      </c>
      <c r="J1658" s="1">
        <f>northwind_order_details[[#This Row],[purchase amount]]-northwind_order_details[[#This Row],[discount amount]]</f>
        <v>289.5</v>
      </c>
      <c r="K1658" s="6" t="str">
        <f>IF(northwind_order_details[[#This Row],[discount amount]]&gt;0,"Yes","No")</f>
        <v>No</v>
      </c>
      <c r="L1658" s="1" t="str">
        <f>IF(northwind_order_details[[#This Row],[Revenue]]&gt;1000,"High",IF(northwind_order_details[[#This Row],[Revenue]]&gt;300,"Medium","Low"))</f>
        <v>Low</v>
      </c>
      <c r="M165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59" spans="1:13" x14ac:dyDescent="0.25">
      <c r="A1659">
        <v>10901</v>
      </c>
      <c r="B1659">
        <v>71</v>
      </c>
      <c r="C1659" s="6">
        <v>21.5</v>
      </c>
      <c r="D1659">
        <v>30</v>
      </c>
      <c r="E1659" s="6" t="s">
        <v>6</v>
      </c>
      <c r="F1659" t="str">
        <f>_xlfn.XLOOKUP(northwind_order_details[[#This Row],[order_id]],northwind_orders[order_id],northwind_orders[ship_country])</f>
        <v>Venezuela</v>
      </c>
      <c r="G1659">
        <f>INDEX(northwind_orders[],MATCH(northwind_order_details[[#This Row],[order_id]], northwind_orders[order_id], 0), MATCH("employee_id", northwind_orders[#Headers], 0))</f>
        <v>4</v>
      </c>
      <c r="H1659">
        <f>northwind_order_details[[#This Row],[unit_price]]*northwind_order_details[[#This Row],[quantity]]</f>
        <v>645</v>
      </c>
      <c r="I1659" s="1">
        <f>northwind_order_details[[#This Row],[purchase amount]]*northwind_order_details[[#This Row],[discount]]</f>
        <v>0</v>
      </c>
      <c r="J1659" s="1">
        <f>northwind_order_details[[#This Row],[purchase amount]]-northwind_order_details[[#This Row],[discount amount]]</f>
        <v>645</v>
      </c>
      <c r="K1659" s="6" t="str">
        <f>IF(northwind_order_details[[#This Row],[discount amount]]&gt;0,"Yes","No")</f>
        <v>No</v>
      </c>
      <c r="L1659" s="1" t="str">
        <f>IF(northwind_order_details[[#This Row],[Revenue]]&gt;1000,"High",IF(northwind_order_details[[#This Row],[Revenue]]&gt;300,"Medium","Low"))</f>
        <v>Medium</v>
      </c>
      <c r="M16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0" spans="1:13" x14ac:dyDescent="0.25">
      <c r="A1660">
        <v>10902</v>
      </c>
      <c r="B1660">
        <v>55</v>
      </c>
      <c r="C1660" s="6" t="s">
        <v>14</v>
      </c>
      <c r="D1660">
        <v>30</v>
      </c>
      <c r="E1660" s="6">
        <v>0.15</v>
      </c>
      <c r="F1660" t="str">
        <f>_xlfn.XLOOKUP(northwind_order_details[[#This Row],[order_id]],northwind_orders[order_id],northwind_orders[ship_country])</f>
        <v>Sweden</v>
      </c>
      <c r="G1660">
        <f>INDEX(northwind_orders[],MATCH(northwind_order_details[[#This Row],[order_id]], northwind_orders[order_id], 0), MATCH("employee_id", northwind_orders[#Headers], 0))</f>
        <v>1</v>
      </c>
      <c r="H1660">
        <f>northwind_order_details[[#This Row],[unit_price]]*northwind_order_details[[#This Row],[quantity]]</f>
        <v>720</v>
      </c>
      <c r="I1660" s="1">
        <f>northwind_order_details[[#This Row],[purchase amount]]*northwind_order_details[[#This Row],[discount]]</f>
        <v>108</v>
      </c>
      <c r="J1660" s="1">
        <f>northwind_order_details[[#This Row],[purchase amount]]-northwind_order_details[[#This Row],[discount amount]]</f>
        <v>612</v>
      </c>
      <c r="K1660" s="6" t="str">
        <f>IF(northwind_order_details[[#This Row],[discount amount]]&gt;0,"Yes","No")</f>
        <v>Yes</v>
      </c>
      <c r="L1660" s="1" t="str">
        <f>IF(northwind_order_details[[#This Row],[Revenue]]&gt;1000,"High",IF(northwind_order_details[[#This Row],[Revenue]]&gt;300,"Medium","Low"))</f>
        <v>Medium</v>
      </c>
      <c r="M16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61" spans="1:13" x14ac:dyDescent="0.25">
      <c r="A1661">
        <v>10902</v>
      </c>
      <c r="B1661">
        <v>62</v>
      </c>
      <c r="C1661" s="6">
        <v>49.3</v>
      </c>
      <c r="D1661">
        <v>6</v>
      </c>
      <c r="E1661" s="6">
        <v>0.15</v>
      </c>
      <c r="F1661" t="str">
        <f>_xlfn.XLOOKUP(northwind_order_details[[#This Row],[order_id]],northwind_orders[order_id],northwind_orders[ship_country])</f>
        <v>Sweden</v>
      </c>
      <c r="G1661">
        <f>INDEX(northwind_orders[],MATCH(northwind_order_details[[#This Row],[order_id]], northwind_orders[order_id], 0), MATCH("employee_id", northwind_orders[#Headers], 0))</f>
        <v>1</v>
      </c>
      <c r="H1661">
        <f>northwind_order_details[[#This Row],[unit_price]]*northwind_order_details[[#This Row],[quantity]]</f>
        <v>295.79999999999995</v>
      </c>
      <c r="I1661" s="1">
        <f>northwind_order_details[[#This Row],[purchase amount]]*northwind_order_details[[#This Row],[discount]]</f>
        <v>44.36999999999999</v>
      </c>
      <c r="J1661" s="1">
        <f>northwind_order_details[[#This Row],[purchase amount]]-northwind_order_details[[#This Row],[discount amount]]</f>
        <v>251.42999999999995</v>
      </c>
      <c r="K1661" s="6" t="str">
        <f>IF(northwind_order_details[[#This Row],[discount amount]]&gt;0,"Yes","No")</f>
        <v>Yes</v>
      </c>
      <c r="L1661" s="1" t="str">
        <f>IF(northwind_order_details[[#This Row],[Revenue]]&gt;1000,"High",IF(northwind_order_details[[#This Row],[Revenue]]&gt;300,"Medium","Low"))</f>
        <v>Low</v>
      </c>
      <c r="M16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2" spans="1:13" x14ac:dyDescent="0.25">
      <c r="A1662">
        <v>10903</v>
      </c>
      <c r="B1662">
        <v>13</v>
      </c>
      <c r="C1662" s="6" t="s">
        <v>23</v>
      </c>
      <c r="D1662">
        <v>40</v>
      </c>
      <c r="E1662" s="6" t="s">
        <v>6</v>
      </c>
      <c r="F1662" t="str">
        <f>_xlfn.XLOOKUP(northwind_order_details[[#This Row],[order_id]],northwind_orders[order_id],northwind_orders[ship_country])</f>
        <v>Brazil</v>
      </c>
      <c r="G1662">
        <f>INDEX(northwind_orders[],MATCH(northwind_order_details[[#This Row],[order_id]], northwind_orders[order_id], 0), MATCH("employee_id", northwind_orders[#Headers], 0))</f>
        <v>3</v>
      </c>
      <c r="H1662">
        <f>northwind_order_details[[#This Row],[unit_price]]*northwind_order_details[[#This Row],[quantity]]</f>
        <v>240</v>
      </c>
      <c r="I1662" s="1">
        <f>northwind_order_details[[#This Row],[purchase amount]]*northwind_order_details[[#This Row],[discount]]</f>
        <v>0</v>
      </c>
      <c r="J1662" s="1">
        <f>northwind_order_details[[#This Row],[purchase amount]]-northwind_order_details[[#This Row],[discount amount]]</f>
        <v>240</v>
      </c>
      <c r="K1662" s="6" t="str">
        <f>IF(northwind_order_details[[#This Row],[discount amount]]&gt;0,"Yes","No")</f>
        <v>No</v>
      </c>
      <c r="L1662" s="1" t="str">
        <f>IF(northwind_order_details[[#This Row],[Revenue]]&gt;1000,"High",IF(northwind_order_details[[#This Row],[Revenue]]&gt;300,"Medium","Low"))</f>
        <v>Low</v>
      </c>
      <c r="M16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63" spans="1:13" x14ac:dyDescent="0.25">
      <c r="A1663">
        <v>10903</v>
      </c>
      <c r="B1663">
        <v>65</v>
      </c>
      <c r="C1663" s="6">
        <v>21.05</v>
      </c>
      <c r="D1663">
        <v>21</v>
      </c>
      <c r="E1663" s="6" t="s">
        <v>6</v>
      </c>
      <c r="F1663" t="str">
        <f>_xlfn.XLOOKUP(northwind_order_details[[#This Row],[order_id]],northwind_orders[order_id],northwind_orders[ship_country])</f>
        <v>Brazil</v>
      </c>
      <c r="G1663">
        <f>INDEX(northwind_orders[],MATCH(northwind_order_details[[#This Row],[order_id]], northwind_orders[order_id], 0), MATCH("employee_id", northwind_orders[#Headers], 0))</f>
        <v>3</v>
      </c>
      <c r="H1663">
        <f>northwind_order_details[[#This Row],[unit_price]]*northwind_order_details[[#This Row],[quantity]]</f>
        <v>442.05</v>
      </c>
      <c r="I1663" s="1">
        <f>northwind_order_details[[#This Row],[purchase amount]]*northwind_order_details[[#This Row],[discount]]</f>
        <v>0</v>
      </c>
      <c r="J1663" s="1">
        <f>northwind_order_details[[#This Row],[purchase amount]]-northwind_order_details[[#This Row],[discount amount]]</f>
        <v>442.05</v>
      </c>
      <c r="K1663" s="6" t="str">
        <f>IF(northwind_order_details[[#This Row],[discount amount]]&gt;0,"Yes","No")</f>
        <v>No</v>
      </c>
      <c r="L1663" s="1" t="str">
        <f>IF(northwind_order_details[[#This Row],[Revenue]]&gt;1000,"High",IF(northwind_order_details[[#This Row],[Revenue]]&gt;300,"Medium","Low"))</f>
        <v>Medium</v>
      </c>
      <c r="M16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4" spans="1:13" x14ac:dyDescent="0.25">
      <c r="A1664">
        <v>10903</v>
      </c>
      <c r="B1664">
        <v>68</v>
      </c>
      <c r="C1664" s="6">
        <v>12.5</v>
      </c>
      <c r="D1664">
        <v>20</v>
      </c>
      <c r="E1664" s="6" t="s">
        <v>6</v>
      </c>
      <c r="F1664" t="str">
        <f>_xlfn.XLOOKUP(northwind_order_details[[#This Row],[order_id]],northwind_orders[order_id],northwind_orders[ship_country])</f>
        <v>Brazil</v>
      </c>
      <c r="G1664">
        <f>INDEX(northwind_orders[],MATCH(northwind_order_details[[#This Row],[order_id]], northwind_orders[order_id], 0), MATCH("employee_id", northwind_orders[#Headers], 0))</f>
        <v>3</v>
      </c>
      <c r="H1664">
        <f>northwind_order_details[[#This Row],[unit_price]]*northwind_order_details[[#This Row],[quantity]]</f>
        <v>250</v>
      </c>
      <c r="I1664" s="1">
        <f>northwind_order_details[[#This Row],[purchase amount]]*northwind_order_details[[#This Row],[discount]]</f>
        <v>0</v>
      </c>
      <c r="J1664" s="1">
        <f>northwind_order_details[[#This Row],[purchase amount]]-northwind_order_details[[#This Row],[discount amount]]</f>
        <v>250</v>
      </c>
      <c r="K1664" s="6" t="str">
        <f>IF(northwind_order_details[[#This Row],[discount amount]]&gt;0,"Yes","No")</f>
        <v>No</v>
      </c>
      <c r="L1664" s="1" t="str">
        <f>IF(northwind_order_details[[#This Row],[Revenue]]&gt;1000,"High",IF(northwind_order_details[[#This Row],[Revenue]]&gt;300,"Medium","Low"))</f>
        <v>Low</v>
      </c>
      <c r="M16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5" spans="1:13" x14ac:dyDescent="0.25">
      <c r="A1665">
        <v>10904</v>
      </c>
      <c r="B1665">
        <v>58</v>
      </c>
      <c r="C1665" s="6">
        <v>13.25</v>
      </c>
      <c r="D1665">
        <v>15</v>
      </c>
      <c r="E1665" s="6" t="s">
        <v>6</v>
      </c>
      <c r="F1665" t="str">
        <f>_xlfn.XLOOKUP(northwind_order_details[[#This Row],[order_id]],northwind_orders[order_id],northwind_orders[ship_country])</f>
        <v>USA</v>
      </c>
      <c r="G1665">
        <f>INDEX(northwind_orders[],MATCH(northwind_order_details[[#This Row],[order_id]], northwind_orders[order_id], 0), MATCH("employee_id", northwind_orders[#Headers], 0))</f>
        <v>3</v>
      </c>
      <c r="H1665">
        <f>northwind_order_details[[#This Row],[unit_price]]*northwind_order_details[[#This Row],[quantity]]</f>
        <v>198.75</v>
      </c>
      <c r="I1665" s="1">
        <f>northwind_order_details[[#This Row],[purchase amount]]*northwind_order_details[[#This Row],[discount]]</f>
        <v>0</v>
      </c>
      <c r="J1665" s="1">
        <f>northwind_order_details[[#This Row],[purchase amount]]-northwind_order_details[[#This Row],[discount amount]]</f>
        <v>198.75</v>
      </c>
      <c r="K1665" s="6" t="str">
        <f>IF(northwind_order_details[[#This Row],[discount amount]]&gt;0,"Yes","No")</f>
        <v>No</v>
      </c>
      <c r="L1665" s="1" t="str">
        <f>IF(northwind_order_details[[#This Row],[Revenue]]&gt;1000,"High",IF(northwind_order_details[[#This Row],[Revenue]]&gt;300,"Medium","Low"))</f>
        <v>Low</v>
      </c>
      <c r="M16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6" spans="1:13" x14ac:dyDescent="0.25">
      <c r="A1666">
        <v>10904</v>
      </c>
      <c r="B1666">
        <v>62</v>
      </c>
      <c r="C1666" s="6">
        <v>49.3</v>
      </c>
      <c r="D1666">
        <v>35</v>
      </c>
      <c r="E1666" s="6" t="s">
        <v>6</v>
      </c>
      <c r="F1666" t="str">
        <f>_xlfn.XLOOKUP(northwind_order_details[[#This Row],[order_id]],northwind_orders[order_id],northwind_orders[ship_country])</f>
        <v>USA</v>
      </c>
      <c r="G1666">
        <f>INDEX(northwind_orders[],MATCH(northwind_order_details[[#This Row],[order_id]], northwind_orders[order_id], 0), MATCH("employee_id", northwind_orders[#Headers], 0))</f>
        <v>3</v>
      </c>
      <c r="H1666">
        <f>northwind_order_details[[#This Row],[unit_price]]*northwind_order_details[[#This Row],[quantity]]</f>
        <v>1725.5</v>
      </c>
      <c r="I1666" s="1">
        <f>northwind_order_details[[#This Row],[purchase amount]]*northwind_order_details[[#This Row],[discount]]</f>
        <v>0</v>
      </c>
      <c r="J1666" s="1">
        <f>northwind_order_details[[#This Row],[purchase amount]]-northwind_order_details[[#This Row],[discount amount]]</f>
        <v>1725.5</v>
      </c>
      <c r="K1666" s="6" t="str">
        <f>IF(northwind_order_details[[#This Row],[discount amount]]&gt;0,"Yes","No")</f>
        <v>No</v>
      </c>
      <c r="L1666" s="1" t="str">
        <f>IF(northwind_order_details[[#This Row],[Revenue]]&gt;1000,"High",IF(northwind_order_details[[#This Row],[Revenue]]&gt;300,"Medium","Low"))</f>
        <v>High</v>
      </c>
      <c r="M166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7" spans="1:13" x14ac:dyDescent="0.25">
      <c r="A1667">
        <v>10905</v>
      </c>
      <c r="B1667">
        <v>1</v>
      </c>
      <c r="C1667" s="6" t="s">
        <v>24</v>
      </c>
      <c r="D1667">
        <v>20</v>
      </c>
      <c r="E1667" s="6">
        <v>0.05</v>
      </c>
      <c r="F1667" t="str">
        <f>_xlfn.XLOOKUP(northwind_order_details[[#This Row],[order_id]],northwind_orders[order_id],northwind_orders[ship_country])</f>
        <v>Brazil</v>
      </c>
      <c r="G1667">
        <f>INDEX(northwind_orders[],MATCH(northwind_order_details[[#This Row],[order_id]], northwind_orders[order_id], 0), MATCH("employee_id", northwind_orders[#Headers], 0))</f>
        <v>9</v>
      </c>
      <c r="H1667">
        <f>northwind_order_details[[#This Row],[unit_price]]*northwind_order_details[[#This Row],[quantity]]</f>
        <v>360</v>
      </c>
      <c r="I1667" s="1">
        <f>northwind_order_details[[#This Row],[purchase amount]]*northwind_order_details[[#This Row],[discount]]</f>
        <v>18</v>
      </c>
      <c r="J1667" s="1">
        <f>northwind_order_details[[#This Row],[purchase amount]]-northwind_order_details[[#This Row],[discount amount]]</f>
        <v>342</v>
      </c>
      <c r="K1667" s="6" t="str">
        <f>IF(northwind_order_details[[#This Row],[discount amount]]&gt;0,"Yes","No")</f>
        <v>Yes</v>
      </c>
      <c r="L1667" s="1" t="str">
        <f>IF(northwind_order_details[[#This Row],[Revenue]]&gt;1000,"High",IF(northwind_order_details[[#This Row],[Revenue]]&gt;300,"Medium","Low"))</f>
        <v>Medium</v>
      </c>
      <c r="M16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68" spans="1:13" x14ac:dyDescent="0.25">
      <c r="A1668">
        <v>10906</v>
      </c>
      <c r="B1668">
        <v>61</v>
      </c>
      <c r="C1668" s="6">
        <v>28.5</v>
      </c>
      <c r="D1668">
        <v>15</v>
      </c>
      <c r="E1668" s="6" t="s">
        <v>6</v>
      </c>
      <c r="F1668" t="str">
        <f>_xlfn.XLOOKUP(northwind_order_details[[#This Row],[order_id]],northwind_orders[order_id],northwind_orders[ship_country])</f>
        <v>Poland</v>
      </c>
      <c r="G1668">
        <f>INDEX(northwind_orders[],MATCH(northwind_order_details[[#This Row],[order_id]], northwind_orders[order_id], 0), MATCH("employee_id", northwind_orders[#Headers], 0))</f>
        <v>4</v>
      </c>
      <c r="H1668">
        <f>northwind_order_details[[#This Row],[unit_price]]*northwind_order_details[[#This Row],[quantity]]</f>
        <v>427.5</v>
      </c>
      <c r="I1668" s="1">
        <f>northwind_order_details[[#This Row],[purchase amount]]*northwind_order_details[[#This Row],[discount]]</f>
        <v>0</v>
      </c>
      <c r="J1668" s="1">
        <f>northwind_order_details[[#This Row],[purchase amount]]-northwind_order_details[[#This Row],[discount amount]]</f>
        <v>427.5</v>
      </c>
      <c r="K1668" s="6" t="str">
        <f>IF(northwind_order_details[[#This Row],[discount amount]]&gt;0,"Yes","No")</f>
        <v>No</v>
      </c>
      <c r="L1668" s="1" t="str">
        <f>IF(northwind_order_details[[#This Row],[Revenue]]&gt;1000,"High",IF(northwind_order_details[[#This Row],[Revenue]]&gt;300,"Medium","Low"))</f>
        <v>Medium</v>
      </c>
      <c r="M16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69" spans="1:13" x14ac:dyDescent="0.25">
      <c r="A1669">
        <v>10907</v>
      </c>
      <c r="B1669">
        <v>75</v>
      </c>
      <c r="C1669" s="6">
        <v>7.75</v>
      </c>
      <c r="D1669">
        <v>14</v>
      </c>
      <c r="E1669" s="6" t="s">
        <v>6</v>
      </c>
      <c r="F1669" t="str">
        <f>_xlfn.XLOOKUP(northwind_order_details[[#This Row],[order_id]],northwind_orders[order_id],northwind_orders[ship_country])</f>
        <v>France</v>
      </c>
      <c r="G1669">
        <f>INDEX(northwind_orders[],MATCH(northwind_order_details[[#This Row],[order_id]], northwind_orders[order_id], 0), MATCH("employee_id", northwind_orders[#Headers], 0))</f>
        <v>6</v>
      </c>
      <c r="H1669">
        <f>northwind_order_details[[#This Row],[unit_price]]*northwind_order_details[[#This Row],[quantity]]</f>
        <v>108.5</v>
      </c>
      <c r="I1669" s="1">
        <f>northwind_order_details[[#This Row],[purchase amount]]*northwind_order_details[[#This Row],[discount]]</f>
        <v>0</v>
      </c>
      <c r="J1669" s="1">
        <f>northwind_order_details[[#This Row],[purchase amount]]-northwind_order_details[[#This Row],[discount amount]]</f>
        <v>108.5</v>
      </c>
      <c r="K1669" s="6" t="str">
        <f>IF(northwind_order_details[[#This Row],[discount amount]]&gt;0,"Yes","No")</f>
        <v>No</v>
      </c>
      <c r="L1669" s="1" t="str">
        <f>IF(northwind_order_details[[#This Row],[Revenue]]&gt;1000,"High",IF(northwind_order_details[[#This Row],[Revenue]]&gt;300,"Medium","Low"))</f>
        <v>Low</v>
      </c>
      <c r="M16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70" spans="1:13" x14ac:dyDescent="0.25">
      <c r="A1670">
        <v>10908</v>
      </c>
      <c r="B1670">
        <v>7</v>
      </c>
      <c r="C1670" s="6" t="s">
        <v>26</v>
      </c>
      <c r="D1670">
        <v>20</v>
      </c>
      <c r="E1670" s="6">
        <v>0.05</v>
      </c>
      <c r="F1670" t="str">
        <f>_xlfn.XLOOKUP(northwind_order_details[[#This Row],[order_id]],northwind_orders[order_id],northwind_orders[ship_country])</f>
        <v>Italy</v>
      </c>
      <c r="G1670">
        <f>INDEX(northwind_orders[],MATCH(northwind_order_details[[#This Row],[order_id]], northwind_orders[order_id], 0), MATCH("employee_id", northwind_orders[#Headers], 0))</f>
        <v>4</v>
      </c>
      <c r="H1670">
        <f>northwind_order_details[[#This Row],[unit_price]]*northwind_order_details[[#This Row],[quantity]]</f>
        <v>600</v>
      </c>
      <c r="I1670" s="1">
        <f>northwind_order_details[[#This Row],[purchase amount]]*northwind_order_details[[#This Row],[discount]]</f>
        <v>30</v>
      </c>
      <c r="J1670" s="1">
        <f>northwind_order_details[[#This Row],[purchase amount]]-northwind_order_details[[#This Row],[discount amount]]</f>
        <v>570</v>
      </c>
      <c r="K1670" s="6" t="str">
        <f>IF(northwind_order_details[[#This Row],[discount amount]]&gt;0,"Yes","No")</f>
        <v>Yes</v>
      </c>
      <c r="L1670" s="1" t="str">
        <f>IF(northwind_order_details[[#This Row],[Revenue]]&gt;1000,"High",IF(northwind_order_details[[#This Row],[Revenue]]&gt;300,"Medium","Low"))</f>
        <v>Medium</v>
      </c>
      <c r="M16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71" spans="1:13" x14ac:dyDescent="0.25">
      <c r="A1671">
        <v>10908</v>
      </c>
      <c r="B1671">
        <v>52</v>
      </c>
      <c r="C1671" s="6" t="s">
        <v>32</v>
      </c>
      <c r="D1671">
        <v>14</v>
      </c>
      <c r="E1671" s="6">
        <v>0.05</v>
      </c>
      <c r="F1671" t="str">
        <f>_xlfn.XLOOKUP(northwind_order_details[[#This Row],[order_id]],northwind_orders[order_id],northwind_orders[ship_country])</f>
        <v>Italy</v>
      </c>
      <c r="G1671">
        <f>INDEX(northwind_orders[],MATCH(northwind_order_details[[#This Row],[order_id]], northwind_orders[order_id], 0), MATCH("employee_id", northwind_orders[#Headers], 0))</f>
        <v>4</v>
      </c>
      <c r="H1671">
        <f>northwind_order_details[[#This Row],[unit_price]]*northwind_order_details[[#This Row],[quantity]]</f>
        <v>98</v>
      </c>
      <c r="I1671" s="1">
        <f>northwind_order_details[[#This Row],[purchase amount]]*northwind_order_details[[#This Row],[discount]]</f>
        <v>4.9000000000000004</v>
      </c>
      <c r="J1671" s="1">
        <f>northwind_order_details[[#This Row],[purchase amount]]-northwind_order_details[[#This Row],[discount amount]]</f>
        <v>93.1</v>
      </c>
      <c r="K1671" s="6" t="str">
        <f>IF(northwind_order_details[[#This Row],[discount amount]]&gt;0,"Yes","No")</f>
        <v>Yes</v>
      </c>
      <c r="L1671" s="1" t="str">
        <f>IF(northwind_order_details[[#This Row],[Revenue]]&gt;1000,"High",IF(northwind_order_details[[#This Row],[Revenue]]&gt;300,"Medium","Low"))</f>
        <v>Low</v>
      </c>
      <c r="M16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72" spans="1:13" x14ac:dyDescent="0.25">
      <c r="A1672">
        <v>10909</v>
      </c>
      <c r="B1672">
        <v>7</v>
      </c>
      <c r="C1672" s="6" t="s">
        <v>26</v>
      </c>
      <c r="D1672">
        <v>12</v>
      </c>
      <c r="E1672" s="6" t="s">
        <v>6</v>
      </c>
      <c r="F1672" t="str">
        <f>_xlfn.XLOOKUP(northwind_order_details[[#This Row],[order_id]],northwind_orders[order_id],northwind_orders[ship_country])</f>
        <v>Norway</v>
      </c>
      <c r="G1672">
        <f>INDEX(northwind_orders[],MATCH(northwind_order_details[[#This Row],[order_id]], northwind_orders[order_id], 0), MATCH("employee_id", northwind_orders[#Headers], 0))</f>
        <v>1</v>
      </c>
      <c r="H1672">
        <f>northwind_order_details[[#This Row],[unit_price]]*northwind_order_details[[#This Row],[quantity]]</f>
        <v>360</v>
      </c>
      <c r="I1672" s="1">
        <f>northwind_order_details[[#This Row],[purchase amount]]*northwind_order_details[[#This Row],[discount]]</f>
        <v>0</v>
      </c>
      <c r="J1672" s="1">
        <f>northwind_order_details[[#This Row],[purchase amount]]-northwind_order_details[[#This Row],[discount amount]]</f>
        <v>360</v>
      </c>
      <c r="K1672" s="6" t="str">
        <f>IF(northwind_order_details[[#This Row],[discount amount]]&gt;0,"Yes","No")</f>
        <v>No</v>
      </c>
      <c r="L1672" s="1" t="str">
        <f>IF(northwind_order_details[[#This Row],[Revenue]]&gt;1000,"High",IF(northwind_order_details[[#This Row],[Revenue]]&gt;300,"Medium","Low"))</f>
        <v>Medium</v>
      </c>
      <c r="M16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73" spans="1:13" x14ac:dyDescent="0.25">
      <c r="A1673">
        <v>10909</v>
      </c>
      <c r="B1673">
        <v>16</v>
      </c>
      <c r="C1673" s="6">
        <v>17.45</v>
      </c>
      <c r="D1673">
        <v>15</v>
      </c>
      <c r="E1673" s="6" t="s">
        <v>6</v>
      </c>
      <c r="F1673" t="str">
        <f>_xlfn.XLOOKUP(northwind_order_details[[#This Row],[order_id]],northwind_orders[order_id],northwind_orders[ship_country])</f>
        <v>Norway</v>
      </c>
      <c r="G1673">
        <f>INDEX(northwind_orders[],MATCH(northwind_order_details[[#This Row],[order_id]], northwind_orders[order_id], 0), MATCH("employee_id", northwind_orders[#Headers], 0))</f>
        <v>1</v>
      </c>
      <c r="H1673">
        <f>northwind_order_details[[#This Row],[unit_price]]*northwind_order_details[[#This Row],[quantity]]</f>
        <v>261.75</v>
      </c>
      <c r="I1673" s="1">
        <f>northwind_order_details[[#This Row],[purchase amount]]*northwind_order_details[[#This Row],[discount]]</f>
        <v>0</v>
      </c>
      <c r="J1673" s="1">
        <f>northwind_order_details[[#This Row],[purchase amount]]-northwind_order_details[[#This Row],[discount amount]]</f>
        <v>261.75</v>
      </c>
      <c r="K1673" s="6" t="str">
        <f>IF(northwind_order_details[[#This Row],[discount amount]]&gt;0,"Yes","No")</f>
        <v>No</v>
      </c>
      <c r="L1673" s="1" t="str">
        <f>IF(northwind_order_details[[#This Row],[Revenue]]&gt;1000,"High",IF(northwind_order_details[[#This Row],[Revenue]]&gt;300,"Medium","Low"))</f>
        <v>Low</v>
      </c>
      <c r="M16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74" spans="1:13" x14ac:dyDescent="0.25">
      <c r="A1674">
        <v>10909</v>
      </c>
      <c r="B1674">
        <v>41</v>
      </c>
      <c r="C1674" s="6">
        <v>9.65</v>
      </c>
      <c r="D1674">
        <v>5</v>
      </c>
      <c r="E1674" s="6" t="s">
        <v>6</v>
      </c>
      <c r="F1674" t="str">
        <f>_xlfn.XLOOKUP(northwind_order_details[[#This Row],[order_id]],northwind_orders[order_id],northwind_orders[ship_country])</f>
        <v>Norway</v>
      </c>
      <c r="G1674">
        <f>INDEX(northwind_orders[],MATCH(northwind_order_details[[#This Row],[order_id]], northwind_orders[order_id], 0), MATCH("employee_id", northwind_orders[#Headers], 0))</f>
        <v>1</v>
      </c>
      <c r="H1674">
        <f>northwind_order_details[[#This Row],[unit_price]]*northwind_order_details[[#This Row],[quantity]]</f>
        <v>48.25</v>
      </c>
      <c r="I1674" s="1">
        <f>northwind_order_details[[#This Row],[purchase amount]]*northwind_order_details[[#This Row],[discount]]</f>
        <v>0</v>
      </c>
      <c r="J1674" s="1">
        <f>northwind_order_details[[#This Row],[purchase amount]]-northwind_order_details[[#This Row],[discount amount]]</f>
        <v>48.25</v>
      </c>
      <c r="K1674" s="6" t="str">
        <f>IF(northwind_order_details[[#This Row],[discount amount]]&gt;0,"Yes","No")</f>
        <v>No</v>
      </c>
      <c r="L1674" s="1" t="str">
        <f>IF(northwind_order_details[[#This Row],[Revenue]]&gt;1000,"High",IF(northwind_order_details[[#This Row],[Revenue]]&gt;300,"Medium","Low"))</f>
        <v>Low</v>
      </c>
      <c r="M16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75" spans="1:13" x14ac:dyDescent="0.25">
      <c r="A1675">
        <v>10910</v>
      </c>
      <c r="B1675">
        <v>19</v>
      </c>
      <c r="C1675" s="6">
        <v>9.1999999999999993</v>
      </c>
      <c r="D1675">
        <v>12</v>
      </c>
      <c r="E1675" s="6" t="s">
        <v>6</v>
      </c>
      <c r="F1675" t="str">
        <f>_xlfn.XLOOKUP(northwind_order_details[[#This Row],[order_id]],northwind_orders[order_id],northwind_orders[ship_country])</f>
        <v>Finland</v>
      </c>
      <c r="G1675">
        <f>INDEX(northwind_orders[],MATCH(northwind_order_details[[#This Row],[order_id]], northwind_orders[order_id], 0), MATCH("employee_id", northwind_orders[#Headers], 0))</f>
        <v>1</v>
      </c>
      <c r="H1675">
        <f>northwind_order_details[[#This Row],[unit_price]]*northwind_order_details[[#This Row],[quantity]]</f>
        <v>110.39999999999999</v>
      </c>
      <c r="I1675" s="1">
        <f>northwind_order_details[[#This Row],[purchase amount]]*northwind_order_details[[#This Row],[discount]]</f>
        <v>0</v>
      </c>
      <c r="J1675" s="1">
        <f>northwind_order_details[[#This Row],[purchase amount]]-northwind_order_details[[#This Row],[discount amount]]</f>
        <v>110.39999999999999</v>
      </c>
      <c r="K1675" s="6" t="str">
        <f>IF(northwind_order_details[[#This Row],[discount amount]]&gt;0,"Yes","No")</f>
        <v>No</v>
      </c>
      <c r="L1675" s="1" t="str">
        <f>IF(northwind_order_details[[#This Row],[Revenue]]&gt;1000,"High",IF(northwind_order_details[[#This Row],[Revenue]]&gt;300,"Medium","Low"))</f>
        <v>Low</v>
      </c>
      <c r="M167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76" spans="1:13" x14ac:dyDescent="0.25">
      <c r="A1676">
        <v>10910</v>
      </c>
      <c r="B1676">
        <v>49</v>
      </c>
      <c r="C1676" s="6" t="s">
        <v>17</v>
      </c>
      <c r="D1676">
        <v>10</v>
      </c>
      <c r="E1676" s="6" t="s">
        <v>6</v>
      </c>
      <c r="F1676" t="str">
        <f>_xlfn.XLOOKUP(northwind_order_details[[#This Row],[order_id]],northwind_orders[order_id],northwind_orders[ship_country])</f>
        <v>Finland</v>
      </c>
      <c r="G1676">
        <f>INDEX(northwind_orders[],MATCH(northwind_order_details[[#This Row],[order_id]], northwind_orders[order_id], 0), MATCH("employee_id", northwind_orders[#Headers], 0))</f>
        <v>1</v>
      </c>
      <c r="H1676">
        <f>northwind_order_details[[#This Row],[unit_price]]*northwind_order_details[[#This Row],[quantity]]</f>
        <v>200</v>
      </c>
      <c r="I1676" s="1">
        <f>northwind_order_details[[#This Row],[purchase amount]]*northwind_order_details[[#This Row],[discount]]</f>
        <v>0</v>
      </c>
      <c r="J1676" s="1">
        <f>northwind_order_details[[#This Row],[purchase amount]]-northwind_order_details[[#This Row],[discount amount]]</f>
        <v>200</v>
      </c>
      <c r="K1676" s="6" t="str">
        <f>IF(northwind_order_details[[#This Row],[discount amount]]&gt;0,"Yes","No")</f>
        <v>No</v>
      </c>
      <c r="L1676" s="1" t="str">
        <f>IF(northwind_order_details[[#This Row],[Revenue]]&gt;1000,"High",IF(northwind_order_details[[#This Row],[Revenue]]&gt;300,"Medium","Low"))</f>
        <v>Low</v>
      </c>
      <c r="M16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77" spans="1:13" x14ac:dyDescent="0.25">
      <c r="A1677">
        <v>10910</v>
      </c>
      <c r="B1677">
        <v>61</v>
      </c>
      <c r="C1677" s="6">
        <v>28.5</v>
      </c>
      <c r="D1677">
        <v>5</v>
      </c>
      <c r="E1677" s="6" t="s">
        <v>6</v>
      </c>
      <c r="F1677" t="str">
        <f>_xlfn.XLOOKUP(northwind_order_details[[#This Row],[order_id]],northwind_orders[order_id],northwind_orders[ship_country])</f>
        <v>Finland</v>
      </c>
      <c r="G1677">
        <f>INDEX(northwind_orders[],MATCH(northwind_order_details[[#This Row],[order_id]], northwind_orders[order_id], 0), MATCH("employee_id", northwind_orders[#Headers], 0))</f>
        <v>1</v>
      </c>
      <c r="H1677">
        <f>northwind_order_details[[#This Row],[unit_price]]*northwind_order_details[[#This Row],[quantity]]</f>
        <v>142.5</v>
      </c>
      <c r="I1677" s="1">
        <f>northwind_order_details[[#This Row],[purchase amount]]*northwind_order_details[[#This Row],[discount]]</f>
        <v>0</v>
      </c>
      <c r="J1677" s="1">
        <f>northwind_order_details[[#This Row],[purchase amount]]-northwind_order_details[[#This Row],[discount amount]]</f>
        <v>142.5</v>
      </c>
      <c r="K1677" s="6" t="str">
        <f>IF(northwind_order_details[[#This Row],[discount amount]]&gt;0,"Yes","No")</f>
        <v>No</v>
      </c>
      <c r="L1677" s="1" t="str">
        <f>IF(northwind_order_details[[#This Row],[Revenue]]&gt;1000,"High",IF(northwind_order_details[[#This Row],[Revenue]]&gt;300,"Medium","Low"))</f>
        <v>Low</v>
      </c>
      <c r="M16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78" spans="1:13" x14ac:dyDescent="0.25">
      <c r="A1678">
        <v>10911</v>
      </c>
      <c r="B1678">
        <v>1</v>
      </c>
      <c r="C1678" s="6" t="s">
        <v>24</v>
      </c>
      <c r="D1678">
        <v>10</v>
      </c>
      <c r="E1678" s="6" t="s">
        <v>6</v>
      </c>
      <c r="F1678" t="str">
        <f>_xlfn.XLOOKUP(northwind_order_details[[#This Row],[order_id]],northwind_orders[order_id],northwind_orders[ship_country])</f>
        <v>Spain</v>
      </c>
      <c r="G1678">
        <f>INDEX(northwind_orders[],MATCH(northwind_order_details[[#This Row],[order_id]], northwind_orders[order_id], 0), MATCH("employee_id", northwind_orders[#Headers], 0))</f>
        <v>3</v>
      </c>
      <c r="H1678">
        <f>northwind_order_details[[#This Row],[unit_price]]*northwind_order_details[[#This Row],[quantity]]</f>
        <v>180</v>
      </c>
      <c r="I1678" s="1">
        <f>northwind_order_details[[#This Row],[purchase amount]]*northwind_order_details[[#This Row],[discount]]</f>
        <v>0</v>
      </c>
      <c r="J1678" s="1">
        <f>northwind_order_details[[#This Row],[purchase amount]]-northwind_order_details[[#This Row],[discount amount]]</f>
        <v>180</v>
      </c>
      <c r="K1678" s="6" t="str">
        <f>IF(northwind_order_details[[#This Row],[discount amount]]&gt;0,"Yes","No")</f>
        <v>No</v>
      </c>
      <c r="L1678" s="1" t="str">
        <f>IF(northwind_order_details[[#This Row],[Revenue]]&gt;1000,"High",IF(northwind_order_details[[#This Row],[Revenue]]&gt;300,"Medium","Low"))</f>
        <v>Low</v>
      </c>
      <c r="M16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79" spans="1:13" x14ac:dyDescent="0.25">
      <c r="A1679">
        <v>10911</v>
      </c>
      <c r="B1679">
        <v>17</v>
      </c>
      <c r="C1679" s="6" t="s">
        <v>35</v>
      </c>
      <c r="D1679">
        <v>12</v>
      </c>
      <c r="E1679" s="6" t="s">
        <v>6</v>
      </c>
      <c r="F1679" t="str">
        <f>_xlfn.XLOOKUP(northwind_order_details[[#This Row],[order_id]],northwind_orders[order_id],northwind_orders[ship_country])</f>
        <v>Spain</v>
      </c>
      <c r="G1679">
        <f>INDEX(northwind_orders[],MATCH(northwind_order_details[[#This Row],[order_id]], northwind_orders[order_id], 0), MATCH("employee_id", northwind_orders[#Headers], 0))</f>
        <v>3</v>
      </c>
      <c r="H1679">
        <f>northwind_order_details[[#This Row],[unit_price]]*northwind_order_details[[#This Row],[quantity]]</f>
        <v>468</v>
      </c>
      <c r="I1679" s="1">
        <f>northwind_order_details[[#This Row],[purchase amount]]*northwind_order_details[[#This Row],[discount]]</f>
        <v>0</v>
      </c>
      <c r="J1679" s="1">
        <f>northwind_order_details[[#This Row],[purchase amount]]-northwind_order_details[[#This Row],[discount amount]]</f>
        <v>468</v>
      </c>
      <c r="K1679" s="6" t="str">
        <f>IF(northwind_order_details[[#This Row],[discount amount]]&gt;0,"Yes","No")</f>
        <v>No</v>
      </c>
      <c r="L1679" s="1" t="str">
        <f>IF(northwind_order_details[[#This Row],[Revenue]]&gt;1000,"High",IF(northwind_order_details[[#This Row],[Revenue]]&gt;300,"Medium","Low"))</f>
        <v>Medium</v>
      </c>
      <c r="M16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80" spans="1:13" x14ac:dyDescent="0.25">
      <c r="A1680">
        <v>10911</v>
      </c>
      <c r="B1680">
        <v>67</v>
      </c>
      <c r="C1680" s="6" t="s">
        <v>5</v>
      </c>
      <c r="D1680">
        <v>15</v>
      </c>
      <c r="E1680" s="6" t="s">
        <v>6</v>
      </c>
      <c r="F1680" t="str">
        <f>_xlfn.XLOOKUP(northwind_order_details[[#This Row],[order_id]],northwind_orders[order_id],northwind_orders[ship_country])</f>
        <v>Spain</v>
      </c>
      <c r="G1680">
        <f>INDEX(northwind_orders[],MATCH(northwind_order_details[[#This Row],[order_id]], northwind_orders[order_id], 0), MATCH("employee_id", northwind_orders[#Headers], 0))</f>
        <v>3</v>
      </c>
      <c r="H1680">
        <f>northwind_order_details[[#This Row],[unit_price]]*northwind_order_details[[#This Row],[quantity]]</f>
        <v>210</v>
      </c>
      <c r="I1680" s="1">
        <f>northwind_order_details[[#This Row],[purchase amount]]*northwind_order_details[[#This Row],[discount]]</f>
        <v>0</v>
      </c>
      <c r="J1680" s="1">
        <f>northwind_order_details[[#This Row],[purchase amount]]-northwind_order_details[[#This Row],[discount amount]]</f>
        <v>210</v>
      </c>
      <c r="K1680" s="6" t="str">
        <f>IF(northwind_order_details[[#This Row],[discount amount]]&gt;0,"Yes","No")</f>
        <v>No</v>
      </c>
      <c r="L1680" s="1" t="str">
        <f>IF(northwind_order_details[[#This Row],[Revenue]]&gt;1000,"High",IF(northwind_order_details[[#This Row],[Revenue]]&gt;300,"Medium","Low"))</f>
        <v>Low</v>
      </c>
      <c r="M16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81" spans="1:13" x14ac:dyDescent="0.25">
      <c r="A1681">
        <v>10913</v>
      </c>
      <c r="B1681">
        <v>4</v>
      </c>
      <c r="C1681" s="6" t="s">
        <v>25</v>
      </c>
      <c r="D1681">
        <v>30</v>
      </c>
      <c r="E1681" s="6">
        <v>0.25</v>
      </c>
      <c r="F1681" t="str">
        <f>_xlfn.XLOOKUP(northwind_order_details[[#This Row],[order_id]],northwind_orders[order_id],northwind_orders[ship_country])</f>
        <v>Brazil</v>
      </c>
      <c r="G1681">
        <f>INDEX(northwind_orders[],MATCH(northwind_order_details[[#This Row],[order_id]], northwind_orders[order_id], 0), MATCH("employee_id", northwind_orders[#Headers], 0))</f>
        <v>4</v>
      </c>
      <c r="H1681">
        <f>northwind_order_details[[#This Row],[unit_price]]*northwind_order_details[[#This Row],[quantity]]</f>
        <v>660</v>
      </c>
      <c r="I1681" s="1">
        <f>northwind_order_details[[#This Row],[purchase amount]]*northwind_order_details[[#This Row],[discount]]</f>
        <v>165</v>
      </c>
      <c r="J1681" s="1">
        <f>northwind_order_details[[#This Row],[purchase amount]]-northwind_order_details[[#This Row],[discount amount]]</f>
        <v>495</v>
      </c>
      <c r="K1681" s="6" t="str">
        <f>IF(northwind_order_details[[#This Row],[discount amount]]&gt;0,"Yes","No")</f>
        <v>Yes</v>
      </c>
      <c r="L1681" s="1" t="str">
        <f>IF(northwind_order_details[[#This Row],[Revenue]]&gt;1000,"High",IF(northwind_order_details[[#This Row],[Revenue]]&gt;300,"Medium","Low"))</f>
        <v>Medium</v>
      </c>
      <c r="M16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82" spans="1:13" x14ac:dyDescent="0.25">
      <c r="A1682">
        <v>10913</v>
      </c>
      <c r="B1682">
        <v>33</v>
      </c>
      <c r="C1682" s="6">
        <v>2.5</v>
      </c>
      <c r="D1682">
        <v>40</v>
      </c>
      <c r="E1682" s="6">
        <v>0.25</v>
      </c>
      <c r="F1682" t="str">
        <f>_xlfn.XLOOKUP(northwind_order_details[[#This Row],[order_id]],northwind_orders[order_id],northwind_orders[ship_country])</f>
        <v>Brazil</v>
      </c>
      <c r="G1682">
        <f>INDEX(northwind_orders[],MATCH(northwind_order_details[[#This Row],[order_id]], northwind_orders[order_id], 0), MATCH("employee_id", northwind_orders[#Headers], 0))</f>
        <v>4</v>
      </c>
      <c r="H1682">
        <f>northwind_order_details[[#This Row],[unit_price]]*northwind_order_details[[#This Row],[quantity]]</f>
        <v>100</v>
      </c>
      <c r="I1682" s="1">
        <f>northwind_order_details[[#This Row],[purchase amount]]*northwind_order_details[[#This Row],[discount]]</f>
        <v>25</v>
      </c>
      <c r="J1682" s="1">
        <f>northwind_order_details[[#This Row],[purchase amount]]-northwind_order_details[[#This Row],[discount amount]]</f>
        <v>75</v>
      </c>
      <c r="K1682" s="6" t="str">
        <f>IF(northwind_order_details[[#This Row],[discount amount]]&gt;0,"Yes","No")</f>
        <v>Yes</v>
      </c>
      <c r="L1682" s="1" t="str">
        <f>IF(northwind_order_details[[#This Row],[Revenue]]&gt;1000,"High",IF(northwind_order_details[[#This Row],[Revenue]]&gt;300,"Medium","Low"))</f>
        <v>Low</v>
      </c>
      <c r="M16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83" spans="1:13" x14ac:dyDescent="0.25">
      <c r="A1683">
        <v>10913</v>
      </c>
      <c r="B1683">
        <v>58</v>
      </c>
      <c r="C1683" s="6">
        <v>13.25</v>
      </c>
      <c r="D1683">
        <v>15</v>
      </c>
      <c r="E1683" s="6" t="s">
        <v>6</v>
      </c>
      <c r="F1683" t="str">
        <f>_xlfn.XLOOKUP(northwind_order_details[[#This Row],[order_id]],northwind_orders[order_id],northwind_orders[ship_country])</f>
        <v>Brazil</v>
      </c>
      <c r="G1683">
        <f>INDEX(northwind_orders[],MATCH(northwind_order_details[[#This Row],[order_id]], northwind_orders[order_id], 0), MATCH("employee_id", northwind_orders[#Headers], 0))</f>
        <v>4</v>
      </c>
      <c r="H1683">
        <f>northwind_order_details[[#This Row],[unit_price]]*northwind_order_details[[#This Row],[quantity]]</f>
        <v>198.75</v>
      </c>
      <c r="I1683" s="1">
        <f>northwind_order_details[[#This Row],[purchase amount]]*northwind_order_details[[#This Row],[discount]]</f>
        <v>0</v>
      </c>
      <c r="J1683" s="1">
        <f>northwind_order_details[[#This Row],[purchase amount]]-northwind_order_details[[#This Row],[discount amount]]</f>
        <v>198.75</v>
      </c>
      <c r="K1683" s="6" t="str">
        <f>IF(northwind_order_details[[#This Row],[discount amount]]&gt;0,"Yes","No")</f>
        <v>No</v>
      </c>
      <c r="L1683" s="1" t="str">
        <f>IF(northwind_order_details[[#This Row],[Revenue]]&gt;1000,"High",IF(northwind_order_details[[#This Row],[Revenue]]&gt;300,"Medium","Low"))</f>
        <v>Low</v>
      </c>
      <c r="M16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84" spans="1:13" x14ac:dyDescent="0.25">
      <c r="A1684">
        <v>10914</v>
      </c>
      <c r="B1684">
        <v>71</v>
      </c>
      <c r="C1684" s="6">
        <v>21.5</v>
      </c>
      <c r="D1684">
        <v>25</v>
      </c>
      <c r="E1684" s="6" t="s">
        <v>6</v>
      </c>
      <c r="F1684" t="str">
        <f>_xlfn.XLOOKUP(northwind_order_details[[#This Row],[order_id]],northwind_orders[order_id],northwind_orders[ship_country])</f>
        <v>Brazil</v>
      </c>
      <c r="G1684">
        <f>INDEX(northwind_orders[],MATCH(northwind_order_details[[#This Row],[order_id]], northwind_orders[order_id], 0), MATCH("employee_id", northwind_orders[#Headers], 0))</f>
        <v>6</v>
      </c>
      <c r="H1684">
        <f>northwind_order_details[[#This Row],[unit_price]]*northwind_order_details[[#This Row],[quantity]]</f>
        <v>537.5</v>
      </c>
      <c r="I1684" s="1">
        <f>northwind_order_details[[#This Row],[purchase amount]]*northwind_order_details[[#This Row],[discount]]</f>
        <v>0</v>
      </c>
      <c r="J1684" s="1">
        <f>northwind_order_details[[#This Row],[purchase amount]]-northwind_order_details[[#This Row],[discount amount]]</f>
        <v>537.5</v>
      </c>
      <c r="K1684" s="6" t="str">
        <f>IF(northwind_order_details[[#This Row],[discount amount]]&gt;0,"Yes","No")</f>
        <v>No</v>
      </c>
      <c r="L1684" s="1" t="str">
        <f>IF(northwind_order_details[[#This Row],[Revenue]]&gt;1000,"High",IF(northwind_order_details[[#This Row],[Revenue]]&gt;300,"Medium","Low"))</f>
        <v>Medium</v>
      </c>
      <c r="M16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85" spans="1:13" x14ac:dyDescent="0.25">
      <c r="A1685">
        <v>10915</v>
      </c>
      <c r="B1685">
        <v>17</v>
      </c>
      <c r="C1685" s="6" t="s">
        <v>35</v>
      </c>
      <c r="D1685">
        <v>10</v>
      </c>
      <c r="E1685" s="6" t="s">
        <v>6</v>
      </c>
      <c r="F1685" t="str">
        <f>_xlfn.XLOOKUP(northwind_order_details[[#This Row],[order_id]],northwind_orders[order_id],northwind_orders[ship_country])</f>
        <v>Mexico</v>
      </c>
      <c r="G1685">
        <f>INDEX(northwind_orders[],MATCH(northwind_order_details[[#This Row],[order_id]], northwind_orders[order_id], 0), MATCH("employee_id", northwind_orders[#Headers], 0))</f>
        <v>2</v>
      </c>
      <c r="H1685">
        <f>northwind_order_details[[#This Row],[unit_price]]*northwind_order_details[[#This Row],[quantity]]</f>
        <v>390</v>
      </c>
      <c r="I1685" s="1">
        <f>northwind_order_details[[#This Row],[purchase amount]]*northwind_order_details[[#This Row],[discount]]</f>
        <v>0</v>
      </c>
      <c r="J1685" s="1">
        <f>northwind_order_details[[#This Row],[purchase amount]]-northwind_order_details[[#This Row],[discount amount]]</f>
        <v>390</v>
      </c>
      <c r="K1685" s="6" t="str">
        <f>IF(northwind_order_details[[#This Row],[discount amount]]&gt;0,"Yes","No")</f>
        <v>No</v>
      </c>
      <c r="L1685" s="1" t="str">
        <f>IF(northwind_order_details[[#This Row],[Revenue]]&gt;1000,"High",IF(northwind_order_details[[#This Row],[Revenue]]&gt;300,"Medium","Low"))</f>
        <v>Medium</v>
      </c>
      <c r="M16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86" spans="1:13" x14ac:dyDescent="0.25">
      <c r="A1686">
        <v>10915</v>
      </c>
      <c r="B1686">
        <v>33</v>
      </c>
      <c r="C1686" s="6">
        <v>2.5</v>
      </c>
      <c r="D1686">
        <v>30</v>
      </c>
      <c r="E1686" s="6" t="s">
        <v>6</v>
      </c>
      <c r="F1686" t="str">
        <f>_xlfn.XLOOKUP(northwind_order_details[[#This Row],[order_id]],northwind_orders[order_id],northwind_orders[ship_country])</f>
        <v>Mexico</v>
      </c>
      <c r="G1686">
        <f>INDEX(northwind_orders[],MATCH(northwind_order_details[[#This Row],[order_id]], northwind_orders[order_id], 0), MATCH("employee_id", northwind_orders[#Headers], 0))</f>
        <v>2</v>
      </c>
      <c r="H1686">
        <f>northwind_order_details[[#This Row],[unit_price]]*northwind_order_details[[#This Row],[quantity]]</f>
        <v>75</v>
      </c>
      <c r="I1686" s="1">
        <f>northwind_order_details[[#This Row],[purchase amount]]*northwind_order_details[[#This Row],[discount]]</f>
        <v>0</v>
      </c>
      <c r="J1686" s="1">
        <f>northwind_order_details[[#This Row],[purchase amount]]-northwind_order_details[[#This Row],[discount amount]]</f>
        <v>75</v>
      </c>
      <c r="K1686" s="6" t="str">
        <f>IF(northwind_order_details[[#This Row],[discount amount]]&gt;0,"Yes","No")</f>
        <v>No</v>
      </c>
      <c r="L1686" s="1" t="str">
        <f>IF(northwind_order_details[[#This Row],[Revenue]]&gt;1000,"High",IF(northwind_order_details[[#This Row],[Revenue]]&gt;300,"Medium","Low"))</f>
        <v>Low</v>
      </c>
      <c r="M16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87" spans="1:13" x14ac:dyDescent="0.25">
      <c r="A1687">
        <v>10915</v>
      </c>
      <c r="B1687">
        <v>54</v>
      </c>
      <c r="C1687" s="6">
        <v>7.45</v>
      </c>
      <c r="D1687">
        <v>10</v>
      </c>
      <c r="E1687" s="6" t="s">
        <v>6</v>
      </c>
      <c r="F1687" t="str">
        <f>_xlfn.XLOOKUP(northwind_order_details[[#This Row],[order_id]],northwind_orders[order_id],northwind_orders[ship_country])</f>
        <v>Mexico</v>
      </c>
      <c r="G1687">
        <f>INDEX(northwind_orders[],MATCH(northwind_order_details[[#This Row],[order_id]], northwind_orders[order_id], 0), MATCH("employee_id", northwind_orders[#Headers], 0))</f>
        <v>2</v>
      </c>
      <c r="H1687">
        <f>northwind_order_details[[#This Row],[unit_price]]*northwind_order_details[[#This Row],[quantity]]</f>
        <v>74.5</v>
      </c>
      <c r="I1687" s="1">
        <f>northwind_order_details[[#This Row],[purchase amount]]*northwind_order_details[[#This Row],[discount]]</f>
        <v>0</v>
      </c>
      <c r="J1687" s="1">
        <f>northwind_order_details[[#This Row],[purchase amount]]-northwind_order_details[[#This Row],[discount amount]]</f>
        <v>74.5</v>
      </c>
      <c r="K1687" s="6" t="str">
        <f>IF(northwind_order_details[[#This Row],[discount amount]]&gt;0,"Yes","No")</f>
        <v>No</v>
      </c>
      <c r="L1687" s="1" t="str">
        <f>IF(northwind_order_details[[#This Row],[Revenue]]&gt;1000,"High",IF(northwind_order_details[[#This Row],[Revenue]]&gt;300,"Medium","Low"))</f>
        <v>Low</v>
      </c>
      <c r="M168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88" spans="1:13" x14ac:dyDescent="0.25">
      <c r="A1688">
        <v>10916</v>
      </c>
      <c r="B1688">
        <v>16</v>
      </c>
      <c r="C1688" s="6">
        <v>17.45</v>
      </c>
      <c r="D1688">
        <v>6</v>
      </c>
      <c r="E1688" s="6" t="s">
        <v>6</v>
      </c>
      <c r="F1688" t="str">
        <f>_xlfn.XLOOKUP(northwind_order_details[[#This Row],[order_id]],northwind_orders[order_id],northwind_orders[ship_country])</f>
        <v>Argentina</v>
      </c>
      <c r="G1688">
        <f>INDEX(northwind_orders[],MATCH(northwind_order_details[[#This Row],[order_id]], northwind_orders[order_id], 0), MATCH("employee_id", northwind_orders[#Headers], 0))</f>
        <v>1</v>
      </c>
      <c r="H1688">
        <f>northwind_order_details[[#This Row],[unit_price]]*northwind_order_details[[#This Row],[quantity]]</f>
        <v>104.69999999999999</v>
      </c>
      <c r="I1688" s="1">
        <f>northwind_order_details[[#This Row],[purchase amount]]*northwind_order_details[[#This Row],[discount]]</f>
        <v>0</v>
      </c>
      <c r="J1688" s="1">
        <f>northwind_order_details[[#This Row],[purchase amount]]-northwind_order_details[[#This Row],[discount amount]]</f>
        <v>104.69999999999999</v>
      </c>
      <c r="K1688" s="6" t="str">
        <f>IF(northwind_order_details[[#This Row],[discount amount]]&gt;0,"Yes","No")</f>
        <v>No</v>
      </c>
      <c r="L1688" s="1" t="str">
        <f>IF(northwind_order_details[[#This Row],[Revenue]]&gt;1000,"High",IF(northwind_order_details[[#This Row],[Revenue]]&gt;300,"Medium","Low"))</f>
        <v>Low</v>
      </c>
      <c r="M16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89" spans="1:13" x14ac:dyDescent="0.25">
      <c r="A1689">
        <v>10916</v>
      </c>
      <c r="B1689">
        <v>32</v>
      </c>
      <c r="C1689" s="6" t="s">
        <v>18</v>
      </c>
      <c r="D1689">
        <v>6</v>
      </c>
      <c r="E1689" s="6" t="s">
        <v>6</v>
      </c>
      <c r="F1689" t="str">
        <f>_xlfn.XLOOKUP(northwind_order_details[[#This Row],[order_id]],northwind_orders[order_id],northwind_orders[ship_country])</f>
        <v>Argentina</v>
      </c>
      <c r="G1689">
        <f>INDEX(northwind_orders[],MATCH(northwind_order_details[[#This Row],[order_id]], northwind_orders[order_id], 0), MATCH("employee_id", northwind_orders[#Headers], 0))</f>
        <v>1</v>
      </c>
      <c r="H1689">
        <f>northwind_order_details[[#This Row],[unit_price]]*northwind_order_details[[#This Row],[quantity]]</f>
        <v>192</v>
      </c>
      <c r="I1689" s="1">
        <f>northwind_order_details[[#This Row],[purchase amount]]*northwind_order_details[[#This Row],[discount]]</f>
        <v>0</v>
      </c>
      <c r="J1689" s="1">
        <f>northwind_order_details[[#This Row],[purchase amount]]-northwind_order_details[[#This Row],[discount amount]]</f>
        <v>192</v>
      </c>
      <c r="K1689" s="6" t="str">
        <f>IF(northwind_order_details[[#This Row],[discount amount]]&gt;0,"Yes","No")</f>
        <v>No</v>
      </c>
      <c r="L1689" s="1" t="str">
        <f>IF(northwind_order_details[[#This Row],[Revenue]]&gt;1000,"High",IF(northwind_order_details[[#This Row],[Revenue]]&gt;300,"Medium","Low"))</f>
        <v>Low</v>
      </c>
      <c r="M16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90" spans="1:13" x14ac:dyDescent="0.25">
      <c r="A1690">
        <v>10916</v>
      </c>
      <c r="B1690">
        <v>57</v>
      </c>
      <c r="C1690" s="6">
        <v>19.5</v>
      </c>
      <c r="D1690">
        <v>20</v>
      </c>
      <c r="E1690" s="6" t="s">
        <v>6</v>
      </c>
      <c r="F1690" t="str">
        <f>_xlfn.XLOOKUP(northwind_order_details[[#This Row],[order_id]],northwind_orders[order_id],northwind_orders[ship_country])</f>
        <v>Argentina</v>
      </c>
      <c r="G1690">
        <f>INDEX(northwind_orders[],MATCH(northwind_order_details[[#This Row],[order_id]], northwind_orders[order_id], 0), MATCH("employee_id", northwind_orders[#Headers], 0))</f>
        <v>1</v>
      </c>
      <c r="H1690">
        <f>northwind_order_details[[#This Row],[unit_price]]*northwind_order_details[[#This Row],[quantity]]</f>
        <v>390</v>
      </c>
      <c r="I1690" s="1">
        <f>northwind_order_details[[#This Row],[purchase amount]]*northwind_order_details[[#This Row],[discount]]</f>
        <v>0</v>
      </c>
      <c r="J1690" s="1">
        <f>northwind_order_details[[#This Row],[purchase amount]]-northwind_order_details[[#This Row],[discount amount]]</f>
        <v>390</v>
      </c>
      <c r="K1690" s="6" t="str">
        <f>IF(northwind_order_details[[#This Row],[discount amount]]&gt;0,"Yes","No")</f>
        <v>No</v>
      </c>
      <c r="L1690" s="1" t="str">
        <f>IF(northwind_order_details[[#This Row],[Revenue]]&gt;1000,"High",IF(northwind_order_details[[#This Row],[Revenue]]&gt;300,"Medium","Low"))</f>
        <v>Medium</v>
      </c>
      <c r="M16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91" spans="1:13" x14ac:dyDescent="0.25">
      <c r="A1691">
        <v>10917</v>
      </c>
      <c r="B1691">
        <v>30</v>
      </c>
      <c r="C1691" s="6">
        <v>25.89</v>
      </c>
      <c r="D1691">
        <v>1</v>
      </c>
      <c r="E1691" s="6" t="s">
        <v>6</v>
      </c>
      <c r="F1691" t="str">
        <f>_xlfn.XLOOKUP(northwind_order_details[[#This Row],[order_id]],northwind_orders[order_id],northwind_orders[ship_country])</f>
        <v>Spain</v>
      </c>
      <c r="G1691">
        <f>INDEX(northwind_orders[],MATCH(northwind_order_details[[#This Row],[order_id]], northwind_orders[order_id], 0), MATCH("employee_id", northwind_orders[#Headers], 0))</f>
        <v>4</v>
      </c>
      <c r="H1691">
        <f>northwind_order_details[[#This Row],[unit_price]]*northwind_order_details[[#This Row],[quantity]]</f>
        <v>25.89</v>
      </c>
      <c r="I1691" s="1">
        <f>northwind_order_details[[#This Row],[purchase amount]]*northwind_order_details[[#This Row],[discount]]</f>
        <v>0</v>
      </c>
      <c r="J1691" s="1">
        <f>northwind_order_details[[#This Row],[purchase amount]]-northwind_order_details[[#This Row],[discount amount]]</f>
        <v>25.89</v>
      </c>
      <c r="K1691" s="6" t="str">
        <f>IF(northwind_order_details[[#This Row],[discount amount]]&gt;0,"Yes","No")</f>
        <v>No</v>
      </c>
      <c r="L1691" s="1" t="str">
        <f>IF(northwind_order_details[[#This Row],[Revenue]]&gt;1000,"High",IF(northwind_order_details[[#This Row],[Revenue]]&gt;300,"Medium","Low"))</f>
        <v>Low</v>
      </c>
      <c r="M16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92" spans="1:13" x14ac:dyDescent="0.25">
      <c r="A1692">
        <v>10917</v>
      </c>
      <c r="B1692">
        <v>60</v>
      </c>
      <c r="C1692" s="6" t="s">
        <v>28</v>
      </c>
      <c r="D1692">
        <v>10</v>
      </c>
      <c r="E1692" s="6" t="s">
        <v>6</v>
      </c>
      <c r="F1692" t="str">
        <f>_xlfn.XLOOKUP(northwind_order_details[[#This Row],[order_id]],northwind_orders[order_id],northwind_orders[ship_country])</f>
        <v>Spain</v>
      </c>
      <c r="G1692">
        <f>INDEX(northwind_orders[],MATCH(northwind_order_details[[#This Row],[order_id]], northwind_orders[order_id], 0), MATCH("employee_id", northwind_orders[#Headers], 0))</f>
        <v>4</v>
      </c>
      <c r="H1692">
        <f>northwind_order_details[[#This Row],[unit_price]]*northwind_order_details[[#This Row],[quantity]]</f>
        <v>340</v>
      </c>
      <c r="I1692" s="1">
        <f>northwind_order_details[[#This Row],[purchase amount]]*northwind_order_details[[#This Row],[discount]]</f>
        <v>0</v>
      </c>
      <c r="J1692" s="1">
        <f>northwind_order_details[[#This Row],[purchase amount]]-northwind_order_details[[#This Row],[discount amount]]</f>
        <v>340</v>
      </c>
      <c r="K1692" s="6" t="str">
        <f>IF(northwind_order_details[[#This Row],[discount amount]]&gt;0,"Yes","No")</f>
        <v>No</v>
      </c>
      <c r="L1692" s="1" t="str">
        <f>IF(northwind_order_details[[#This Row],[Revenue]]&gt;1000,"High",IF(northwind_order_details[[#This Row],[Revenue]]&gt;300,"Medium","Low"))</f>
        <v>Medium</v>
      </c>
      <c r="M16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93" spans="1:13" x14ac:dyDescent="0.25">
      <c r="A1693">
        <v>10918</v>
      </c>
      <c r="B1693">
        <v>1</v>
      </c>
      <c r="C1693" s="6" t="s">
        <v>24</v>
      </c>
      <c r="D1693">
        <v>60</v>
      </c>
      <c r="E1693" s="6">
        <v>0.25</v>
      </c>
      <c r="F1693" t="str">
        <f>_xlfn.XLOOKUP(northwind_order_details[[#This Row],[order_id]],northwind_orders[order_id],northwind_orders[ship_country])</f>
        <v>Canada</v>
      </c>
      <c r="G1693">
        <f>INDEX(northwind_orders[],MATCH(northwind_order_details[[#This Row],[order_id]], northwind_orders[order_id], 0), MATCH("employee_id", northwind_orders[#Headers], 0))</f>
        <v>3</v>
      </c>
      <c r="H1693">
        <f>northwind_order_details[[#This Row],[unit_price]]*northwind_order_details[[#This Row],[quantity]]</f>
        <v>1080</v>
      </c>
      <c r="I1693" s="1">
        <f>northwind_order_details[[#This Row],[purchase amount]]*northwind_order_details[[#This Row],[discount]]</f>
        <v>270</v>
      </c>
      <c r="J1693" s="1">
        <f>northwind_order_details[[#This Row],[purchase amount]]-northwind_order_details[[#This Row],[discount amount]]</f>
        <v>810</v>
      </c>
      <c r="K1693" s="6" t="str">
        <f>IF(northwind_order_details[[#This Row],[discount amount]]&gt;0,"Yes","No")</f>
        <v>Yes</v>
      </c>
      <c r="L1693" s="1" t="str">
        <f>IF(northwind_order_details[[#This Row],[Revenue]]&gt;1000,"High",IF(northwind_order_details[[#This Row],[Revenue]]&gt;300,"Medium","Low"))</f>
        <v>Medium</v>
      </c>
      <c r="M16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94" spans="1:13" x14ac:dyDescent="0.25">
      <c r="A1694">
        <v>10918</v>
      </c>
      <c r="B1694">
        <v>60</v>
      </c>
      <c r="C1694" s="6" t="s">
        <v>28</v>
      </c>
      <c r="D1694">
        <v>25</v>
      </c>
      <c r="E1694" s="6">
        <v>0.25</v>
      </c>
      <c r="F1694" t="str">
        <f>_xlfn.XLOOKUP(northwind_order_details[[#This Row],[order_id]],northwind_orders[order_id],northwind_orders[ship_country])</f>
        <v>Canada</v>
      </c>
      <c r="G1694">
        <f>INDEX(northwind_orders[],MATCH(northwind_order_details[[#This Row],[order_id]], northwind_orders[order_id], 0), MATCH("employee_id", northwind_orders[#Headers], 0))</f>
        <v>3</v>
      </c>
      <c r="H1694">
        <f>northwind_order_details[[#This Row],[unit_price]]*northwind_order_details[[#This Row],[quantity]]</f>
        <v>850</v>
      </c>
      <c r="I1694" s="1">
        <f>northwind_order_details[[#This Row],[purchase amount]]*northwind_order_details[[#This Row],[discount]]</f>
        <v>212.5</v>
      </c>
      <c r="J1694" s="1">
        <f>northwind_order_details[[#This Row],[purchase amount]]-northwind_order_details[[#This Row],[discount amount]]</f>
        <v>637.5</v>
      </c>
      <c r="K1694" s="6" t="str">
        <f>IF(northwind_order_details[[#This Row],[discount amount]]&gt;0,"Yes","No")</f>
        <v>Yes</v>
      </c>
      <c r="L1694" s="1" t="str">
        <f>IF(northwind_order_details[[#This Row],[Revenue]]&gt;1000,"High",IF(northwind_order_details[[#This Row],[Revenue]]&gt;300,"Medium","Low"))</f>
        <v>Medium</v>
      </c>
      <c r="M16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95" spans="1:13" x14ac:dyDescent="0.25">
      <c r="A1695">
        <v>10919</v>
      </c>
      <c r="B1695">
        <v>16</v>
      </c>
      <c r="C1695" s="6">
        <v>17.45</v>
      </c>
      <c r="D1695">
        <v>24</v>
      </c>
      <c r="E1695" s="6" t="s">
        <v>6</v>
      </c>
      <c r="F1695" t="str">
        <f>_xlfn.XLOOKUP(northwind_order_details[[#This Row],[order_id]],northwind_orders[order_id],northwind_orders[ship_country])</f>
        <v>Venezuela</v>
      </c>
      <c r="G1695">
        <f>INDEX(northwind_orders[],MATCH(northwind_order_details[[#This Row],[order_id]], northwind_orders[order_id], 0), MATCH("employee_id", northwind_orders[#Headers], 0))</f>
        <v>2</v>
      </c>
      <c r="H1695">
        <f>northwind_order_details[[#This Row],[unit_price]]*northwind_order_details[[#This Row],[quantity]]</f>
        <v>418.79999999999995</v>
      </c>
      <c r="I1695" s="1">
        <f>northwind_order_details[[#This Row],[purchase amount]]*northwind_order_details[[#This Row],[discount]]</f>
        <v>0</v>
      </c>
      <c r="J1695" s="1">
        <f>northwind_order_details[[#This Row],[purchase amount]]-northwind_order_details[[#This Row],[discount amount]]</f>
        <v>418.79999999999995</v>
      </c>
      <c r="K1695" s="6" t="str">
        <f>IF(northwind_order_details[[#This Row],[discount amount]]&gt;0,"Yes","No")</f>
        <v>No</v>
      </c>
      <c r="L1695" s="1" t="str">
        <f>IF(northwind_order_details[[#This Row],[Revenue]]&gt;1000,"High",IF(northwind_order_details[[#This Row],[Revenue]]&gt;300,"Medium","Low"))</f>
        <v>Medium</v>
      </c>
      <c r="M16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96" spans="1:13" x14ac:dyDescent="0.25">
      <c r="A1696">
        <v>10919</v>
      </c>
      <c r="B1696">
        <v>25</v>
      </c>
      <c r="C1696" s="6" t="s">
        <v>5</v>
      </c>
      <c r="D1696">
        <v>24</v>
      </c>
      <c r="E1696" s="6" t="s">
        <v>6</v>
      </c>
      <c r="F1696" t="str">
        <f>_xlfn.XLOOKUP(northwind_order_details[[#This Row],[order_id]],northwind_orders[order_id],northwind_orders[ship_country])</f>
        <v>Venezuela</v>
      </c>
      <c r="G1696">
        <f>INDEX(northwind_orders[],MATCH(northwind_order_details[[#This Row],[order_id]], northwind_orders[order_id], 0), MATCH("employee_id", northwind_orders[#Headers], 0))</f>
        <v>2</v>
      </c>
      <c r="H1696">
        <f>northwind_order_details[[#This Row],[unit_price]]*northwind_order_details[[#This Row],[quantity]]</f>
        <v>336</v>
      </c>
      <c r="I1696" s="1">
        <f>northwind_order_details[[#This Row],[purchase amount]]*northwind_order_details[[#This Row],[discount]]</f>
        <v>0</v>
      </c>
      <c r="J1696" s="1">
        <f>northwind_order_details[[#This Row],[purchase amount]]-northwind_order_details[[#This Row],[discount amount]]</f>
        <v>336</v>
      </c>
      <c r="K1696" s="6" t="str">
        <f>IF(northwind_order_details[[#This Row],[discount amount]]&gt;0,"Yes","No")</f>
        <v>No</v>
      </c>
      <c r="L1696" s="1" t="str">
        <f>IF(northwind_order_details[[#This Row],[Revenue]]&gt;1000,"High",IF(northwind_order_details[[#This Row],[Revenue]]&gt;300,"Medium","Low"))</f>
        <v>Medium</v>
      </c>
      <c r="M16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697" spans="1:13" x14ac:dyDescent="0.25">
      <c r="A1697">
        <v>10919</v>
      </c>
      <c r="B1697">
        <v>40</v>
      </c>
      <c r="C1697" s="6">
        <v>18.399999999999999</v>
      </c>
      <c r="D1697">
        <v>20</v>
      </c>
      <c r="E1697" s="6" t="s">
        <v>6</v>
      </c>
      <c r="F1697" t="str">
        <f>_xlfn.XLOOKUP(northwind_order_details[[#This Row],[order_id]],northwind_orders[order_id],northwind_orders[ship_country])</f>
        <v>Venezuela</v>
      </c>
      <c r="G1697">
        <f>INDEX(northwind_orders[],MATCH(northwind_order_details[[#This Row],[order_id]], northwind_orders[order_id], 0), MATCH("employee_id", northwind_orders[#Headers], 0))</f>
        <v>2</v>
      </c>
      <c r="H1697">
        <f>northwind_order_details[[#This Row],[unit_price]]*northwind_order_details[[#This Row],[quantity]]</f>
        <v>368</v>
      </c>
      <c r="I1697" s="1">
        <f>northwind_order_details[[#This Row],[purchase amount]]*northwind_order_details[[#This Row],[discount]]</f>
        <v>0</v>
      </c>
      <c r="J1697" s="1">
        <f>northwind_order_details[[#This Row],[purchase amount]]-northwind_order_details[[#This Row],[discount amount]]</f>
        <v>368</v>
      </c>
      <c r="K1697" s="6" t="str">
        <f>IF(northwind_order_details[[#This Row],[discount amount]]&gt;0,"Yes","No")</f>
        <v>No</v>
      </c>
      <c r="L1697" s="1" t="str">
        <f>IF(northwind_order_details[[#This Row],[Revenue]]&gt;1000,"High",IF(northwind_order_details[[#This Row],[Revenue]]&gt;300,"Medium","Low"))</f>
        <v>Medium</v>
      </c>
      <c r="M16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98" spans="1:13" x14ac:dyDescent="0.25">
      <c r="A1698">
        <v>10920</v>
      </c>
      <c r="B1698">
        <v>50</v>
      </c>
      <c r="C1698" s="6">
        <v>16.25</v>
      </c>
      <c r="D1698">
        <v>24</v>
      </c>
      <c r="E1698" s="6" t="s">
        <v>6</v>
      </c>
      <c r="F1698" t="str">
        <f>_xlfn.XLOOKUP(northwind_order_details[[#This Row],[order_id]],northwind_orders[order_id],northwind_orders[ship_country])</f>
        <v>UK</v>
      </c>
      <c r="G1698">
        <f>INDEX(northwind_orders[],MATCH(northwind_order_details[[#This Row],[order_id]], northwind_orders[order_id], 0), MATCH("employee_id", northwind_orders[#Headers], 0))</f>
        <v>4</v>
      </c>
      <c r="H1698">
        <f>northwind_order_details[[#This Row],[unit_price]]*northwind_order_details[[#This Row],[quantity]]</f>
        <v>390</v>
      </c>
      <c r="I1698" s="1">
        <f>northwind_order_details[[#This Row],[purchase amount]]*northwind_order_details[[#This Row],[discount]]</f>
        <v>0</v>
      </c>
      <c r="J1698" s="1">
        <f>northwind_order_details[[#This Row],[purchase amount]]-northwind_order_details[[#This Row],[discount amount]]</f>
        <v>390</v>
      </c>
      <c r="K1698" s="6" t="str">
        <f>IF(northwind_order_details[[#This Row],[discount amount]]&gt;0,"Yes","No")</f>
        <v>No</v>
      </c>
      <c r="L1698" s="1" t="str">
        <f>IF(northwind_order_details[[#This Row],[Revenue]]&gt;1000,"High",IF(northwind_order_details[[#This Row],[Revenue]]&gt;300,"Medium","Low"))</f>
        <v>Medium</v>
      </c>
      <c r="M16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699" spans="1:13" x14ac:dyDescent="0.25">
      <c r="A1699">
        <v>10921</v>
      </c>
      <c r="B1699">
        <v>35</v>
      </c>
      <c r="C1699" s="6" t="s">
        <v>24</v>
      </c>
      <c r="D1699">
        <v>10</v>
      </c>
      <c r="E1699" s="6" t="s">
        <v>6</v>
      </c>
      <c r="F1699" t="str">
        <f>_xlfn.XLOOKUP(northwind_order_details[[#This Row],[order_id]],northwind_orders[order_id],northwind_orders[ship_country])</f>
        <v>Denmark</v>
      </c>
      <c r="G1699">
        <f>INDEX(northwind_orders[],MATCH(northwind_order_details[[#This Row],[order_id]], northwind_orders[order_id], 0), MATCH("employee_id", northwind_orders[#Headers], 0))</f>
        <v>1</v>
      </c>
      <c r="H1699">
        <f>northwind_order_details[[#This Row],[unit_price]]*northwind_order_details[[#This Row],[quantity]]</f>
        <v>180</v>
      </c>
      <c r="I1699" s="1">
        <f>northwind_order_details[[#This Row],[purchase amount]]*northwind_order_details[[#This Row],[discount]]</f>
        <v>0</v>
      </c>
      <c r="J1699" s="1">
        <f>northwind_order_details[[#This Row],[purchase amount]]-northwind_order_details[[#This Row],[discount amount]]</f>
        <v>180</v>
      </c>
      <c r="K1699" s="6" t="str">
        <f>IF(northwind_order_details[[#This Row],[discount amount]]&gt;0,"Yes","No")</f>
        <v>No</v>
      </c>
      <c r="L1699" s="1" t="str">
        <f>IF(northwind_order_details[[#This Row],[Revenue]]&gt;1000,"High",IF(northwind_order_details[[#This Row],[Revenue]]&gt;300,"Medium","Low"))</f>
        <v>Low</v>
      </c>
      <c r="M16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0" spans="1:13" x14ac:dyDescent="0.25">
      <c r="A1700">
        <v>10921</v>
      </c>
      <c r="B1700">
        <v>63</v>
      </c>
      <c r="C1700" s="6">
        <v>43.9</v>
      </c>
      <c r="D1700">
        <v>40</v>
      </c>
      <c r="E1700" s="6" t="s">
        <v>6</v>
      </c>
      <c r="F1700" t="str">
        <f>_xlfn.XLOOKUP(northwind_order_details[[#This Row],[order_id]],northwind_orders[order_id],northwind_orders[ship_country])</f>
        <v>Denmark</v>
      </c>
      <c r="G1700">
        <f>INDEX(northwind_orders[],MATCH(northwind_order_details[[#This Row],[order_id]], northwind_orders[order_id], 0), MATCH("employee_id", northwind_orders[#Headers], 0))</f>
        <v>1</v>
      </c>
      <c r="H1700">
        <f>northwind_order_details[[#This Row],[unit_price]]*northwind_order_details[[#This Row],[quantity]]</f>
        <v>1756</v>
      </c>
      <c r="I1700" s="1">
        <f>northwind_order_details[[#This Row],[purchase amount]]*northwind_order_details[[#This Row],[discount]]</f>
        <v>0</v>
      </c>
      <c r="J1700" s="1">
        <f>northwind_order_details[[#This Row],[purchase amount]]-northwind_order_details[[#This Row],[discount amount]]</f>
        <v>1756</v>
      </c>
      <c r="K1700" s="6" t="str">
        <f>IF(northwind_order_details[[#This Row],[discount amount]]&gt;0,"Yes","No")</f>
        <v>No</v>
      </c>
      <c r="L1700" s="1" t="str">
        <f>IF(northwind_order_details[[#This Row],[Revenue]]&gt;1000,"High",IF(northwind_order_details[[#This Row],[Revenue]]&gt;300,"Medium","Low"))</f>
        <v>High</v>
      </c>
      <c r="M170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01" spans="1:13" x14ac:dyDescent="0.25">
      <c r="A1701">
        <v>10922</v>
      </c>
      <c r="B1701">
        <v>17</v>
      </c>
      <c r="C1701" s="6" t="s">
        <v>35</v>
      </c>
      <c r="D1701">
        <v>15</v>
      </c>
      <c r="E1701" s="6" t="s">
        <v>6</v>
      </c>
      <c r="F1701" t="str">
        <f>_xlfn.XLOOKUP(northwind_order_details[[#This Row],[order_id]],northwind_orders[order_id],northwind_orders[ship_country])</f>
        <v>Brazil</v>
      </c>
      <c r="G1701">
        <f>INDEX(northwind_orders[],MATCH(northwind_order_details[[#This Row],[order_id]], northwind_orders[order_id], 0), MATCH("employee_id", northwind_orders[#Headers], 0))</f>
        <v>5</v>
      </c>
      <c r="H1701">
        <f>northwind_order_details[[#This Row],[unit_price]]*northwind_order_details[[#This Row],[quantity]]</f>
        <v>585</v>
      </c>
      <c r="I1701" s="1">
        <f>northwind_order_details[[#This Row],[purchase amount]]*northwind_order_details[[#This Row],[discount]]</f>
        <v>0</v>
      </c>
      <c r="J1701" s="1">
        <f>northwind_order_details[[#This Row],[purchase amount]]-northwind_order_details[[#This Row],[discount amount]]</f>
        <v>585</v>
      </c>
      <c r="K1701" s="6" t="str">
        <f>IF(northwind_order_details[[#This Row],[discount amount]]&gt;0,"Yes","No")</f>
        <v>No</v>
      </c>
      <c r="L1701" s="1" t="str">
        <f>IF(northwind_order_details[[#This Row],[Revenue]]&gt;1000,"High",IF(northwind_order_details[[#This Row],[Revenue]]&gt;300,"Medium","Low"))</f>
        <v>Medium</v>
      </c>
      <c r="M17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2" spans="1:13" x14ac:dyDescent="0.25">
      <c r="A1702">
        <v>10922</v>
      </c>
      <c r="B1702">
        <v>24</v>
      </c>
      <c r="C1702" s="6">
        <v>4.5</v>
      </c>
      <c r="D1702">
        <v>35</v>
      </c>
      <c r="E1702" s="6" t="s">
        <v>6</v>
      </c>
      <c r="F1702" t="str">
        <f>_xlfn.XLOOKUP(northwind_order_details[[#This Row],[order_id]],northwind_orders[order_id],northwind_orders[ship_country])</f>
        <v>Brazil</v>
      </c>
      <c r="G1702">
        <f>INDEX(northwind_orders[],MATCH(northwind_order_details[[#This Row],[order_id]], northwind_orders[order_id], 0), MATCH("employee_id", northwind_orders[#Headers], 0))</f>
        <v>5</v>
      </c>
      <c r="H1702">
        <f>northwind_order_details[[#This Row],[unit_price]]*northwind_order_details[[#This Row],[quantity]]</f>
        <v>157.5</v>
      </c>
      <c r="I1702" s="1">
        <f>northwind_order_details[[#This Row],[purchase amount]]*northwind_order_details[[#This Row],[discount]]</f>
        <v>0</v>
      </c>
      <c r="J1702" s="1">
        <f>northwind_order_details[[#This Row],[purchase amount]]-northwind_order_details[[#This Row],[discount amount]]</f>
        <v>157.5</v>
      </c>
      <c r="K1702" s="6" t="str">
        <f>IF(northwind_order_details[[#This Row],[discount amount]]&gt;0,"Yes","No")</f>
        <v>No</v>
      </c>
      <c r="L1702" s="1" t="str">
        <f>IF(northwind_order_details[[#This Row],[Revenue]]&gt;1000,"High",IF(northwind_order_details[[#This Row],[Revenue]]&gt;300,"Medium","Low"))</f>
        <v>Low</v>
      </c>
      <c r="M17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03" spans="1:13" x14ac:dyDescent="0.25">
      <c r="A1703">
        <v>10923</v>
      </c>
      <c r="B1703">
        <v>42</v>
      </c>
      <c r="C1703" s="6" t="s">
        <v>5</v>
      </c>
      <c r="D1703">
        <v>10</v>
      </c>
      <c r="E1703" s="6">
        <v>0.2</v>
      </c>
      <c r="F1703" t="str">
        <f>_xlfn.XLOOKUP(northwind_order_details[[#This Row],[order_id]],northwind_orders[order_id],northwind_orders[ship_country])</f>
        <v>France</v>
      </c>
      <c r="G1703">
        <f>INDEX(northwind_orders[],MATCH(northwind_order_details[[#This Row],[order_id]], northwind_orders[order_id], 0), MATCH("employee_id", northwind_orders[#Headers], 0))</f>
        <v>7</v>
      </c>
      <c r="H1703">
        <f>northwind_order_details[[#This Row],[unit_price]]*northwind_order_details[[#This Row],[quantity]]</f>
        <v>140</v>
      </c>
      <c r="I1703" s="1">
        <f>northwind_order_details[[#This Row],[purchase amount]]*northwind_order_details[[#This Row],[discount]]</f>
        <v>28</v>
      </c>
      <c r="J1703" s="1">
        <f>northwind_order_details[[#This Row],[purchase amount]]-northwind_order_details[[#This Row],[discount amount]]</f>
        <v>112</v>
      </c>
      <c r="K1703" s="6" t="str">
        <f>IF(northwind_order_details[[#This Row],[discount amount]]&gt;0,"Yes","No")</f>
        <v>Yes</v>
      </c>
      <c r="L1703" s="1" t="str">
        <f>IF(northwind_order_details[[#This Row],[Revenue]]&gt;1000,"High",IF(northwind_order_details[[#This Row],[Revenue]]&gt;300,"Medium","Low"))</f>
        <v>Low</v>
      </c>
      <c r="M17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4" spans="1:13" x14ac:dyDescent="0.25">
      <c r="A1704">
        <v>10923</v>
      </c>
      <c r="B1704">
        <v>43</v>
      </c>
      <c r="C1704" s="6" t="s">
        <v>22</v>
      </c>
      <c r="D1704">
        <v>10</v>
      </c>
      <c r="E1704" s="6">
        <v>0.2</v>
      </c>
      <c r="F1704" t="str">
        <f>_xlfn.XLOOKUP(northwind_order_details[[#This Row],[order_id]],northwind_orders[order_id],northwind_orders[ship_country])</f>
        <v>France</v>
      </c>
      <c r="G1704">
        <f>INDEX(northwind_orders[],MATCH(northwind_order_details[[#This Row],[order_id]], northwind_orders[order_id], 0), MATCH("employee_id", northwind_orders[#Headers], 0))</f>
        <v>7</v>
      </c>
      <c r="H1704">
        <f>northwind_order_details[[#This Row],[unit_price]]*northwind_order_details[[#This Row],[quantity]]</f>
        <v>460</v>
      </c>
      <c r="I1704" s="1">
        <f>northwind_order_details[[#This Row],[purchase amount]]*northwind_order_details[[#This Row],[discount]]</f>
        <v>92</v>
      </c>
      <c r="J1704" s="1">
        <f>northwind_order_details[[#This Row],[purchase amount]]-northwind_order_details[[#This Row],[discount amount]]</f>
        <v>368</v>
      </c>
      <c r="K1704" s="6" t="str">
        <f>IF(northwind_order_details[[#This Row],[discount amount]]&gt;0,"Yes","No")</f>
        <v>Yes</v>
      </c>
      <c r="L1704" s="1" t="str">
        <f>IF(northwind_order_details[[#This Row],[Revenue]]&gt;1000,"High",IF(northwind_order_details[[#This Row],[Revenue]]&gt;300,"Medium","Low"))</f>
        <v>Medium</v>
      </c>
      <c r="M17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5" spans="1:13" x14ac:dyDescent="0.25">
      <c r="A1705">
        <v>10923</v>
      </c>
      <c r="B1705">
        <v>67</v>
      </c>
      <c r="C1705" s="6" t="s">
        <v>5</v>
      </c>
      <c r="D1705">
        <v>24</v>
      </c>
      <c r="E1705" s="6">
        <v>0.2</v>
      </c>
      <c r="F1705" t="str">
        <f>_xlfn.XLOOKUP(northwind_order_details[[#This Row],[order_id]],northwind_orders[order_id],northwind_orders[ship_country])</f>
        <v>France</v>
      </c>
      <c r="G1705">
        <f>INDEX(northwind_orders[],MATCH(northwind_order_details[[#This Row],[order_id]], northwind_orders[order_id], 0), MATCH("employee_id", northwind_orders[#Headers], 0))</f>
        <v>7</v>
      </c>
      <c r="H1705">
        <f>northwind_order_details[[#This Row],[unit_price]]*northwind_order_details[[#This Row],[quantity]]</f>
        <v>336</v>
      </c>
      <c r="I1705" s="1">
        <f>northwind_order_details[[#This Row],[purchase amount]]*northwind_order_details[[#This Row],[discount]]</f>
        <v>67.2</v>
      </c>
      <c r="J1705" s="1">
        <f>northwind_order_details[[#This Row],[purchase amount]]-northwind_order_details[[#This Row],[discount amount]]</f>
        <v>268.8</v>
      </c>
      <c r="K1705" s="6" t="str">
        <f>IF(northwind_order_details[[#This Row],[discount amount]]&gt;0,"Yes","No")</f>
        <v>Yes</v>
      </c>
      <c r="L1705" s="1" t="str">
        <f>IF(northwind_order_details[[#This Row],[Revenue]]&gt;1000,"High",IF(northwind_order_details[[#This Row],[Revenue]]&gt;300,"Medium","Low"))</f>
        <v>Low</v>
      </c>
      <c r="M17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6" spans="1:13" x14ac:dyDescent="0.25">
      <c r="A1706">
        <v>10924</v>
      </c>
      <c r="B1706">
        <v>10</v>
      </c>
      <c r="C1706" s="6" t="s">
        <v>34</v>
      </c>
      <c r="D1706">
        <v>20</v>
      </c>
      <c r="E1706" s="6">
        <v>0.1</v>
      </c>
      <c r="F1706" t="str">
        <f>_xlfn.XLOOKUP(northwind_order_details[[#This Row],[order_id]],northwind_orders[order_id],northwind_orders[ship_country])</f>
        <v>Sweden</v>
      </c>
      <c r="G1706">
        <f>INDEX(northwind_orders[],MATCH(northwind_order_details[[#This Row],[order_id]], northwind_orders[order_id], 0), MATCH("employee_id", northwind_orders[#Headers], 0))</f>
        <v>3</v>
      </c>
      <c r="H1706">
        <f>northwind_order_details[[#This Row],[unit_price]]*northwind_order_details[[#This Row],[quantity]]</f>
        <v>620</v>
      </c>
      <c r="I1706" s="1">
        <f>northwind_order_details[[#This Row],[purchase amount]]*northwind_order_details[[#This Row],[discount]]</f>
        <v>62</v>
      </c>
      <c r="J1706" s="1">
        <f>northwind_order_details[[#This Row],[purchase amount]]-northwind_order_details[[#This Row],[discount amount]]</f>
        <v>558</v>
      </c>
      <c r="K1706" s="6" t="str">
        <f>IF(northwind_order_details[[#This Row],[discount amount]]&gt;0,"Yes","No")</f>
        <v>Yes</v>
      </c>
      <c r="L1706" s="1" t="str">
        <f>IF(northwind_order_details[[#This Row],[Revenue]]&gt;1000,"High",IF(northwind_order_details[[#This Row],[Revenue]]&gt;300,"Medium","Low"))</f>
        <v>Medium</v>
      </c>
      <c r="M17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07" spans="1:13" x14ac:dyDescent="0.25">
      <c r="A1707">
        <v>10924</v>
      </c>
      <c r="B1707">
        <v>28</v>
      </c>
      <c r="C1707" s="6">
        <v>45.6</v>
      </c>
      <c r="D1707">
        <v>30</v>
      </c>
      <c r="E1707" s="6">
        <v>0.1</v>
      </c>
      <c r="F1707" t="str">
        <f>_xlfn.XLOOKUP(northwind_order_details[[#This Row],[order_id]],northwind_orders[order_id],northwind_orders[ship_country])</f>
        <v>Sweden</v>
      </c>
      <c r="G1707">
        <f>INDEX(northwind_orders[],MATCH(northwind_order_details[[#This Row],[order_id]], northwind_orders[order_id], 0), MATCH("employee_id", northwind_orders[#Headers], 0))</f>
        <v>3</v>
      </c>
      <c r="H1707">
        <f>northwind_order_details[[#This Row],[unit_price]]*northwind_order_details[[#This Row],[quantity]]</f>
        <v>1368</v>
      </c>
      <c r="I1707" s="1">
        <f>northwind_order_details[[#This Row],[purchase amount]]*northwind_order_details[[#This Row],[discount]]</f>
        <v>136.80000000000001</v>
      </c>
      <c r="J1707" s="1">
        <f>northwind_order_details[[#This Row],[purchase amount]]-northwind_order_details[[#This Row],[discount amount]]</f>
        <v>1231.2</v>
      </c>
      <c r="K1707" s="6" t="str">
        <f>IF(northwind_order_details[[#This Row],[discount amount]]&gt;0,"Yes","No")</f>
        <v>Yes</v>
      </c>
      <c r="L1707" s="1" t="str">
        <f>IF(northwind_order_details[[#This Row],[Revenue]]&gt;1000,"High",IF(northwind_order_details[[#This Row],[Revenue]]&gt;300,"Medium","Low"))</f>
        <v>High</v>
      </c>
      <c r="M170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08" spans="1:13" x14ac:dyDescent="0.25">
      <c r="A1708">
        <v>10924</v>
      </c>
      <c r="B1708">
        <v>75</v>
      </c>
      <c r="C1708" s="6">
        <v>7.75</v>
      </c>
      <c r="D1708">
        <v>6</v>
      </c>
      <c r="E1708" s="6" t="s">
        <v>6</v>
      </c>
      <c r="F1708" t="str">
        <f>_xlfn.XLOOKUP(northwind_order_details[[#This Row],[order_id]],northwind_orders[order_id],northwind_orders[ship_country])</f>
        <v>Sweden</v>
      </c>
      <c r="G1708">
        <f>INDEX(northwind_orders[],MATCH(northwind_order_details[[#This Row],[order_id]], northwind_orders[order_id], 0), MATCH("employee_id", northwind_orders[#Headers], 0))</f>
        <v>3</v>
      </c>
      <c r="H1708">
        <f>northwind_order_details[[#This Row],[unit_price]]*northwind_order_details[[#This Row],[quantity]]</f>
        <v>46.5</v>
      </c>
      <c r="I1708" s="1">
        <f>northwind_order_details[[#This Row],[purchase amount]]*northwind_order_details[[#This Row],[discount]]</f>
        <v>0</v>
      </c>
      <c r="J1708" s="1">
        <f>northwind_order_details[[#This Row],[purchase amount]]-northwind_order_details[[#This Row],[discount amount]]</f>
        <v>46.5</v>
      </c>
      <c r="K1708" s="6" t="str">
        <f>IF(northwind_order_details[[#This Row],[discount amount]]&gt;0,"Yes","No")</f>
        <v>No</v>
      </c>
      <c r="L1708" s="1" t="str">
        <f>IF(northwind_order_details[[#This Row],[Revenue]]&gt;1000,"High",IF(northwind_order_details[[#This Row],[Revenue]]&gt;300,"Medium","Low"))</f>
        <v>Low</v>
      </c>
      <c r="M17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09" spans="1:13" x14ac:dyDescent="0.25">
      <c r="A1709">
        <v>10925</v>
      </c>
      <c r="B1709">
        <v>36</v>
      </c>
      <c r="C1709" s="6" t="s">
        <v>20</v>
      </c>
      <c r="D1709">
        <v>25</v>
      </c>
      <c r="E1709" s="6">
        <v>0.15</v>
      </c>
      <c r="F1709" t="str">
        <f>_xlfn.XLOOKUP(northwind_order_details[[#This Row],[order_id]],northwind_orders[order_id],northwind_orders[ship_country])</f>
        <v>Brazil</v>
      </c>
      <c r="G1709">
        <f>INDEX(northwind_orders[],MATCH(northwind_order_details[[#This Row],[order_id]], northwind_orders[order_id], 0), MATCH("employee_id", northwind_orders[#Headers], 0))</f>
        <v>3</v>
      </c>
      <c r="H1709">
        <f>northwind_order_details[[#This Row],[unit_price]]*northwind_order_details[[#This Row],[quantity]]</f>
        <v>475</v>
      </c>
      <c r="I1709" s="1">
        <f>northwind_order_details[[#This Row],[purchase amount]]*northwind_order_details[[#This Row],[discount]]</f>
        <v>71.25</v>
      </c>
      <c r="J1709" s="1">
        <f>northwind_order_details[[#This Row],[purchase amount]]-northwind_order_details[[#This Row],[discount amount]]</f>
        <v>403.75</v>
      </c>
      <c r="K1709" s="6" t="str">
        <f>IF(northwind_order_details[[#This Row],[discount amount]]&gt;0,"Yes","No")</f>
        <v>Yes</v>
      </c>
      <c r="L1709" s="1" t="str">
        <f>IF(northwind_order_details[[#This Row],[Revenue]]&gt;1000,"High",IF(northwind_order_details[[#This Row],[Revenue]]&gt;300,"Medium","Low"))</f>
        <v>Medium</v>
      </c>
      <c r="M17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0" spans="1:13" x14ac:dyDescent="0.25">
      <c r="A1710">
        <v>10925</v>
      </c>
      <c r="B1710">
        <v>52</v>
      </c>
      <c r="C1710" s="6" t="s">
        <v>32</v>
      </c>
      <c r="D1710">
        <v>12</v>
      </c>
      <c r="E1710" s="6">
        <v>0.15</v>
      </c>
      <c r="F1710" t="str">
        <f>_xlfn.XLOOKUP(northwind_order_details[[#This Row],[order_id]],northwind_orders[order_id],northwind_orders[ship_country])</f>
        <v>Brazil</v>
      </c>
      <c r="G1710">
        <f>INDEX(northwind_orders[],MATCH(northwind_order_details[[#This Row],[order_id]], northwind_orders[order_id], 0), MATCH("employee_id", northwind_orders[#Headers], 0))</f>
        <v>3</v>
      </c>
      <c r="H1710">
        <f>northwind_order_details[[#This Row],[unit_price]]*northwind_order_details[[#This Row],[quantity]]</f>
        <v>84</v>
      </c>
      <c r="I1710" s="1">
        <f>northwind_order_details[[#This Row],[purchase amount]]*northwind_order_details[[#This Row],[discount]]</f>
        <v>12.6</v>
      </c>
      <c r="J1710" s="1">
        <f>northwind_order_details[[#This Row],[purchase amount]]-northwind_order_details[[#This Row],[discount amount]]</f>
        <v>71.400000000000006</v>
      </c>
      <c r="K1710" s="6" t="str">
        <f>IF(northwind_order_details[[#This Row],[discount amount]]&gt;0,"Yes","No")</f>
        <v>Yes</v>
      </c>
      <c r="L1710" s="1" t="str">
        <f>IF(northwind_order_details[[#This Row],[Revenue]]&gt;1000,"High",IF(northwind_order_details[[#This Row],[Revenue]]&gt;300,"Medium","Low"))</f>
        <v>Low</v>
      </c>
      <c r="M17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1" spans="1:13" x14ac:dyDescent="0.25">
      <c r="A1711">
        <v>10926</v>
      </c>
      <c r="B1711">
        <v>11</v>
      </c>
      <c r="C1711" s="6" t="s">
        <v>37</v>
      </c>
      <c r="D1711">
        <v>2</v>
      </c>
      <c r="E1711" s="6" t="s">
        <v>6</v>
      </c>
      <c r="F1711" t="str">
        <f>_xlfn.XLOOKUP(northwind_order_details[[#This Row],[order_id]],northwind_orders[order_id],northwind_orders[ship_country])</f>
        <v>Mexico</v>
      </c>
      <c r="G1711">
        <f>INDEX(northwind_orders[],MATCH(northwind_order_details[[#This Row],[order_id]], northwind_orders[order_id], 0), MATCH("employee_id", northwind_orders[#Headers], 0))</f>
        <v>4</v>
      </c>
      <c r="H1711">
        <f>northwind_order_details[[#This Row],[unit_price]]*northwind_order_details[[#This Row],[quantity]]</f>
        <v>42</v>
      </c>
      <c r="I1711" s="1">
        <f>northwind_order_details[[#This Row],[purchase amount]]*northwind_order_details[[#This Row],[discount]]</f>
        <v>0</v>
      </c>
      <c r="J1711" s="1">
        <f>northwind_order_details[[#This Row],[purchase amount]]-northwind_order_details[[#This Row],[discount amount]]</f>
        <v>42</v>
      </c>
      <c r="K1711" s="6" t="str">
        <f>IF(northwind_order_details[[#This Row],[discount amount]]&gt;0,"Yes","No")</f>
        <v>No</v>
      </c>
      <c r="L1711" s="1" t="str">
        <f>IF(northwind_order_details[[#This Row],[Revenue]]&gt;1000,"High",IF(northwind_order_details[[#This Row],[Revenue]]&gt;300,"Medium","Low"))</f>
        <v>Low</v>
      </c>
      <c r="M17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2" spans="1:13" x14ac:dyDescent="0.25">
      <c r="A1712">
        <v>10926</v>
      </c>
      <c r="B1712">
        <v>13</v>
      </c>
      <c r="C1712" s="6" t="s">
        <v>23</v>
      </c>
      <c r="D1712">
        <v>10</v>
      </c>
      <c r="E1712" s="6" t="s">
        <v>6</v>
      </c>
      <c r="F1712" t="str">
        <f>_xlfn.XLOOKUP(northwind_order_details[[#This Row],[order_id]],northwind_orders[order_id],northwind_orders[ship_country])</f>
        <v>Mexico</v>
      </c>
      <c r="G1712">
        <f>INDEX(northwind_orders[],MATCH(northwind_order_details[[#This Row],[order_id]], northwind_orders[order_id], 0), MATCH("employee_id", northwind_orders[#Headers], 0))</f>
        <v>4</v>
      </c>
      <c r="H1712">
        <f>northwind_order_details[[#This Row],[unit_price]]*northwind_order_details[[#This Row],[quantity]]</f>
        <v>60</v>
      </c>
      <c r="I1712" s="1">
        <f>northwind_order_details[[#This Row],[purchase amount]]*northwind_order_details[[#This Row],[discount]]</f>
        <v>0</v>
      </c>
      <c r="J1712" s="1">
        <f>northwind_order_details[[#This Row],[purchase amount]]-northwind_order_details[[#This Row],[discount amount]]</f>
        <v>60</v>
      </c>
      <c r="K1712" s="6" t="str">
        <f>IF(northwind_order_details[[#This Row],[discount amount]]&gt;0,"Yes","No")</f>
        <v>No</v>
      </c>
      <c r="L1712" s="1" t="str">
        <f>IF(northwind_order_details[[#This Row],[Revenue]]&gt;1000,"High",IF(northwind_order_details[[#This Row],[Revenue]]&gt;300,"Medium","Low"))</f>
        <v>Low</v>
      </c>
      <c r="M17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3" spans="1:13" x14ac:dyDescent="0.25">
      <c r="A1713">
        <v>10926</v>
      </c>
      <c r="B1713">
        <v>19</v>
      </c>
      <c r="C1713" s="6">
        <v>9.1999999999999993</v>
      </c>
      <c r="D1713">
        <v>7</v>
      </c>
      <c r="E1713" s="6" t="s">
        <v>6</v>
      </c>
      <c r="F1713" t="str">
        <f>_xlfn.XLOOKUP(northwind_order_details[[#This Row],[order_id]],northwind_orders[order_id],northwind_orders[ship_country])</f>
        <v>Mexico</v>
      </c>
      <c r="G1713">
        <f>INDEX(northwind_orders[],MATCH(northwind_order_details[[#This Row],[order_id]], northwind_orders[order_id], 0), MATCH("employee_id", northwind_orders[#Headers], 0))</f>
        <v>4</v>
      </c>
      <c r="H1713">
        <f>northwind_order_details[[#This Row],[unit_price]]*northwind_order_details[[#This Row],[quantity]]</f>
        <v>64.399999999999991</v>
      </c>
      <c r="I1713" s="1">
        <f>northwind_order_details[[#This Row],[purchase amount]]*northwind_order_details[[#This Row],[discount]]</f>
        <v>0</v>
      </c>
      <c r="J1713" s="1">
        <f>northwind_order_details[[#This Row],[purchase amount]]-northwind_order_details[[#This Row],[discount amount]]</f>
        <v>64.399999999999991</v>
      </c>
      <c r="K1713" s="6" t="str">
        <f>IF(northwind_order_details[[#This Row],[discount amount]]&gt;0,"Yes","No")</f>
        <v>No</v>
      </c>
      <c r="L1713" s="1" t="str">
        <f>IF(northwind_order_details[[#This Row],[Revenue]]&gt;1000,"High",IF(northwind_order_details[[#This Row],[Revenue]]&gt;300,"Medium","Low"))</f>
        <v>Low</v>
      </c>
      <c r="M17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14" spans="1:13" x14ac:dyDescent="0.25">
      <c r="A1714">
        <v>10926</v>
      </c>
      <c r="B1714">
        <v>72</v>
      </c>
      <c r="C1714" s="6">
        <v>34.799999999999997</v>
      </c>
      <c r="D1714">
        <v>10</v>
      </c>
      <c r="E1714" s="6" t="s">
        <v>6</v>
      </c>
      <c r="F1714" t="str">
        <f>_xlfn.XLOOKUP(northwind_order_details[[#This Row],[order_id]],northwind_orders[order_id],northwind_orders[ship_country])</f>
        <v>Mexico</v>
      </c>
      <c r="G1714">
        <f>INDEX(northwind_orders[],MATCH(northwind_order_details[[#This Row],[order_id]], northwind_orders[order_id], 0), MATCH("employee_id", northwind_orders[#Headers], 0))</f>
        <v>4</v>
      </c>
      <c r="H1714">
        <f>northwind_order_details[[#This Row],[unit_price]]*northwind_order_details[[#This Row],[quantity]]</f>
        <v>348</v>
      </c>
      <c r="I1714" s="1">
        <f>northwind_order_details[[#This Row],[purchase amount]]*northwind_order_details[[#This Row],[discount]]</f>
        <v>0</v>
      </c>
      <c r="J1714" s="1">
        <f>northwind_order_details[[#This Row],[purchase amount]]-northwind_order_details[[#This Row],[discount amount]]</f>
        <v>348</v>
      </c>
      <c r="K1714" s="6" t="str">
        <f>IF(northwind_order_details[[#This Row],[discount amount]]&gt;0,"Yes","No")</f>
        <v>No</v>
      </c>
      <c r="L1714" s="1" t="str">
        <f>IF(northwind_order_details[[#This Row],[Revenue]]&gt;1000,"High",IF(northwind_order_details[[#This Row],[Revenue]]&gt;300,"Medium","Low"))</f>
        <v>Medium</v>
      </c>
      <c r="M171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15" spans="1:13" x14ac:dyDescent="0.25">
      <c r="A1715">
        <v>10927</v>
      </c>
      <c r="B1715">
        <v>20</v>
      </c>
      <c r="C1715" s="6" t="s">
        <v>29</v>
      </c>
      <c r="D1715">
        <v>5</v>
      </c>
      <c r="E1715" s="6" t="s">
        <v>6</v>
      </c>
      <c r="F1715" t="str">
        <f>_xlfn.XLOOKUP(northwind_order_details[[#This Row],[order_id]],northwind_orders[order_id],northwind_orders[ship_country])</f>
        <v>France</v>
      </c>
      <c r="G1715">
        <f>INDEX(northwind_orders[],MATCH(northwind_order_details[[#This Row],[order_id]], northwind_orders[order_id], 0), MATCH("employee_id", northwind_orders[#Headers], 0))</f>
        <v>4</v>
      </c>
      <c r="H1715">
        <f>northwind_order_details[[#This Row],[unit_price]]*northwind_order_details[[#This Row],[quantity]]</f>
        <v>405</v>
      </c>
      <c r="I1715" s="1">
        <f>northwind_order_details[[#This Row],[purchase amount]]*northwind_order_details[[#This Row],[discount]]</f>
        <v>0</v>
      </c>
      <c r="J1715" s="1">
        <f>northwind_order_details[[#This Row],[purchase amount]]-northwind_order_details[[#This Row],[discount amount]]</f>
        <v>405</v>
      </c>
      <c r="K1715" s="6" t="str">
        <f>IF(northwind_order_details[[#This Row],[discount amount]]&gt;0,"Yes","No")</f>
        <v>No</v>
      </c>
      <c r="L1715" s="1" t="str">
        <f>IF(northwind_order_details[[#This Row],[Revenue]]&gt;1000,"High",IF(northwind_order_details[[#This Row],[Revenue]]&gt;300,"Medium","Low"))</f>
        <v>Medium</v>
      </c>
      <c r="M17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6" spans="1:13" x14ac:dyDescent="0.25">
      <c r="A1716">
        <v>10927</v>
      </c>
      <c r="B1716">
        <v>52</v>
      </c>
      <c r="C1716" s="6" t="s">
        <v>32</v>
      </c>
      <c r="D1716">
        <v>5</v>
      </c>
      <c r="E1716" s="6" t="s">
        <v>6</v>
      </c>
      <c r="F1716" t="str">
        <f>_xlfn.XLOOKUP(northwind_order_details[[#This Row],[order_id]],northwind_orders[order_id],northwind_orders[ship_country])</f>
        <v>France</v>
      </c>
      <c r="G1716">
        <f>INDEX(northwind_orders[],MATCH(northwind_order_details[[#This Row],[order_id]], northwind_orders[order_id], 0), MATCH("employee_id", northwind_orders[#Headers], 0))</f>
        <v>4</v>
      </c>
      <c r="H1716">
        <f>northwind_order_details[[#This Row],[unit_price]]*northwind_order_details[[#This Row],[quantity]]</f>
        <v>35</v>
      </c>
      <c r="I1716" s="1">
        <f>northwind_order_details[[#This Row],[purchase amount]]*northwind_order_details[[#This Row],[discount]]</f>
        <v>0</v>
      </c>
      <c r="J1716" s="1">
        <f>northwind_order_details[[#This Row],[purchase amount]]-northwind_order_details[[#This Row],[discount amount]]</f>
        <v>35</v>
      </c>
      <c r="K1716" s="6" t="str">
        <f>IF(northwind_order_details[[#This Row],[discount amount]]&gt;0,"Yes","No")</f>
        <v>No</v>
      </c>
      <c r="L1716" s="1" t="str">
        <f>IF(northwind_order_details[[#This Row],[Revenue]]&gt;1000,"High",IF(northwind_order_details[[#This Row],[Revenue]]&gt;300,"Medium","Low"))</f>
        <v>Low</v>
      </c>
      <c r="M17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7" spans="1:13" x14ac:dyDescent="0.25">
      <c r="A1717">
        <v>10927</v>
      </c>
      <c r="B1717">
        <v>76</v>
      </c>
      <c r="C1717" s="6" t="s">
        <v>24</v>
      </c>
      <c r="D1717">
        <v>20</v>
      </c>
      <c r="E1717" s="6" t="s">
        <v>6</v>
      </c>
      <c r="F1717" t="str">
        <f>_xlfn.XLOOKUP(northwind_order_details[[#This Row],[order_id]],northwind_orders[order_id],northwind_orders[ship_country])</f>
        <v>France</v>
      </c>
      <c r="G1717">
        <f>INDEX(northwind_orders[],MATCH(northwind_order_details[[#This Row],[order_id]], northwind_orders[order_id], 0), MATCH("employee_id", northwind_orders[#Headers], 0))</f>
        <v>4</v>
      </c>
      <c r="H1717">
        <f>northwind_order_details[[#This Row],[unit_price]]*northwind_order_details[[#This Row],[quantity]]</f>
        <v>360</v>
      </c>
      <c r="I1717" s="1">
        <f>northwind_order_details[[#This Row],[purchase amount]]*northwind_order_details[[#This Row],[discount]]</f>
        <v>0</v>
      </c>
      <c r="J1717" s="1">
        <f>northwind_order_details[[#This Row],[purchase amount]]-northwind_order_details[[#This Row],[discount amount]]</f>
        <v>360</v>
      </c>
      <c r="K1717" s="6" t="str">
        <f>IF(northwind_order_details[[#This Row],[discount amount]]&gt;0,"Yes","No")</f>
        <v>No</v>
      </c>
      <c r="L1717" s="1" t="str">
        <f>IF(northwind_order_details[[#This Row],[Revenue]]&gt;1000,"High",IF(northwind_order_details[[#This Row],[Revenue]]&gt;300,"Medium","Low"))</f>
        <v>Medium</v>
      </c>
      <c r="M17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18" spans="1:13" x14ac:dyDescent="0.25">
      <c r="A1718">
        <v>10928</v>
      </c>
      <c r="B1718">
        <v>47</v>
      </c>
      <c r="C1718" s="6">
        <v>9.5</v>
      </c>
      <c r="D1718">
        <v>5</v>
      </c>
      <c r="E1718" s="6" t="s">
        <v>6</v>
      </c>
      <c r="F1718" t="str">
        <f>_xlfn.XLOOKUP(northwind_order_details[[#This Row],[order_id]],northwind_orders[order_id],northwind_orders[ship_country])</f>
        <v>Spain</v>
      </c>
      <c r="G1718">
        <f>INDEX(northwind_orders[],MATCH(northwind_order_details[[#This Row],[order_id]], northwind_orders[order_id], 0), MATCH("employee_id", northwind_orders[#Headers], 0))</f>
        <v>1</v>
      </c>
      <c r="H1718">
        <f>northwind_order_details[[#This Row],[unit_price]]*northwind_order_details[[#This Row],[quantity]]</f>
        <v>47.5</v>
      </c>
      <c r="I1718" s="1">
        <f>northwind_order_details[[#This Row],[purchase amount]]*northwind_order_details[[#This Row],[discount]]</f>
        <v>0</v>
      </c>
      <c r="J1718" s="1">
        <f>northwind_order_details[[#This Row],[purchase amount]]-northwind_order_details[[#This Row],[discount amount]]</f>
        <v>47.5</v>
      </c>
      <c r="K1718" s="6" t="str">
        <f>IF(northwind_order_details[[#This Row],[discount amount]]&gt;0,"Yes","No")</f>
        <v>No</v>
      </c>
      <c r="L1718" s="1" t="str">
        <f>IF(northwind_order_details[[#This Row],[Revenue]]&gt;1000,"High",IF(northwind_order_details[[#This Row],[Revenue]]&gt;300,"Medium","Low"))</f>
        <v>Low</v>
      </c>
      <c r="M17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19" spans="1:13" x14ac:dyDescent="0.25">
      <c r="A1719">
        <v>10928</v>
      </c>
      <c r="B1719">
        <v>76</v>
      </c>
      <c r="C1719" s="6" t="s">
        <v>24</v>
      </c>
      <c r="D1719">
        <v>5</v>
      </c>
      <c r="E1719" s="6" t="s">
        <v>6</v>
      </c>
      <c r="F1719" t="str">
        <f>_xlfn.XLOOKUP(northwind_order_details[[#This Row],[order_id]],northwind_orders[order_id],northwind_orders[ship_country])</f>
        <v>Spain</v>
      </c>
      <c r="G1719">
        <f>INDEX(northwind_orders[],MATCH(northwind_order_details[[#This Row],[order_id]], northwind_orders[order_id], 0), MATCH("employee_id", northwind_orders[#Headers], 0))</f>
        <v>1</v>
      </c>
      <c r="H1719">
        <f>northwind_order_details[[#This Row],[unit_price]]*northwind_order_details[[#This Row],[quantity]]</f>
        <v>90</v>
      </c>
      <c r="I1719" s="1">
        <f>northwind_order_details[[#This Row],[purchase amount]]*northwind_order_details[[#This Row],[discount]]</f>
        <v>0</v>
      </c>
      <c r="J1719" s="1">
        <f>northwind_order_details[[#This Row],[purchase amount]]-northwind_order_details[[#This Row],[discount amount]]</f>
        <v>90</v>
      </c>
      <c r="K1719" s="6" t="str">
        <f>IF(northwind_order_details[[#This Row],[discount amount]]&gt;0,"Yes","No")</f>
        <v>No</v>
      </c>
      <c r="L1719" s="1" t="str">
        <f>IF(northwind_order_details[[#This Row],[Revenue]]&gt;1000,"High",IF(northwind_order_details[[#This Row],[Revenue]]&gt;300,"Medium","Low"))</f>
        <v>Low</v>
      </c>
      <c r="M17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0" spans="1:13" x14ac:dyDescent="0.25">
      <c r="A1720">
        <v>10929</v>
      </c>
      <c r="B1720">
        <v>21</v>
      </c>
      <c r="C1720" s="6" t="s">
        <v>8</v>
      </c>
      <c r="D1720">
        <v>60</v>
      </c>
      <c r="E1720" s="6" t="s">
        <v>6</v>
      </c>
      <c r="F1720" t="str">
        <f>_xlfn.XLOOKUP(northwind_order_details[[#This Row],[order_id]],northwind_orders[order_id],northwind_orders[ship_country])</f>
        <v>Germany</v>
      </c>
      <c r="G1720">
        <f>INDEX(northwind_orders[],MATCH(northwind_order_details[[#This Row],[order_id]], northwind_orders[order_id], 0), MATCH("employee_id", northwind_orders[#Headers], 0))</f>
        <v>6</v>
      </c>
      <c r="H1720">
        <f>northwind_order_details[[#This Row],[unit_price]]*northwind_order_details[[#This Row],[quantity]]</f>
        <v>600</v>
      </c>
      <c r="I1720" s="1">
        <f>northwind_order_details[[#This Row],[purchase amount]]*northwind_order_details[[#This Row],[discount]]</f>
        <v>0</v>
      </c>
      <c r="J1720" s="1">
        <f>northwind_order_details[[#This Row],[purchase amount]]-northwind_order_details[[#This Row],[discount amount]]</f>
        <v>600</v>
      </c>
      <c r="K1720" s="6" t="str">
        <f>IF(northwind_order_details[[#This Row],[discount amount]]&gt;0,"Yes","No")</f>
        <v>No</v>
      </c>
      <c r="L1720" s="1" t="str">
        <f>IF(northwind_order_details[[#This Row],[Revenue]]&gt;1000,"High",IF(northwind_order_details[[#This Row],[Revenue]]&gt;300,"Medium","Low"))</f>
        <v>Medium</v>
      </c>
      <c r="M17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1" spans="1:13" x14ac:dyDescent="0.25">
      <c r="A1721">
        <v>10929</v>
      </c>
      <c r="B1721">
        <v>75</v>
      </c>
      <c r="C1721" s="6">
        <v>7.75</v>
      </c>
      <c r="D1721">
        <v>49</v>
      </c>
      <c r="E1721" s="6" t="s">
        <v>6</v>
      </c>
      <c r="F1721" t="str">
        <f>_xlfn.XLOOKUP(northwind_order_details[[#This Row],[order_id]],northwind_orders[order_id],northwind_orders[ship_country])</f>
        <v>Germany</v>
      </c>
      <c r="G1721">
        <f>INDEX(northwind_orders[],MATCH(northwind_order_details[[#This Row],[order_id]], northwind_orders[order_id], 0), MATCH("employee_id", northwind_orders[#Headers], 0))</f>
        <v>6</v>
      </c>
      <c r="H1721">
        <f>northwind_order_details[[#This Row],[unit_price]]*northwind_order_details[[#This Row],[quantity]]</f>
        <v>379.75</v>
      </c>
      <c r="I1721" s="1">
        <f>northwind_order_details[[#This Row],[purchase amount]]*northwind_order_details[[#This Row],[discount]]</f>
        <v>0</v>
      </c>
      <c r="J1721" s="1">
        <f>northwind_order_details[[#This Row],[purchase amount]]-northwind_order_details[[#This Row],[discount amount]]</f>
        <v>379.75</v>
      </c>
      <c r="K1721" s="6" t="str">
        <f>IF(northwind_order_details[[#This Row],[discount amount]]&gt;0,"Yes","No")</f>
        <v>No</v>
      </c>
      <c r="L1721" s="1" t="str">
        <f>IF(northwind_order_details[[#This Row],[Revenue]]&gt;1000,"High",IF(northwind_order_details[[#This Row],[Revenue]]&gt;300,"Medium","Low"))</f>
        <v>Medium</v>
      </c>
      <c r="M172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22" spans="1:13" x14ac:dyDescent="0.25">
      <c r="A1722">
        <v>10929</v>
      </c>
      <c r="B1722">
        <v>77</v>
      </c>
      <c r="C1722" s="6" t="s">
        <v>19</v>
      </c>
      <c r="D1722">
        <v>15</v>
      </c>
      <c r="E1722" s="6" t="s">
        <v>6</v>
      </c>
      <c r="F1722" t="str">
        <f>_xlfn.XLOOKUP(northwind_order_details[[#This Row],[order_id]],northwind_orders[order_id],northwind_orders[ship_country])</f>
        <v>Germany</v>
      </c>
      <c r="G1722">
        <f>INDEX(northwind_orders[],MATCH(northwind_order_details[[#This Row],[order_id]], northwind_orders[order_id], 0), MATCH("employee_id", northwind_orders[#Headers], 0))</f>
        <v>6</v>
      </c>
      <c r="H1722">
        <f>northwind_order_details[[#This Row],[unit_price]]*northwind_order_details[[#This Row],[quantity]]</f>
        <v>195</v>
      </c>
      <c r="I1722" s="1">
        <f>northwind_order_details[[#This Row],[purchase amount]]*northwind_order_details[[#This Row],[discount]]</f>
        <v>0</v>
      </c>
      <c r="J1722" s="1">
        <f>northwind_order_details[[#This Row],[purchase amount]]-northwind_order_details[[#This Row],[discount amount]]</f>
        <v>195</v>
      </c>
      <c r="K1722" s="6" t="str">
        <f>IF(northwind_order_details[[#This Row],[discount amount]]&gt;0,"Yes","No")</f>
        <v>No</v>
      </c>
      <c r="L1722" s="1" t="str">
        <f>IF(northwind_order_details[[#This Row],[Revenue]]&gt;1000,"High",IF(northwind_order_details[[#This Row],[Revenue]]&gt;300,"Medium","Low"))</f>
        <v>Low</v>
      </c>
      <c r="M17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3" spans="1:13" x14ac:dyDescent="0.25">
      <c r="A1723">
        <v>10930</v>
      </c>
      <c r="B1723">
        <v>21</v>
      </c>
      <c r="C1723" s="6" t="s">
        <v>8</v>
      </c>
      <c r="D1723">
        <v>36</v>
      </c>
      <c r="E1723" s="6" t="s">
        <v>6</v>
      </c>
      <c r="F1723" t="str">
        <f>_xlfn.XLOOKUP(northwind_order_details[[#This Row],[order_id]],northwind_orders[order_id],northwind_orders[ship_country])</f>
        <v>Belgium</v>
      </c>
      <c r="G1723">
        <f>INDEX(northwind_orders[],MATCH(northwind_order_details[[#This Row],[order_id]], northwind_orders[order_id], 0), MATCH("employee_id", northwind_orders[#Headers], 0))</f>
        <v>4</v>
      </c>
      <c r="H1723">
        <f>northwind_order_details[[#This Row],[unit_price]]*northwind_order_details[[#This Row],[quantity]]</f>
        <v>360</v>
      </c>
      <c r="I1723" s="1">
        <f>northwind_order_details[[#This Row],[purchase amount]]*northwind_order_details[[#This Row],[discount]]</f>
        <v>0</v>
      </c>
      <c r="J1723" s="1">
        <f>northwind_order_details[[#This Row],[purchase amount]]-northwind_order_details[[#This Row],[discount amount]]</f>
        <v>360</v>
      </c>
      <c r="K1723" s="6" t="str">
        <f>IF(northwind_order_details[[#This Row],[discount amount]]&gt;0,"Yes","No")</f>
        <v>No</v>
      </c>
      <c r="L1723" s="1" t="str">
        <f>IF(northwind_order_details[[#This Row],[Revenue]]&gt;1000,"High",IF(northwind_order_details[[#This Row],[Revenue]]&gt;300,"Medium","Low"))</f>
        <v>Medium</v>
      </c>
      <c r="M17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4" spans="1:13" x14ac:dyDescent="0.25">
      <c r="A1724">
        <v>10930</v>
      </c>
      <c r="B1724">
        <v>27</v>
      </c>
      <c r="C1724" s="6">
        <v>43.9</v>
      </c>
      <c r="D1724">
        <v>25</v>
      </c>
      <c r="E1724" s="6" t="s">
        <v>6</v>
      </c>
      <c r="F1724" t="str">
        <f>_xlfn.XLOOKUP(northwind_order_details[[#This Row],[order_id]],northwind_orders[order_id],northwind_orders[ship_country])</f>
        <v>Belgium</v>
      </c>
      <c r="G1724">
        <f>INDEX(northwind_orders[],MATCH(northwind_order_details[[#This Row],[order_id]], northwind_orders[order_id], 0), MATCH("employee_id", northwind_orders[#Headers], 0))</f>
        <v>4</v>
      </c>
      <c r="H1724">
        <f>northwind_order_details[[#This Row],[unit_price]]*northwind_order_details[[#This Row],[quantity]]</f>
        <v>1097.5</v>
      </c>
      <c r="I1724" s="1">
        <f>northwind_order_details[[#This Row],[purchase amount]]*northwind_order_details[[#This Row],[discount]]</f>
        <v>0</v>
      </c>
      <c r="J1724" s="1">
        <f>northwind_order_details[[#This Row],[purchase amount]]-northwind_order_details[[#This Row],[discount amount]]</f>
        <v>1097.5</v>
      </c>
      <c r="K1724" s="6" t="str">
        <f>IF(northwind_order_details[[#This Row],[discount amount]]&gt;0,"Yes","No")</f>
        <v>No</v>
      </c>
      <c r="L1724" s="1" t="str">
        <f>IF(northwind_order_details[[#This Row],[Revenue]]&gt;1000,"High",IF(northwind_order_details[[#This Row],[Revenue]]&gt;300,"Medium","Low"))</f>
        <v>High</v>
      </c>
      <c r="M172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25" spans="1:13" x14ac:dyDescent="0.25">
      <c r="A1725">
        <v>10930</v>
      </c>
      <c r="B1725">
        <v>55</v>
      </c>
      <c r="C1725" s="6" t="s">
        <v>14</v>
      </c>
      <c r="D1725">
        <v>25</v>
      </c>
      <c r="E1725" s="6">
        <v>0.2</v>
      </c>
      <c r="F1725" t="str">
        <f>_xlfn.XLOOKUP(northwind_order_details[[#This Row],[order_id]],northwind_orders[order_id],northwind_orders[ship_country])</f>
        <v>Belgium</v>
      </c>
      <c r="G1725">
        <f>INDEX(northwind_orders[],MATCH(northwind_order_details[[#This Row],[order_id]], northwind_orders[order_id], 0), MATCH("employee_id", northwind_orders[#Headers], 0))</f>
        <v>4</v>
      </c>
      <c r="H1725">
        <f>northwind_order_details[[#This Row],[unit_price]]*northwind_order_details[[#This Row],[quantity]]</f>
        <v>600</v>
      </c>
      <c r="I1725" s="1">
        <f>northwind_order_details[[#This Row],[purchase amount]]*northwind_order_details[[#This Row],[discount]]</f>
        <v>120</v>
      </c>
      <c r="J1725" s="1">
        <f>northwind_order_details[[#This Row],[purchase amount]]-northwind_order_details[[#This Row],[discount amount]]</f>
        <v>480</v>
      </c>
      <c r="K1725" s="6" t="str">
        <f>IF(northwind_order_details[[#This Row],[discount amount]]&gt;0,"Yes","No")</f>
        <v>Yes</v>
      </c>
      <c r="L1725" s="1" t="str">
        <f>IF(northwind_order_details[[#This Row],[Revenue]]&gt;1000,"High",IF(northwind_order_details[[#This Row],[Revenue]]&gt;300,"Medium","Low"))</f>
        <v>Medium</v>
      </c>
      <c r="M172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6" spans="1:13" x14ac:dyDescent="0.25">
      <c r="A1726">
        <v>10930</v>
      </c>
      <c r="B1726">
        <v>58</v>
      </c>
      <c r="C1726" s="6">
        <v>13.25</v>
      </c>
      <c r="D1726">
        <v>30</v>
      </c>
      <c r="E1726" s="6">
        <v>0.2</v>
      </c>
      <c r="F1726" t="str">
        <f>_xlfn.XLOOKUP(northwind_order_details[[#This Row],[order_id]],northwind_orders[order_id],northwind_orders[ship_country])</f>
        <v>Belgium</v>
      </c>
      <c r="G1726">
        <f>INDEX(northwind_orders[],MATCH(northwind_order_details[[#This Row],[order_id]], northwind_orders[order_id], 0), MATCH("employee_id", northwind_orders[#Headers], 0))</f>
        <v>4</v>
      </c>
      <c r="H1726">
        <f>northwind_order_details[[#This Row],[unit_price]]*northwind_order_details[[#This Row],[quantity]]</f>
        <v>397.5</v>
      </c>
      <c r="I1726" s="1">
        <f>northwind_order_details[[#This Row],[purchase amount]]*northwind_order_details[[#This Row],[discount]]</f>
        <v>79.5</v>
      </c>
      <c r="J1726" s="1">
        <f>northwind_order_details[[#This Row],[purchase amount]]-northwind_order_details[[#This Row],[discount amount]]</f>
        <v>318</v>
      </c>
      <c r="K1726" s="6" t="str">
        <f>IF(northwind_order_details[[#This Row],[discount amount]]&gt;0,"Yes","No")</f>
        <v>Yes</v>
      </c>
      <c r="L1726" s="1" t="str">
        <f>IF(northwind_order_details[[#This Row],[Revenue]]&gt;1000,"High",IF(northwind_order_details[[#This Row],[Revenue]]&gt;300,"Medium","Low"))</f>
        <v>Medium</v>
      </c>
      <c r="M17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27" spans="1:13" x14ac:dyDescent="0.25">
      <c r="A1727">
        <v>10931</v>
      </c>
      <c r="B1727">
        <v>13</v>
      </c>
      <c r="C1727" s="6" t="s">
        <v>23</v>
      </c>
      <c r="D1727">
        <v>42</v>
      </c>
      <c r="E1727" s="6">
        <v>0.15</v>
      </c>
      <c r="F1727" t="str">
        <f>_xlfn.XLOOKUP(northwind_order_details[[#This Row],[order_id]],northwind_orders[order_id],northwind_orders[ship_country])</f>
        <v>Switzerland</v>
      </c>
      <c r="G1727">
        <f>INDEX(northwind_orders[],MATCH(northwind_order_details[[#This Row],[order_id]], northwind_orders[order_id], 0), MATCH("employee_id", northwind_orders[#Headers], 0))</f>
        <v>4</v>
      </c>
      <c r="H1727">
        <f>northwind_order_details[[#This Row],[unit_price]]*northwind_order_details[[#This Row],[quantity]]</f>
        <v>252</v>
      </c>
      <c r="I1727" s="1">
        <f>northwind_order_details[[#This Row],[purchase amount]]*northwind_order_details[[#This Row],[discount]]</f>
        <v>37.799999999999997</v>
      </c>
      <c r="J1727" s="1">
        <f>northwind_order_details[[#This Row],[purchase amount]]-northwind_order_details[[#This Row],[discount amount]]</f>
        <v>214.2</v>
      </c>
      <c r="K1727" s="6" t="str">
        <f>IF(northwind_order_details[[#This Row],[discount amount]]&gt;0,"Yes","No")</f>
        <v>Yes</v>
      </c>
      <c r="L1727" s="1" t="str">
        <f>IF(northwind_order_details[[#This Row],[Revenue]]&gt;1000,"High",IF(northwind_order_details[[#This Row],[Revenue]]&gt;300,"Medium","Low"))</f>
        <v>Low</v>
      </c>
      <c r="M172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28" spans="1:13" x14ac:dyDescent="0.25">
      <c r="A1728">
        <v>10931</v>
      </c>
      <c r="B1728">
        <v>57</v>
      </c>
      <c r="C1728" s="6">
        <v>19.5</v>
      </c>
      <c r="D1728">
        <v>30</v>
      </c>
      <c r="E1728" s="6" t="s">
        <v>6</v>
      </c>
      <c r="F1728" t="str">
        <f>_xlfn.XLOOKUP(northwind_order_details[[#This Row],[order_id]],northwind_orders[order_id],northwind_orders[ship_country])</f>
        <v>Switzerland</v>
      </c>
      <c r="G1728">
        <f>INDEX(northwind_orders[],MATCH(northwind_order_details[[#This Row],[order_id]], northwind_orders[order_id], 0), MATCH("employee_id", northwind_orders[#Headers], 0))</f>
        <v>4</v>
      </c>
      <c r="H1728">
        <f>northwind_order_details[[#This Row],[unit_price]]*northwind_order_details[[#This Row],[quantity]]</f>
        <v>585</v>
      </c>
      <c r="I1728" s="1">
        <f>northwind_order_details[[#This Row],[purchase amount]]*northwind_order_details[[#This Row],[discount]]</f>
        <v>0</v>
      </c>
      <c r="J1728" s="1">
        <f>northwind_order_details[[#This Row],[purchase amount]]-northwind_order_details[[#This Row],[discount amount]]</f>
        <v>585</v>
      </c>
      <c r="K1728" s="6" t="str">
        <f>IF(northwind_order_details[[#This Row],[discount amount]]&gt;0,"Yes","No")</f>
        <v>No</v>
      </c>
      <c r="L1728" s="1" t="str">
        <f>IF(northwind_order_details[[#This Row],[Revenue]]&gt;1000,"High",IF(northwind_order_details[[#This Row],[Revenue]]&gt;300,"Medium","Low"))</f>
        <v>Medium</v>
      </c>
      <c r="M172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29" spans="1:13" x14ac:dyDescent="0.25">
      <c r="A1729">
        <v>10932</v>
      </c>
      <c r="B1729">
        <v>16</v>
      </c>
      <c r="C1729" s="6">
        <v>17.45</v>
      </c>
      <c r="D1729">
        <v>30</v>
      </c>
      <c r="E1729" s="6">
        <v>0.1</v>
      </c>
      <c r="F1729" t="str">
        <f>_xlfn.XLOOKUP(northwind_order_details[[#This Row],[order_id]],northwind_orders[order_id],northwind_orders[ship_country])</f>
        <v>France</v>
      </c>
      <c r="G1729">
        <f>INDEX(northwind_orders[],MATCH(northwind_order_details[[#This Row],[order_id]], northwind_orders[order_id], 0), MATCH("employee_id", northwind_orders[#Headers], 0))</f>
        <v>8</v>
      </c>
      <c r="H1729">
        <f>northwind_order_details[[#This Row],[unit_price]]*northwind_order_details[[#This Row],[quantity]]</f>
        <v>523.5</v>
      </c>
      <c r="I1729" s="1">
        <f>northwind_order_details[[#This Row],[purchase amount]]*northwind_order_details[[#This Row],[discount]]</f>
        <v>52.35</v>
      </c>
      <c r="J1729" s="1">
        <f>northwind_order_details[[#This Row],[purchase amount]]-northwind_order_details[[#This Row],[discount amount]]</f>
        <v>471.15</v>
      </c>
      <c r="K1729" s="6" t="str">
        <f>IF(northwind_order_details[[#This Row],[discount amount]]&gt;0,"Yes","No")</f>
        <v>Yes</v>
      </c>
      <c r="L1729" s="1" t="str">
        <f>IF(northwind_order_details[[#This Row],[Revenue]]&gt;1000,"High",IF(northwind_order_details[[#This Row],[Revenue]]&gt;300,"Medium","Low"))</f>
        <v>Medium</v>
      </c>
      <c r="M17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0" spans="1:13" x14ac:dyDescent="0.25">
      <c r="A1730">
        <v>10932</v>
      </c>
      <c r="B1730">
        <v>62</v>
      </c>
      <c r="C1730" s="6">
        <v>49.3</v>
      </c>
      <c r="D1730">
        <v>14</v>
      </c>
      <c r="E1730" s="6">
        <v>0.1</v>
      </c>
      <c r="F1730" t="str">
        <f>_xlfn.XLOOKUP(northwind_order_details[[#This Row],[order_id]],northwind_orders[order_id],northwind_orders[ship_country])</f>
        <v>France</v>
      </c>
      <c r="G1730">
        <f>INDEX(northwind_orders[],MATCH(northwind_order_details[[#This Row],[order_id]], northwind_orders[order_id], 0), MATCH("employee_id", northwind_orders[#Headers], 0))</f>
        <v>8</v>
      </c>
      <c r="H1730">
        <f>northwind_order_details[[#This Row],[unit_price]]*northwind_order_details[[#This Row],[quantity]]</f>
        <v>690.19999999999993</v>
      </c>
      <c r="I1730" s="1">
        <f>northwind_order_details[[#This Row],[purchase amount]]*northwind_order_details[[#This Row],[discount]]</f>
        <v>69.02</v>
      </c>
      <c r="J1730" s="1">
        <f>northwind_order_details[[#This Row],[purchase amount]]-northwind_order_details[[#This Row],[discount amount]]</f>
        <v>621.17999999999995</v>
      </c>
      <c r="K1730" s="6" t="str">
        <f>IF(northwind_order_details[[#This Row],[discount amount]]&gt;0,"Yes","No")</f>
        <v>Yes</v>
      </c>
      <c r="L1730" s="1" t="str">
        <f>IF(northwind_order_details[[#This Row],[Revenue]]&gt;1000,"High",IF(northwind_order_details[[#This Row],[Revenue]]&gt;300,"Medium","Low"))</f>
        <v>Medium</v>
      </c>
      <c r="M173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1" spans="1:13" x14ac:dyDescent="0.25">
      <c r="A1731">
        <v>10932</v>
      </c>
      <c r="B1731">
        <v>72</v>
      </c>
      <c r="C1731" s="6">
        <v>34.799999999999997</v>
      </c>
      <c r="D1731">
        <v>16</v>
      </c>
      <c r="E1731" s="6" t="s">
        <v>6</v>
      </c>
      <c r="F1731" t="str">
        <f>_xlfn.XLOOKUP(northwind_order_details[[#This Row],[order_id]],northwind_orders[order_id],northwind_orders[ship_country])</f>
        <v>France</v>
      </c>
      <c r="G1731">
        <f>INDEX(northwind_orders[],MATCH(northwind_order_details[[#This Row],[order_id]], northwind_orders[order_id], 0), MATCH("employee_id", northwind_orders[#Headers], 0))</f>
        <v>8</v>
      </c>
      <c r="H1731">
        <f>northwind_order_details[[#This Row],[unit_price]]*northwind_order_details[[#This Row],[quantity]]</f>
        <v>556.79999999999995</v>
      </c>
      <c r="I1731" s="1">
        <f>northwind_order_details[[#This Row],[purchase amount]]*northwind_order_details[[#This Row],[discount]]</f>
        <v>0</v>
      </c>
      <c r="J1731" s="1">
        <f>northwind_order_details[[#This Row],[purchase amount]]-northwind_order_details[[#This Row],[discount amount]]</f>
        <v>556.79999999999995</v>
      </c>
      <c r="K1731" s="6" t="str">
        <f>IF(northwind_order_details[[#This Row],[discount amount]]&gt;0,"Yes","No")</f>
        <v>No</v>
      </c>
      <c r="L1731" s="1" t="str">
        <f>IF(northwind_order_details[[#This Row],[Revenue]]&gt;1000,"High",IF(northwind_order_details[[#This Row],[Revenue]]&gt;300,"Medium","Low"))</f>
        <v>Medium</v>
      </c>
      <c r="M173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2" spans="1:13" x14ac:dyDescent="0.25">
      <c r="A1732">
        <v>10932</v>
      </c>
      <c r="B1732">
        <v>75</v>
      </c>
      <c r="C1732" s="6">
        <v>7.75</v>
      </c>
      <c r="D1732">
        <v>20</v>
      </c>
      <c r="E1732" s="6">
        <v>0.1</v>
      </c>
      <c r="F1732" t="str">
        <f>_xlfn.XLOOKUP(northwind_order_details[[#This Row],[order_id]],northwind_orders[order_id],northwind_orders[ship_country])</f>
        <v>France</v>
      </c>
      <c r="G1732">
        <f>INDEX(northwind_orders[],MATCH(northwind_order_details[[#This Row],[order_id]], northwind_orders[order_id], 0), MATCH("employee_id", northwind_orders[#Headers], 0))</f>
        <v>8</v>
      </c>
      <c r="H1732">
        <f>northwind_order_details[[#This Row],[unit_price]]*northwind_order_details[[#This Row],[quantity]]</f>
        <v>155</v>
      </c>
      <c r="I1732" s="1">
        <f>northwind_order_details[[#This Row],[purchase amount]]*northwind_order_details[[#This Row],[discount]]</f>
        <v>15.5</v>
      </c>
      <c r="J1732" s="1">
        <f>northwind_order_details[[#This Row],[purchase amount]]-northwind_order_details[[#This Row],[discount amount]]</f>
        <v>139.5</v>
      </c>
      <c r="K1732" s="6" t="str">
        <f>IF(northwind_order_details[[#This Row],[discount amount]]&gt;0,"Yes","No")</f>
        <v>Yes</v>
      </c>
      <c r="L1732" s="1" t="str">
        <f>IF(northwind_order_details[[#This Row],[Revenue]]&gt;1000,"High",IF(northwind_order_details[[#This Row],[Revenue]]&gt;300,"Medium","Low"))</f>
        <v>Low</v>
      </c>
      <c r="M17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3" spans="1:13" x14ac:dyDescent="0.25">
      <c r="A1733">
        <v>10933</v>
      </c>
      <c r="B1733">
        <v>53</v>
      </c>
      <c r="C1733" s="6">
        <v>32.799999999999997</v>
      </c>
      <c r="D1733">
        <v>2</v>
      </c>
      <c r="E1733" s="6" t="s">
        <v>6</v>
      </c>
      <c r="F1733" t="str">
        <f>_xlfn.XLOOKUP(northwind_order_details[[#This Row],[order_id]],northwind_orders[order_id],northwind_orders[ship_country])</f>
        <v>UK</v>
      </c>
      <c r="G1733">
        <f>INDEX(northwind_orders[],MATCH(northwind_order_details[[#This Row],[order_id]], northwind_orders[order_id], 0), MATCH("employee_id", northwind_orders[#Headers], 0))</f>
        <v>6</v>
      </c>
      <c r="H1733">
        <f>northwind_order_details[[#This Row],[unit_price]]*northwind_order_details[[#This Row],[quantity]]</f>
        <v>65.599999999999994</v>
      </c>
      <c r="I1733" s="1">
        <f>northwind_order_details[[#This Row],[purchase amount]]*northwind_order_details[[#This Row],[discount]]</f>
        <v>0</v>
      </c>
      <c r="J1733" s="1">
        <f>northwind_order_details[[#This Row],[purchase amount]]-northwind_order_details[[#This Row],[discount amount]]</f>
        <v>65.599999999999994</v>
      </c>
      <c r="K1733" s="6" t="str">
        <f>IF(northwind_order_details[[#This Row],[discount amount]]&gt;0,"Yes","No")</f>
        <v>No</v>
      </c>
      <c r="L1733" s="1" t="str">
        <f>IF(northwind_order_details[[#This Row],[Revenue]]&gt;1000,"High",IF(northwind_order_details[[#This Row],[Revenue]]&gt;300,"Medium","Low"))</f>
        <v>Low</v>
      </c>
      <c r="M173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4" spans="1:13" x14ac:dyDescent="0.25">
      <c r="A1734">
        <v>10933</v>
      </c>
      <c r="B1734">
        <v>61</v>
      </c>
      <c r="C1734" s="6">
        <v>28.5</v>
      </c>
      <c r="D1734">
        <v>30</v>
      </c>
      <c r="E1734" s="6" t="s">
        <v>6</v>
      </c>
      <c r="F1734" t="str">
        <f>_xlfn.XLOOKUP(northwind_order_details[[#This Row],[order_id]],northwind_orders[order_id],northwind_orders[ship_country])</f>
        <v>UK</v>
      </c>
      <c r="G1734">
        <f>INDEX(northwind_orders[],MATCH(northwind_order_details[[#This Row],[order_id]], northwind_orders[order_id], 0), MATCH("employee_id", northwind_orders[#Headers], 0))</f>
        <v>6</v>
      </c>
      <c r="H1734">
        <f>northwind_order_details[[#This Row],[unit_price]]*northwind_order_details[[#This Row],[quantity]]</f>
        <v>855</v>
      </c>
      <c r="I1734" s="1">
        <f>northwind_order_details[[#This Row],[purchase amount]]*northwind_order_details[[#This Row],[discount]]</f>
        <v>0</v>
      </c>
      <c r="J1734" s="1">
        <f>northwind_order_details[[#This Row],[purchase amount]]-northwind_order_details[[#This Row],[discount amount]]</f>
        <v>855</v>
      </c>
      <c r="K1734" s="6" t="str">
        <f>IF(northwind_order_details[[#This Row],[discount amount]]&gt;0,"Yes","No")</f>
        <v>No</v>
      </c>
      <c r="L1734" s="1" t="str">
        <f>IF(northwind_order_details[[#This Row],[Revenue]]&gt;1000,"High",IF(northwind_order_details[[#This Row],[Revenue]]&gt;300,"Medium","Low"))</f>
        <v>Medium</v>
      </c>
      <c r="M173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5" spans="1:13" x14ac:dyDescent="0.25">
      <c r="A1735">
        <v>10934</v>
      </c>
      <c r="B1735">
        <v>6</v>
      </c>
      <c r="C1735" s="6" t="s">
        <v>41</v>
      </c>
      <c r="D1735">
        <v>20</v>
      </c>
      <c r="E1735" s="6" t="s">
        <v>6</v>
      </c>
      <c r="F1735" t="str">
        <f>_xlfn.XLOOKUP(northwind_order_details[[#This Row],[order_id]],northwind_orders[order_id],northwind_orders[ship_country])</f>
        <v>Germany</v>
      </c>
      <c r="G1735">
        <f>INDEX(northwind_orders[],MATCH(northwind_order_details[[#This Row],[order_id]], northwind_orders[order_id], 0), MATCH("employee_id", northwind_orders[#Headers], 0))</f>
        <v>3</v>
      </c>
      <c r="H1735">
        <f>northwind_order_details[[#This Row],[unit_price]]*northwind_order_details[[#This Row],[quantity]]</f>
        <v>500</v>
      </c>
      <c r="I1735" s="1">
        <f>northwind_order_details[[#This Row],[purchase amount]]*northwind_order_details[[#This Row],[discount]]</f>
        <v>0</v>
      </c>
      <c r="J1735" s="1">
        <f>northwind_order_details[[#This Row],[purchase amount]]-northwind_order_details[[#This Row],[discount amount]]</f>
        <v>500</v>
      </c>
      <c r="K1735" s="6" t="str">
        <f>IF(northwind_order_details[[#This Row],[discount amount]]&gt;0,"Yes","No")</f>
        <v>No</v>
      </c>
      <c r="L1735" s="1" t="str">
        <f>IF(northwind_order_details[[#This Row],[Revenue]]&gt;1000,"High",IF(northwind_order_details[[#This Row],[Revenue]]&gt;300,"Medium","Low"))</f>
        <v>Medium</v>
      </c>
      <c r="M17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36" spans="1:13" x14ac:dyDescent="0.25">
      <c r="A1736">
        <v>10935</v>
      </c>
      <c r="B1736">
        <v>1</v>
      </c>
      <c r="C1736" s="6" t="s">
        <v>24</v>
      </c>
      <c r="D1736">
        <v>21</v>
      </c>
      <c r="E1736" s="6" t="s">
        <v>6</v>
      </c>
      <c r="F1736" t="str">
        <f>_xlfn.XLOOKUP(northwind_order_details[[#This Row],[order_id]],northwind_orders[order_id],northwind_orders[ship_country])</f>
        <v>Brazil</v>
      </c>
      <c r="G1736">
        <f>INDEX(northwind_orders[],MATCH(northwind_order_details[[#This Row],[order_id]], northwind_orders[order_id], 0), MATCH("employee_id", northwind_orders[#Headers], 0))</f>
        <v>4</v>
      </c>
      <c r="H1736">
        <f>northwind_order_details[[#This Row],[unit_price]]*northwind_order_details[[#This Row],[quantity]]</f>
        <v>378</v>
      </c>
      <c r="I1736" s="1">
        <f>northwind_order_details[[#This Row],[purchase amount]]*northwind_order_details[[#This Row],[discount]]</f>
        <v>0</v>
      </c>
      <c r="J1736" s="1">
        <f>northwind_order_details[[#This Row],[purchase amount]]-northwind_order_details[[#This Row],[discount amount]]</f>
        <v>378</v>
      </c>
      <c r="K1736" s="6" t="str">
        <f>IF(northwind_order_details[[#This Row],[discount amount]]&gt;0,"Yes","No")</f>
        <v>No</v>
      </c>
      <c r="L1736" s="1" t="str">
        <f>IF(northwind_order_details[[#This Row],[Revenue]]&gt;1000,"High",IF(northwind_order_details[[#This Row],[Revenue]]&gt;300,"Medium","Low"))</f>
        <v>Medium</v>
      </c>
      <c r="M17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37" spans="1:13" x14ac:dyDescent="0.25">
      <c r="A1737">
        <v>10935</v>
      </c>
      <c r="B1737">
        <v>18</v>
      </c>
      <c r="C1737" s="6">
        <v>62.5</v>
      </c>
      <c r="D1737">
        <v>4</v>
      </c>
      <c r="E1737" s="6">
        <v>0.25</v>
      </c>
      <c r="F1737" t="str">
        <f>_xlfn.XLOOKUP(northwind_order_details[[#This Row],[order_id]],northwind_orders[order_id],northwind_orders[ship_country])</f>
        <v>Brazil</v>
      </c>
      <c r="G1737">
        <f>INDEX(northwind_orders[],MATCH(northwind_order_details[[#This Row],[order_id]], northwind_orders[order_id], 0), MATCH("employee_id", northwind_orders[#Headers], 0))</f>
        <v>4</v>
      </c>
      <c r="H1737">
        <f>northwind_order_details[[#This Row],[unit_price]]*northwind_order_details[[#This Row],[quantity]]</f>
        <v>250</v>
      </c>
      <c r="I1737" s="1">
        <f>northwind_order_details[[#This Row],[purchase amount]]*northwind_order_details[[#This Row],[discount]]</f>
        <v>62.5</v>
      </c>
      <c r="J1737" s="1">
        <f>northwind_order_details[[#This Row],[purchase amount]]-northwind_order_details[[#This Row],[discount amount]]</f>
        <v>187.5</v>
      </c>
      <c r="K1737" s="6" t="str">
        <f>IF(northwind_order_details[[#This Row],[discount amount]]&gt;0,"Yes","No")</f>
        <v>Yes</v>
      </c>
      <c r="L1737" s="1" t="str">
        <f>IF(northwind_order_details[[#This Row],[Revenue]]&gt;1000,"High",IF(northwind_order_details[[#This Row],[Revenue]]&gt;300,"Medium","Low"))</f>
        <v>Low</v>
      </c>
      <c r="M173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38" spans="1:13" x14ac:dyDescent="0.25">
      <c r="A1738">
        <v>10935</v>
      </c>
      <c r="B1738">
        <v>23</v>
      </c>
      <c r="C1738" s="6" t="s">
        <v>40</v>
      </c>
      <c r="D1738">
        <v>8</v>
      </c>
      <c r="E1738" s="6">
        <v>0.25</v>
      </c>
      <c r="F1738" t="str">
        <f>_xlfn.XLOOKUP(northwind_order_details[[#This Row],[order_id]],northwind_orders[order_id],northwind_orders[ship_country])</f>
        <v>Brazil</v>
      </c>
      <c r="G1738">
        <f>INDEX(northwind_orders[],MATCH(northwind_order_details[[#This Row],[order_id]], northwind_orders[order_id], 0), MATCH("employee_id", northwind_orders[#Headers], 0))</f>
        <v>4</v>
      </c>
      <c r="H1738">
        <f>northwind_order_details[[#This Row],[unit_price]]*northwind_order_details[[#This Row],[quantity]]</f>
        <v>72</v>
      </c>
      <c r="I1738" s="1">
        <f>northwind_order_details[[#This Row],[purchase amount]]*northwind_order_details[[#This Row],[discount]]</f>
        <v>18</v>
      </c>
      <c r="J1738" s="1">
        <f>northwind_order_details[[#This Row],[purchase amount]]-northwind_order_details[[#This Row],[discount amount]]</f>
        <v>54</v>
      </c>
      <c r="K1738" s="6" t="str">
        <f>IF(northwind_order_details[[#This Row],[discount amount]]&gt;0,"Yes","No")</f>
        <v>Yes</v>
      </c>
      <c r="L1738" s="1" t="str">
        <f>IF(northwind_order_details[[#This Row],[Revenue]]&gt;1000,"High",IF(northwind_order_details[[#This Row],[Revenue]]&gt;300,"Medium","Low"))</f>
        <v>Low</v>
      </c>
      <c r="M17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39" spans="1:13" x14ac:dyDescent="0.25">
      <c r="A1739">
        <v>10936</v>
      </c>
      <c r="B1739">
        <v>36</v>
      </c>
      <c r="C1739" s="6" t="s">
        <v>20</v>
      </c>
      <c r="D1739">
        <v>30</v>
      </c>
      <c r="E1739" s="6">
        <v>0.2</v>
      </c>
      <c r="F1739" t="str">
        <f>_xlfn.XLOOKUP(northwind_order_details[[#This Row],[order_id]],northwind_orders[order_id],northwind_orders[ship_country])</f>
        <v>USA</v>
      </c>
      <c r="G1739">
        <f>INDEX(northwind_orders[],MATCH(northwind_order_details[[#This Row],[order_id]], northwind_orders[order_id], 0), MATCH("employee_id", northwind_orders[#Headers], 0))</f>
        <v>3</v>
      </c>
      <c r="H1739">
        <f>northwind_order_details[[#This Row],[unit_price]]*northwind_order_details[[#This Row],[quantity]]</f>
        <v>570</v>
      </c>
      <c r="I1739" s="1">
        <f>northwind_order_details[[#This Row],[purchase amount]]*northwind_order_details[[#This Row],[discount]]</f>
        <v>114</v>
      </c>
      <c r="J1739" s="1">
        <f>northwind_order_details[[#This Row],[purchase amount]]-northwind_order_details[[#This Row],[discount amount]]</f>
        <v>456</v>
      </c>
      <c r="K1739" s="6" t="str">
        <f>IF(northwind_order_details[[#This Row],[discount amount]]&gt;0,"Yes","No")</f>
        <v>Yes</v>
      </c>
      <c r="L1739" s="1" t="str">
        <f>IF(northwind_order_details[[#This Row],[Revenue]]&gt;1000,"High",IF(northwind_order_details[[#This Row],[Revenue]]&gt;300,"Medium","Low"))</f>
        <v>Medium</v>
      </c>
      <c r="M17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0" spans="1:13" x14ac:dyDescent="0.25">
      <c r="A1740">
        <v>10937</v>
      </c>
      <c r="B1740">
        <v>28</v>
      </c>
      <c r="C1740" s="6">
        <v>45.6</v>
      </c>
      <c r="D1740">
        <v>8</v>
      </c>
      <c r="E1740" s="6" t="s">
        <v>6</v>
      </c>
      <c r="F1740" t="str">
        <f>_xlfn.XLOOKUP(northwind_order_details[[#This Row],[order_id]],northwind_orders[order_id],northwind_orders[ship_country])</f>
        <v>Argentina</v>
      </c>
      <c r="G1740">
        <f>INDEX(northwind_orders[],MATCH(northwind_order_details[[#This Row],[order_id]], northwind_orders[order_id], 0), MATCH("employee_id", northwind_orders[#Headers], 0))</f>
        <v>7</v>
      </c>
      <c r="H1740">
        <f>northwind_order_details[[#This Row],[unit_price]]*northwind_order_details[[#This Row],[quantity]]</f>
        <v>364.8</v>
      </c>
      <c r="I1740" s="1">
        <f>northwind_order_details[[#This Row],[purchase amount]]*northwind_order_details[[#This Row],[discount]]</f>
        <v>0</v>
      </c>
      <c r="J1740" s="1">
        <f>northwind_order_details[[#This Row],[purchase amount]]-northwind_order_details[[#This Row],[discount amount]]</f>
        <v>364.8</v>
      </c>
      <c r="K1740" s="6" t="str">
        <f>IF(northwind_order_details[[#This Row],[discount amount]]&gt;0,"Yes","No")</f>
        <v>No</v>
      </c>
      <c r="L1740" s="1" t="str">
        <f>IF(northwind_order_details[[#This Row],[Revenue]]&gt;1000,"High",IF(northwind_order_details[[#This Row],[Revenue]]&gt;300,"Medium","Low"))</f>
        <v>Medium</v>
      </c>
      <c r="M174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41" spans="1:13" x14ac:dyDescent="0.25">
      <c r="A1741">
        <v>10937</v>
      </c>
      <c r="B1741">
        <v>34</v>
      </c>
      <c r="C1741" s="6" t="s">
        <v>5</v>
      </c>
      <c r="D1741">
        <v>20</v>
      </c>
      <c r="E1741" s="6" t="s">
        <v>6</v>
      </c>
      <c r="F1741" t="str">
        <f>_xlfn.XLOOKUP(northwind_order_details[[#This Row],[order_id]],northwind_orders[order_id],northwind_orders[ship_country])</f>
        <v>Argentina</v>
      </c>
      <c r="G1741">
        <f>INDEX(northwind_orders[],MATCH(northwind_order_details[[#This Row],[order_id]], northwind_orders[order_id], 0), MATCH("employee_id", northwind_orders[#Headers], 0))</f>
        <v>7</v>
      </c>
      <c r="H1741">
        <f>northwind_order_details[[#This Row],[unit_price]]*northwind_order_details[[#This Row],[quantity]]</f>
        <v>280</v>
      </c>
      <c r="I1741" s="1">
        <f>northwind_order_details[[#This Row],[purchase amount]]*northwind_order_details[[#This Row],[discount]]</f>
        <v>0</v>
      </c>
      <c r="J1741" s="1">
        <f>northwind_order_details[[#This Row],[purchase amount]]-northwind_order_details[[#This Row],[discount amount]]</f>
        <v>280</v>
      </c>
      <c r="K1741" s="6" t="str">
        <f>IF(northwind_order_details[[#This Row],[discount amount]]&gt;0,"Yes","No")</f>
        <v>No</v>
      </c>
      <c r="L1741" s="1" t="str">
        <f>IF(northwind_order_details[[#This Row],[Revenue]]&gt;1000,"High",IF(northwind_order_details[[#This Row],[Revenue]]&gt;300,"Medium","Low"))</f>
        <v>Low</v>
      </c>
      <c r="M174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2" spans="1:13" x14ac:dyDescent="0.25">
      <c r="A1742">
        <v>10938</v>
      </c>
      <c r="B1742">
        <v>13</v>
      </c>
      <c r="C1742" s="6" t="s">
        <v>23</v>
      </c>
      <c r="D1742">
        <v>20</v>
      </c>
      <c r="E1742" s="6">
        <v>0.25</v>
      </c>
      <c r="F1742" t="str">
        <f>_xlfn.XLOOKUP(northwind_order_details[[#This Row],[order_id]],northwind_orders[order_id],northwind_orders[ship_country])</f>
        <v>Germany</v>
      </c>
      <c r="G1742">
        <f>INDEX(northwind_orders[],MATCH(northwind_order_details[[#This Row],[order_id]], northwind_orders[order_id], 0), MATCH("employee_id", northwind_orders[#Headers], 0))</f>
        <v>3</v>
      </c>
      <c r="H1742">
        <f>northwind_order_details[[#This Row],[unit_price]]*northwind_order_details[[#This Row],[quantity]]</f>
        <v>120</v>
      </c>
      <c r="I1742" s="1">
        <f>northwind_order_details[[#This Row],[purchase amount]]*northwind_order_details[[#This Row],[discount]]</f>
        <v>30</v>
      </c>
      <c r="J1742" s="1">
        <f>northwind_order_details[[#This Row],[purchase amount]]-northwind_order_details[[#This Row],[discount amount]]</f>
        <v>90</v>
      </c>
      <c r="K1742" s="6" t="str">
        <f>IF(northwind_order_details[[#This Row],[discount amount]]&gt;0,"Yes","No")</f>
        <v>Yes</v>
      </c>
      <c r="L1742" s="1" t="str">
        <f>IF(northwind_order_details[[#This Row],[Revenue]]&gt;1000,"High",IF(northwind_order_details[[#This Row],[Revenue]]&gt;300,"Medium","Low"))</f>
        <v>Low</v>
      </c>
      <c r="M17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3" spans="1:13" x14ac:dyDescent="0.25">
      <c r="A1743">
        <v>10938</v>
      </c>
      <c r="B1743">
        <v>43</v>
      </c>
      <c r="C1743" s="6" t="s">
        <v>22</v>
      </c>
      <c r="D1743">
        <v>24</v>
      </c>
      <c r="E1743" s="6">
        <v>0.25</v>
      </c>
      <c r="F1743" t="str">
        <f>_xlfn.XLOOKUP(northwind_order_details[[#This Row],[order_id]],northwind_orders[order_id],northwind_orders[ship_country])</f>
        <v>Germany</v>
      </c>
      <c r="G1743">
        <f>INDEX(northwind_orders[],MATCH(northwind_order_details[[#This Row],[order_id]], northwind_orders[order_id], 0), MATCH("employee_id", northwind_orders[#Headers], 0))</f>
        <v>3</v>
      </c>
      <c r="H1743">
        <f>northwind_order_details[[#This Row],[unit_price]]*northwind_order_details[[#This Row],[quantity]]</f>
        <v>1104</v>
      </c>
      <c r="I1743" s="1">
        <f>northwind_order_details[[#This Row],[purchase amount]]*northwind_order_details[[#This Row],[discount]]</f>
        <v>276</v>
      </c>
      <c r="J1743" s="1">
        <f>northwind_order_details[[#This Row],[purchase amount]]-northwind_order_details[[#This Row],[discount amount]]</f>
        <v>828</v>
      </c>
      <c r="K1743" s="6" t="str">
        <f>IF(northwind_order_details[[#This Row],[discount amount]]&gt;0,"Yes","No")</f>
        <v>Yes</v>
      </c>
      <c r="L1743" s="1" t="str">
        <f>IF(northwind_order_details[[#This Row],[Revenue]]&gt;1000,"High",IF(northwind_order_details[[#This Row],[Revenue]]&gt;300,"Medium","Low"))</f>
        <v>Medium</v>
      </c>
      <c r="M174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4" spans="1:13" x14ac:dyDescent="0.25">
      <c r="A1744">
        <v>10938</v>
      </c>
      <c r="B1744">
        <v>60</v>
      </c>
      <c r="C1744" s="6" t="s">
        <v>28</v>
      </c>
      <c r="D1744">
        <v>49</v>
      </c>
      <c r="E1744" s="6">
        <v>0.25</v>
      </c>
      <c r="F1744" t="str">
        <f>_xlfn.XLOOKUP(northwind_order_details[[#This Row],[order_id]],northwind_orders[order_id],northwind_orders[ship_country])</f>
        <v>Germany</v>
      </c>
      <c r="G1744">
        <f>INDEX(northwind_orders[],MATCH(northwind_order_details[[#This Row],[order_id]], northwind_orders[order_id], 0), MATCH("employee_id", northwind_orders[#Headers], 0))</f>
        <v>3</v>
      </c>
      <c r="H1744">
        <f>northwind_order_details[[#This Row],[unit_price]]*northwind_order_details[[#This Row],[quantity]]</f>
        <v>1666</v>
      </c>
      <c r="I1744" s="1">
        <f>northwind_order_details[[#This Row],[purchase amount]]*northwind_order_details[[#This Row],[discount]]</f>
        <v>416.5</v>
      </c>
      <c r="J1744" s="1">
        <f>northwind_order_details[[#This Row],[purchase amount]]-northwind_order_details[[#This Row],[discount amount]]</f>
        <v>1249.5</v>
      </c>
      <c r="K1744" s="6" t="str">
        <f>IF(northwind_order_details[[#This Row],[discount amount]]&gt;0,"Yes","No")</f>
        <v>Yes</v>
      </c>
      <c r="L1744" s="1" t="str">
        <f>IF(northwind_order_details[[#This Row],[Revenue]]&gt;1000,"High",IF(northwind_order_details[[#This Row],[Revenue]]&gt;300,"Medium","Low"))</f>
        <v>High</v>
      </c>
      <c r="M174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5" spans="1:13" x14ac:dyDescent="0.25">
      <c r="A1745">
        <v>10938</v>
      </c>
      <c r="B1745">
        <v>71</v>
      </c>
      <c r="C1745" s="6">
        <v>21.5</v>
      </c>
      <c r="D1745">
        <v>35</v>
      </c>
      <c r="E1745" s="6">
        <v>0.25</v>
      </c>
      <c r="F1745" t="str">
        <f>_xlfn.XLOOKUP(northwind_order_details[[#This Row],[order_id]],northwind_orders[order_id],northwind_orders[ship_country])</f>
        <v>Germany</v>
      </c>
      <c r="G1745">
        <f>INDEX(northwind_orders[],MATCH(northwind_order_details[[#This Row],[order_id]], northwind_orders[order_id], 0), MATCH("employee_id", northwind_orders[#Headers], 0))</f>
        <v>3</v>
      </c>
      <c r="H1745">
        <f>northwind_order_details[[#This Row],[unit_price]]*northwind_order_details[[#This Row],[quantity]]</f>
        <v>752.5</v>
      </c>
      <c r="I1745" s="1">
        <f>northwind_order_details[[#This Row],[purchase amount]]*northwind_order_details[[#This Row],[discount]]</f>
        <v>188.125</v>
      </c>
      <c r="J1745" s="1">
        <f>northwind_order_details[[#This Row],[purchase amount]]-northwind_order_details[[#This Row],[discount amount]]</f>
        <v>564.375</v>
      </c>
      <c r="K1745" s="6" t="str">
        <f>IF(northwind_order_details[[#This Row],[discount amount]]&gt;0,"Yes","No")</f>
        <v>Yes</v>
      </c>
      <c r="L1745" s="1" t="str">
        <f>IF(northwind_order_details[[#This Row],[Revenue]]&gt;1000,"High",IF(northwind_order_details[[#This Row],[Revenue]]&gt;300,"Medium","Low"))</f>
        <v>Medium</v>
      </c>
      <c r="M17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46" spans="1:13" x14ac:dyDescent="0.25">
      <c r="A1746">
        <v>10939</v>
      </c>
      <c r="B1746">
        <v>2</v>
      </c>
      <c r="C1746" s="6" t="s">
        <v>20</v>
      </c>
      <c r="D1746">
        <v>10</v>
      </c>
      <c r="E1746" s="6">
        <v>0.15</v>
      </c>
      <c r="F1746" t="str">
        <f>_xlfn.XLOOKUP(northwind_order_details[[#This Row],[order_id]],northwind_orders[order_id],northwind_orders[ship_country])</f>
        <v>Italy</v>
      </c>
      <c r="G1746">
        <f>INDEX(northwind_orders[],MATCH(northwind_order_details[[#This Row],[order_id]], northwind_orders[order_id], 0), MATCH("employee_id", northwind_orders[#Headers], 0))</f>
        <v>2</v>
      </c>
      <c r="H1746">
        <f>northwind_order_details[[#This Row],[unit_price]]*northwind_order_details[[#This Row],[quantity]]</f>
        <v>190</v>
      </c>
      <c r="I1746" s="1">
        <f>northwind_order_details[[#This Row],[purchase amount]]*northwind_order_details[[#This Row],[discount]]</f>
        <v>28.5</v>
      </c>
      <c r="J1746" s="1">
        <f>northwind_order_details[[#This Row],[purchase amount]]-northwind_order_details[[#This Row],[discount amount]]</f>
        <v>161.5</v>
      </c>
      <c r="K1746" s="6" t="str">
        <f>IF(northwind_order_details[[#This Row],[discount amount]]&gt;0,"Yes","No")</f>
        <v>Yes</v>
      </c>
      <c r="L1746" s="1" t="str">
        <f>IF(northwind_order_details[[#This Row],[Revenue]]&gt;1000,"High",IF(northwind_order_details[[#This Row],[Revenue]]&gt;300,"Medium","Low"))</f>
        <v>Low</v>
      </c>
      <c r="M17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7" spans="1:13" x14ac:dyDescent="0.25">
      <c r="A1747">
        <v>10939</v>
      </c>
      <c r="B1747">
        <v>67</v>
      </c>
      <c r="C1747" s="6" t="s">
        <v>5</v>
      </c>
      <c r="D1747">
        <v>40</v>
      </c>
      <c r="E1747" s="6">
        <v>0.15</v>
      </c>
      <c r="F1747" t="str">
        <f>_xlfn.XLOOKUP(northwind_order_details[[#This Row],[order_id]],northwind_orders[order_id],northwind_orders[ship_country])</f>
        <v>Italy</v>
      </c>
      <c r="G1747">
        <f>INDEX(northwind_orders[],MATCH(northwind_order_details[[#This Row],[order_id]], northwind_orders[order_id], 0), MATCH("employee_id", northwind_orders[#Headers], 0))</f>
        <v>2</v>
      </c>
      <c r="H1747">
        <f>northwind_order_details[[#This Row],[unit_price]]*northwind_order_details[[#This Row],[quantity]]</f>
        <v>560</v>
      </c>
      <c r="I1747" s="1">
        <f>northwind_order_details[[#This Row],[purchase amount]]*northwind_order_details[[#This Row],[discount]]</f>
        <v>84</v>
      </c>
      <c r="J1747" s="1">
        <f>northwind_order_details[[#This Row],[purchase amount]]-northwind_order_details[[#This Row],[discount amount]]</f>
        <v>476</v>
      </c>
      <c r="K1747" s="6" t="str">
        <f>IF(northwind_order_details[[#This Row],[discount amount]]&gt;0,"Yes","No")</f>
        <v>Yes</v>
      </c>
      <c r="L1747" s="1" t="str">
        <f>IF(northwind_order_details[[#This Row],[Revenue]]&gt;1000,"High",IF(northwind_order_details[[#This Row],[Revenue]]&gt;300,"Medium","Low"))</f>
        <v>Medium</v>
      </c>
      <c r="M17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8" spans="1:13" x14ac:dyDescent="0.25">
      <c r="A1748">
        <v>10940</v>
      </c>
      <c r="B1748">
        <v>7</v>
      </c>
      <c r="C1748" s="6" t="s">
        <v>26</v>
      </c>
      <c r="D1748">
        <v>8</v>
      </c>
      <c r="E1748" s="6" t="s">
        <v>6</v>
      </c>
      <c r="F1748" t="str">
        <f>_xlfn.XLOOKUP(northwind_order_details[[#This Row],[order_id]],northwind_orders[order_id],northwind_orders[ship_country])</f>
        <v>France</v>
      </c>
      <c r="G1748">
        <f>INDEX(northwind_orders[],MATCH(northwind_order_details[[#This Row],[order_id]], northwind_orders[order_id], 0), MATCH("employee_id", northwind_orders[#Headers], 0))</f>
        <v>8</v>
      </c>
      <c r="H1748">
        <f>northwind_order_details[[#This Row],[unit_price]]*northwind_order_details[[#This Row],[quantity]]</f>
        <v>240</v>
      </c>
      <c r="I1748" s="1">
        <f>northwind_order_details[[#This Row],[purchase amount]]*northwind_order_details[[#This Row],[discount]]</f>
        <v>0</v>
      </c>
      <c r="J1748" s="1">
        <f>northwind_order_details[[#This Row],[purchase amount]]-northwind_order_details[[#This Row],[discount amount]]</f>
        <v>240</v>
      </c>
      <c r="K1748" s="6" t="str">
        <f>IF(northwind_order_details[[#This Row],[discount amount]]&gt;0,"Yes","No")</f>
        <v>No</v>
      </c>
      <c r="L1748" s="1" t="str">
        <f>IF(northwind_order_details[[#This Row],[Revenue]]&gt;1000,"High",IF(northwind_order_details[[#This Row],[Revenue]]&gt;300,"Medium","Low"))</f>
        <v>Low</v>
      </c>
      <c r="M17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49" spans="1:13" x14ac:dyDescent="0.25">
      <c r="A1749">
        <v>10940</v>
      </c>
      <c r="B1749">
        <v>13</v>
      </c>
      <c r="C1749" s="6" t="s">
        <v>23</v>
      </c>
      <c r="D1749">
        <v>20</v>
      </c>
      <c r="E1749" s="6" t="s">
        <v>6</v>
      </c>
      <c r="F1749" t="str">
        <f>_xlfn.XLOOKUP(northwind_order_details[[#This Row],[order_id]],northwind_orders[order_id],northwind_orders[ship_country])</f>
        <v>France</v>
      </c>
      <c r="G1749">
        <f>INDEX(northwind_orders[],MATCH(northwind_order_details[[#This Row],[order_id]], northwind_orders[order_id], 0), MATCH("employee_id", northwind_orders[#Headers], 0))</f>
        <v>8</v>
      </c>
      <c r="H1749">
        <f>northwind_order_details[[#This Row],[unit_price]]*northwind_order_details[[#This Row],[quantity]]</f>
        <v>120</v>
      </c>
      <c r="I1749" s="1">
        <f>northwind_order_details[[#This Row],[purchase amount]]*northwind_order_details[[#This Row],[discount]]</f>
        <v>0</v>
      </c>
      <c r="J1749" s="1">
        <f>northwind_order_details[[#This Row],[purchase amount]]-northwind_order_details[[#This Row],[discount amount]]</f>
        <v>120</v>
      </c>
      <c r="K1749" s="6" t="str">
        <f>IF(northwind_order_details[[#This Row],[discount amount]]&gt;0,"Yes","No")</f>
        <v>No</v>
      </c>
      <c r="L1749" s="1" t="str">
        <f>IF(northwind_order_details[[#This Row],[Revenue]]&gt;1000,"High",IF(northwind_order_details[[#This Row],[Revenue]]&gt;300,"Medium","Low"))</f>
        <v>Low</v>
      </c>
      <c r="M17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0" spans="1:13" x14ac:dyDescent="0.25">
      <c r="A1750">
        <v>10941</v>
      </c>
      <c r="B1750">
        <v>31</v>
      </c>
      <c r="C1750" s="6">
        <v>12.5</v>
      </c>
      <c r="D1750">
        <v>44</v>
      </c>
      <c r="E1750" s="6">
        <v>0.25</v>
      </c>
      <c r="F1750" t="str">
        <f>_xlfn.XLOOKUP(northwind_order_details[[#This Row],[order_id]],northwind_orders[order_id],northwind_orders[ship_country])</f>
        <v>USA</v>
      </c>
      <c r="G1750">
        <f>INDEX(northwind_orders[],MATCH(northwind_order_details[[#This Row],[order_id]], northwind_orders[order_id], 0), MATCH("employee_id", northwind_orders[#Headers], 0))</f>
        <v>7</v>
      </c>
      <c r="H1750">
        <f>northwind_order_details[[#This Row],[unit_price]]*northwind_order_details[[#This Row],[quantity]]</f>
        <v>550</v>
      </c>
      <c r="I1750" s="1">
        <f>northwind_order_details[[#This Row],[purchase amount]]*northwind_order_details[[#This Row],[discount]]</f>
        <v>137.5</v>
      </c>
      <c r="J1750" s="1">
        <f>northwind_order_details[[#This Row],[purchase amount]]-northwind_order_details[[#This Row],[discount amount]]</f>
        <v>412.5</v>
      </c>
      <c r="K1750" s="6" t="str">
        <f>IF(northwind_order_details[[#This Row],[discount amount]]&gt;0,"Yes","No")</f>
        <v>Yes</v>
      </c>
      <c r="L1750" s="1" t="str">
        <f>IF(northwind_order_details[[#This Row],[Revenue]]&gt;1000,"High",IF(northwind_order_details[[#This Row],[Revenue]]&gt;300,"Medium","Low"))</f>
        <v>Medium</v>
      </c>
      <c r="M17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51" spans="1:13" x14ac:dyDescent="0.25">
      <c r="A1751">
        <v>10941</v>
      </c>
      <c r="B1751">
        <v>62</v>
      </c>
      <c r="C1751" s="6">
        <v>49.3</v>
      </c>
      <c r="D1751">
        <v>30</v>
      </c>
      <c r="E1751" s="6">
        <v>0.25</v>
      </c>
      <c r="F1751" t="str">
        <f>_xlfn.XLOOKUP(northwind_order_details[[#This Row],[order_id]],northwind_orders[order_id],northwind_orders[ship_country])</f>
        <v>USA</v>
      </c>
      <c r="G1751">
        <f>INDEX(northwind_orders[],MATCH(northwind_order_details[[#This Row],[order_id]], northwind_orders[order_id], 0), MATCH("employee_id", northwind_orders[#Headers], 0))</f>
        <v>7</v>
      </c>
      <c r="H1751">
        <f>northwind_order_details[[#This Row],[unit_price]]*northwind_order_details[[#This Row],[quantity]]</f>
        <v>1479</v>
      </c>
      <c r="I1751" s="1">
        <f>northwind_order_details[[#This Row],[purchase amount]]*northwind_order_details[[#This Row],[discount]]</f>
        <v>369.75</v>
      </c>
      <c r="J1751" s="1">
        <f>northwind_order_details[[#This Row],[purchase amount]]-northwind_order_details[[#This Row],[discount amount]]</f>
        <v>1109.25</v>
      </c>
      <c r="K1751" s="6" t="str">
        <f>IF(northwind_order_details[[#This Row],[discount amount]]&gt;0,"Yes","No")</f>
        <v>Yes</v>
      </c>
      <c r="L1751" s="1" t="str">
        <f>IF(northwind_order_details[[#This Row],[Revenue]]&gt;1000,"High",IF(northwind_order_details[[#This Row],[Revenue]]&gt;300,"Medium","Low"))</f>
        <v>High</v>
      </c>
      <c r="M17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52" spans="1:13" x14ac:dyDescent="0.25">
      <c r="A1752">
        <v>10941</v>
      </c>
      <c r="B1752">
        <v>68</v>
      </c>
      <c r="C1752" s="6">
        <v>12.5</v>
      </c>
      <c r="D1752">
        <v>80</v>
      </c>
      <c r="E1752" s="6">
        <v>0.25</v>
      </c>
      <c r="F1752" t="str">
        <f>_xlfn.XLOOKUP(northwind_order_details[[#This Row],[order_id]],northwind_orders[order_id],northwind_orders[ship_country])</f>
        <v>USA</v>
      </c>
      <c r="G1752">
        <f>INDEX(northwind_orders[],MATCH(northwind_order_details[[#This Row],[order_id]], northwind_orders[order_id], 0), MATCH("employee_id", northwind_orders[#Headers], 0))</f>
        <v>7</v>
      </c>
      <c r="H1752">
        <f>northwind_order_details[[#This Row],[unit_price]]*northwind_order_details[[#This Row],[quantity]]</f>
        <v>1000</v>
      </c>
      <c r="I1752" s="1">
        <f>northwind_order_details[[#This Row],[purchase amount]]*northwind_order_details[[#This Row],[discount]]</f>
        <v>250</v>
      </c>
      <c r="J1752" s="1">
        <f>northwind_order_details[[#This Row],[purchase amount]]-northwind_order_details[[#This Row],[discount amount]]</f>
        <v>750</v>
      </c>
      <c r="K1752" s="6" t="str">
        <f>IF(northwind_order_details[[#This Row],[discount amount]]&gt;0,"Yes","No")</f>
        <v>Yes</v>
      </c>
      <c r="L1752" s="1" t="str">
        <f>IF(northwind_order_details[[#This Row],[Revenue]]&gt;1000,"High",IF(northwind_order_details[[#This Row],[Revenue]]&gt;300,"Medium","Low"))</f>
        <v>Medium</v>
      </c>
      <c r="M175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53" spans="1:13" x14ac:dyDescent="0.25">
      <c r="A1753">
        <v>10941</v>
      </c>
      <c r="B1753">
        <v>72</v>
      </c>
      <c r="C1753" s="6">
        <v>34.799999999999997</v>
      </c>
      <c r="D1753">
        <v>50</v>
      </c>
      <c r="E1753" s="6" t="s">
        <v>6</v>
      </c>
      <c r="F1753" t="str">
        <f>_xlfn.XLOOKUP(northwind_order_details[[#This Row],[order_id]],northwind_orders[order_id],northwind_orders[ship_country])</f>
        <v>USA</v>
      </c>
      <c r="G1753">
        <f>INDEX(northwind_orders[],MATCH(northwind_order_details[[#This Row],[order_id]], northwind_orders[order_id], 0), MATCH("employee_id", northwind_orders[#Headers], 0))</f>
        <v>7</v>
      </c>
      <c r="H1753">
        <f>northwind_order_details[[#This Row],[unit_price]]*northwind_order_details[[#This Row],[quantity]]</f>
        <v>1739.9999999999998</v>
      </c>
      <c r="I1753" s="1">
        <f>northwind_order_details[[#This Row],[purchase amount]]*northwind_order_details[[#This Row],[discount]]</f>
        <v>0</v>
      </c>
      <c r="J1753" s="1">
        <f>northwind_order_details[[#This Row],[purchase amount]]-northwind_order_details[[#This Row],[discount amount]]</f>
        <v>1739.9999999999998</v>
      </c>
      <c r="K1753" s="6" t="str">
        <f>IF(northwind_order_details[[#This Row],[discount amount]]&gt;0,"Yes","No")</f>
        <v>No</v>
      </c>
      <c r="L1753" s="1" t="str">
        <f>IF(northwind_order_details[[#This Row],[Revenue]]&gt;1000,"High",IF(northwind_order_details[[#This Row],[Revenue]]&gt;300,"Medium","Low"))</f>
        <v>High</v>
      </c>
      <c r="M175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54" spans="1:13" x14ac:dyDescent="0.25">
      <c r="A1754">
        <v>10942</v>
      </c>
      <c r="B1754">
        <v>49</v>
      </c>
      <c r="C1754" s="6" t="s">
        <v>17</v>
      </c>
      <c r="D1754">
        <v>28</v>
      </c>
      <c r="E1754" s="6" t="s">
        <v>6</v>
      </c>
      <c r="F1754" t="str">
        <f>_xlfn.XLOOKUP(northwind_order_details[[#This Row],[order_id]],northwind_orders[order_id],northwind_orders[ship_country])</f>
        <v>Italy</v>
      </c>
      <c r="G1754">
        <f>INDEX(northwind_orders[],MATCH(northwind_order_details[[#This Row],[order_id]], northwind_orders[order_id], 0), MATCH("employee_id", northwind_orders[#Headers], 0))</f>
        <v>9</v>
      </c>
      <c r="H1754">
        <f>northwind_order_details[[#This Row],[unit_price]]*northwind_order_details[[#This Row],[quantity]]</f>
        <v>560</v>
      </c>
      <c r="I1754" s="1">
        <f>northwind_order_details[[#This Row],[purchase amount]]*northwind_order_details[[#This Row],[discount]]</f>
        <v>0</v>
      </c>
      <c r="J1754" s="1">
        <f>northwind_order_details[[#This Row],[purchase amount]]-northwind_order_details[[#This Row],[discount amount]]</f>
        <v>560</v>
      </c>
      <c r="K1754" s="6" t="str">
        <f>IF(northwind_order_details[[#This Row],[discount amount]]&gt;0,"Yes","No")</f>
        <v>No</v>
      </c>
      <c r="L1754" s="1" t="str">
        <f>IF(northwind_order_details[[#This Row],[Revenue]]&gt;1000,"High",IF(northwind_order_details[[#This Row],[Revenue]]&gt;300,"Medium","Low"))</f>
        <v>Medium</v>
      </c>
      <c r="M17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5" spans="1:13" x14ac:dyDescent="0.25">
      <c r="A1755">
        <v>10943</v>
      </c>
      <c r="B1755">
        <v>13</v>
      </c>
      <c r="C1755" s="6" t="s">
        <v>23</v>
      </c>
      <c r="D1755">
        <v>15</v>
      </c>
      <c r="E1755" s="6" t="s">
        <v>6</v>
      </c>
      <c r="F1755" t="str">
        <f>_xlfn.XLOOKUP(northwind_order_details[[#This Row],[order_id]],northwind_orders[order_id],northwind_orders[ship_country])</f>
        <v>UK</v>
      </c>
      <c r="G1755">
        <f>INDEX(northwind_orders[],MATCH(northwind_order_details[[#This Row],[order_id]], northwind_orders[order_id], 0), MATCH("employee_id", northwind_orders[#Headers], 0))</f>
        <v>4</v>
      </c>
      <c r="H1755">
        <f>northwind_order_details[[#This Row],[unit_price]]*northwind_order_details[[#This Row],[quantity]]</f>
        <v>90</v>
      </c>
      <c r="I1755" s="1">
        <f>northwind_order_details[[#This Row],[purchase amount]]*northwind_order_details[[#This Row],[discount]]</f>
        <v>0</v>
      </c>
      <c r="J1755" s="1">
        <f>northwind_order_details[[#This Row],[purchase amount]]-northwind_order_details[[#This Row],[discount amount]]</f>
        <v>90</v>
      </c>
      <c r="K1755" s="6" t="str">
        <f>IF(northwind_order_details[[#This Row],[discount amount]]&gt;0,"Yes","No")</f>
        <v>No</v>
      </c>
      <c r="L1755" s="1" t="str">
        <f>IF(northwind_order_details[[#This Row],[Revenue]]&gt;1000,"High",IF(northwind_order_details[[#This Row],[Revenue]]&gt;300,"Medium","Low"))</f>
        <v>Low</v>
      </c>
      <c r="M17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6" spans="1:13" x14ac:dyDescent="0.25">
      <c r="A1756">
        <v>10943</v>
      </c>
      <c r="B1756">
        <v>22</v>
      </c>
      <c r="C1756" s="6" t="s">
        <v>37</v>
      </c>
      <c r="D1756">
        <v>21</v>
      </c>
      <c r="E1756" s="6" t="s">
        <v>6</v>
      </c>
      <c r="F1756" t="str">
        <f>_xlfn.XLOOKUP(northwind_order_details[[#This Row],[order_id]],northwind_orders[order_id],northwind_orders[ship_country])</f>
        <v>UK</v>
      </c>
      <c r="G1756">
        <f>INDEX(northwind_orders[],MATCH(northwind_order_details[[#This Row],[order_id]], northwind_orders[order_id], 0), MATCH("employee_id", northwind_orders[#Headers], 0))</f>
        <v>4</v>
      </c>
      <c r="H1756">
        <f>northwind_order_details[[#This Row],[unit_price]]*northwind_order_details[[#This Row],[quantity]]</f>
        <v>441</v>
      </c>
      <c r="I1756" s="1">
        <f>northwind_order_details[[#This Row],[purchase amount]]*northwind_order_details[[#This Row],[discount]]</f>
        <v>0</v>
      </c>
      <c r="J1756" s="1">
        <f>northwind_order_details[[#This Row],[purchase amount]]-northwind_order_details[[#This Row],[discount amount]]</f>
        <v>441</v>
      </c>
      <c r="K1756" s="6" t="str">
        <f>IF(northwind_order_details[[#This Row],[discount amount]]&gt;0,"Yes","No")</f>
        <v>No</v>
      </c>
      <c r="L1756" s="1" t="str">
        <f>IF(northwind_order_details[[#This Row],[Revenue]]&gt;1000,"High",IF(northwind_order_details[[#This Row],[Revenue]]&gt;300,"Medium","Low"))</f>
        <v>Medium</v>
      </c>
      <c r="M17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7" spans="1:13" x14ac:dyDescent="0.25">
      <c r="A1757">
        <v>10943</v>
      </c>
      <c r="B1757">
        <v>46</v>
      </c>
      <c r="C1757" s="6" t="s">
        <v>13</v>
      </c>
      <c r="D1757">
        <v>15</v>
      </c>
      <c r="E1757" s="6" t="s">
        <v>6</v>
      </c>
      <c r="F1757" t="str">
        <f>_xlfn.XLOOKUP(northwind_order_details[[#This Row],[order_id]],northwind_orders[order_id],northwind_orders[ship_country])</f>
        <v>UK</v>
      </c>
      <c r="G1757">
        <f>INDEX(northwind_orders[],MATCH(northwind_order_details[[#This Row],[order_id]], northwind_orders[order_id], 0), MATCH("employee_id", northwind_orders[#Headers], 0))</f>
        <v>4</v>
      </c>
      <c r="H1757">
        <f>northwind_order_details[[#This Row],[unit_price]]*northwind_order_details[[#This Row],[quantity]]</f>
        <v>180</v>
      </c>
      <c r="I1757" s="1">
        <f>northwind_order_details[[#This Row],[purchase amount]]*northwind_order_details[[#This Row],[discount]]</f>
        <v>0</v>
      </c>
      <c r="J1757" s="1">
        <f>northwind_order_details[[#This Row],[purchase amount]]-northwind_order_details[[#This Row],[discount amount]]</f>
        <v>180</v>
      </c>
      <c r="K1757" s="6" t="str">
        <f>IF(northwind_order_details[[#This Row],[discount amount]]&gt;0,"Yes","No")</f>
        <v>No</v>
      </c>
      <c r="L1757" s="1" t="str">
        <f>IF(northwind_order_details[[#This Row],[Revenue]]&gt;1000,"High",IF(northwind_order_details[[#This Row],[Revenue]]&gt;300,"Medium","Low"))</f>
        <v>Low</v>
      </c>
      <c r="M17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8" spans="1:13" x14ac:dyDescent="0.25">
      <c r="A1758">
        <v>10944</v>
      </c>
      <c r="B1758">
        <v>11</v>
      </c>
      <c r="C1758" s="6" t="s">
        <v>37</v>
      </c>
      <c r="D1758">
        <v>5</v>
      </c>
      <c r="E1758" s="6">
        <v>0.25</v>
      </c>
      <c r="F1758" t="str">
        <f>_xlfn.XLOOKUP(northwind_order_details[[#This Row],[order_id]],northwind_orders[order_id],northwind_orders[ship_country])</f>
        <v>Canada</v>
      </c>
      <c r="G1758">
        <f>INDEX(northwind_orders[],MATCH(northwind_order_details[[#This Row],[order_id]], northwind_orders[order_id], 0), MATCH("employee_id", northwind_orders[#Headers], 0))</f>
        <v>6</v>
      </c>
      <c r="H1758">
        <f>northwind_order_details[[#This Row],[unit_price]]*northwind_order_details[[#This Row],[quantity]]</f>
        <v>105</v>
      </c>
      <c r="I1758" s="1">
        <f>northwind_order_details[[#This Row],[purchase amount]]*northwind_order_details[[#This Row],[discount]]</f>
        <v>26.25</v>
      </c>
      <c r="J1758" s="1">
        <f>northwind_order_details[[#This Row],[purchase amount]]-northwind_order_details[[#This Row],[discount amount]]</f>
        <v>78.75</v>
      </c>
      <c r="K1758" s="6" t="str">
        <f>IF(northwind_order_details[[#This Row],[discount amount]]&gt;0,"Yes","No")</f>
        <v>Yes</v>
      </c>
      <c r="L1758" s="1" t="str">
        <f>IF(northwind_order_details[[#This Row],[Revenue]]&gt;1000,"High",IF(northwind_order_details[[#This Row],[Revenue]]&gt;300,"Medium","Low"))</f>
        <v>Low</v>
      </c>
      <c r="M17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59" spans="1:13" x14ac:dyDescent="0.25">
      <c r="A1759">
        <v>10944</v>
      </c>
      <c r="B1759">
        <v>44</v>
      </c>
      <c r="C1759" s="6">
        <v>19.45</v>
      </c>
      <c r="D1759">
        <v>18</v>
      </c>
      <c r="E1759" s="6">
        <v>0.25</v>
      </c>
      <c r="F1759" t="str">
        <f>_xlfn.XLOOKUP(northwind_order_details[[#This Row],[order_id]],northwind_orders[order_id],northwind_orders[ship_country])</f>
        <v>Canada</v>
      </c>
      <c r="G1759">
        <f>INDEX(northwind_orders[],MATCH(northwind_order_details[[#This Row],[order_id]], northwind_orders[order_id], 0), MATCH("employee_id", northwind_orders[#Headers], 0))</f>
        <v>6</v>
      </c>
      <c r="H1759">
        <f>northwind_order_details[[#This Row],[unit_price]]*northwind_order_details[[#This Row],[quantity]]</f>
        <v>350.09999999999997</v>
      </c>
      <c r="I1759" s="1">
        <f>northwind_order_details[[#This Row],[purchase amount]]*northwind_order_details[[#This Row],[discount]]</f>
        <v>87.524999999999991</v>
      </c>
      <c r="J1759" s="1">
        <f>northwind_order_details[[#This Row],[purchase amount]]-northwind_order_details[[#This Row],[discount amount]]</f>
        <v>262.57499999999999</v>
      </c>
      <c r="K1759" s="6" t="str">
        <f>IF(northwind_order_details[[#This Row],[discount amount]]&gt;0,"Yes","No")</f>
        <v>Yes</v>
      </c>
      <c r="L1759" s="1" t="str">
        <f>IF(northwind_order_details[[#This Row],[Revenue]]&gt;1000,"High",IF(northwind_order_details[[#This Row],[Revenue]]&gt;300,"Medium","Low"))</f>
        <v>Low</v>
      </c>
      <c r="M175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60" spans="1:13" x14ac:dyDescent="0.25">
      <c r="A1760">
        <v>10944</v>
      </c>
      <c r="B1760">
        <v>56</v>
      </c>
      <c r="C1760" s="6" t="s">
        <v>30</v>
      </c>
      <c r="D1760">
        <v>18</v>
      </c>
      <c r="E1760" s="6" t="s">
        <v>6</v>
      </c>
      <c r="F1760" t="str">
        <f>_xlfn.XLOOKUP(northwind_order_details[[#This Row],[order_id]],northwind_orders[order_id],northwind_orders[ship_country])</f>
        <v>Canada</v>
      </c>
      <c r="G1760">
        <f>INDEX(northwind_orders[],MATCH(northwind_order_details[[#This Row],[order_id]], northwind_orders[order_id], 0), MATCH("employee_id", northwind_orders[#Headers], 0))</f>
        <v>6</v>
      </c>
      <c r="H1760">
        <f>northwind_order_details[[#This Row],[unit_price]]*northwind_order_details[[#This Row],[quantity]]</f>
        <v>684</v>
      </c>
      <c r="I1760" s="1">
        <f>northwind_order_details[[#This Row],[purchase amount]]*northwind_order_details[[#This Row],[discount]]</f>
        <v>0</v>
      </c>
      <c r="J1760" s="1">
        <f>northwind_order_details[[#This Row],[purchase amount]]-northwind_order_details[[#This Row],[discount amount]]</f>
        <v>684</v>
      </c>
      <c r="K1760" s="6" t="str">
        <f>IF(northwind_order_details[[#This Row],[discount amount]]&gt;0,"Yes","No")</f>
        <v>No</v>
      </c>
      <c r="L1760" s="1" t="str">
        <f>IF(northwind_order_details[[#This Row],[Revenue]]&gt;1000,"High",IF(northwind_order_details[[#This Row],[Revenue]]&gt;300,"Medium","Low"))</f>
        <v>Medium</v>
      </c>
      <c r="M17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1" spans="1:13" x14ac:dyDescent="0.25">
      <c r="A1761">
        <v>10945</v>
      </c>
      <c r="B1761">
        <v>13</v>
      </c>
      <c r="C1761" s="6" t="s">
        <v>23</v>
      </c>
      <c r="D1761">
        <v>20</v>
      </c>
      <c r="E1761" s="6" t="s">
        <v>6</v>
      </c>
      <c r="F1761" t="str">
        <f>_xlfn.XLOOKUP(northwind_order_details[[#This Row],[order_id]],northwind_orders[order_id],northwind_orders[ship_country])</f>
        <v>Germany</v>
      </c>
      <c r="G1761">
        <f>INDEX(northwind_orders[],MATCH(northwind_order_details[[#This Row],[order_id]], northwind_orders[order_id], 0), MATCH("employee_id", northwind_orders[#Headers], 0))</f>
        <v>4</v>
      </c>
      <c r="H1761">
        <f>northwind_order_details[[#This Row],[unit_price]]*northwind_order_details[[#This Row],[quantity]]</f>
        <v>120</v>
      </c>
      <c r="I1761" s="1">
        <f>northwind_order_details[[#This Row],[purchase amount]]*northwind_order_details[[#This Row],[discount]]</f>
        <v>0</v>
      </c>
      <c r="J1761" s="1">
        <f>northwind_order_details[[#This Row],[purchase amount]]-northwind_order_details[[#This Row],[discount amount]]</f>
        <v>120</v>
      </c>
      <c r="K1761" s="6" t="str">
        <f>IF(northwind_order_details[[#This Row],[discount amount]]&gt;0,"Yes","No")</f>
        <v>No</v>
      </c>
      <c r="L1761" s="1" t="str">
        <f>IF(northwind_order_details[[#This Row],[Revenue]]&gt;1000,"High",IF(northwind_order_details[[#This Row],[Revenue]]&gt;300,"Medium","Low"))</f>
        <v>Low</v>
      </c>
      <c r="M17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2" spans="1:13" x14ac:dyDescent="0.25">
      <c r="A1762">
        <v>10945</v>
      </c>
      <c r="B1762">
        <v>31</v>
      </c>
      <c r="C1762" s="6">
        <v>12.5</v>
      </c>
      <c r="D1762">
        <v>10</v>
      </c>
      <c r="E1762" s="6" t="s">
        <v>6</v>
      </c>
      <c r="F1762" t="str">
        <f>_xlfn.XLOOKUP(northwind_order_details[[#This Row],[order_id]],northwind_orders[order_id],northwind_orders[ship_country])</f>
        <v>Germany</v>
      </c>
      <c r="G1762">
        <f>INDEX(northwind_orders[],MATCH(northwind_order_details[[#This Row],[order_id]], northwind_orders[order_id], 0), MATCH("employee_id", northwind_orders[#Headers], 0))</f>
        <v>4</v>
      </c>
      <c r="H1762">
        <f>northwind_order_details[[#This Row],[unit_price]]*northwind_order_details[[#This Row],[quantity]]</f>
        <v>125</v>
      </c>
      <c r="I1762" s="1">
        <f>northwind_order_details[[#This Row],[purchase amount]]*northwind_order_details[[#This Row],[discount]]</f>
        <v>0</v>
      </c>
      <c r="J1762" s="1">
        <f>northwind_order_details[[#This Row],[purchase amount]]-northwind_order_details[[#This Row],[discount amount]]</f>
        <v>125</v>
      </c>
      <c r="K1762" s="6" t="str">
        <f>IF(northwind_order_details[[#This Row],[discount amount]]&gt;0,"Yes","No")</f>
        <v>No</v>
      </c>
      <c r="L1762" s="1" t="str">
        <f>IF(northwind_order_details[[#This Row],[Revenue]]&gt;1000,"High",IF(northwind_order_details[[#This Row],[Revenue]]&gt;300,"Medium","Low"))</f>
        <v>Low</v>
      </c>
      <c r="M17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63" spans="1:13" x14ac:dyDescent="0.25">
      <c r="A1763">
        <v>10946</v>
      </c>
      <c r="B1763">
        <v>10</v>
      </c>
      <c r="C1763" s="6" t="s">
        <v>34</v>
      </c>
      <c r="D1763">
        <v>25</v>
      </c>
      <c r="E1763" s="6" t="s">
        <v>6</v>
      </c>
      <c r="F1763" t="str">
        <f>_xlfn.XLOOKUP(northwind_order_details[[#This Row],[order_id]],northwind_orders[order_id],northwind_orders[ship_country])</f>
        <v>Denmark</v>
      </c>
      <c r="G1763">
        <f>INDEX(northwind_orders[],MATCH(northwind_order_details[[#This Row],[order_id]], northwind_orders[order_id], 0), MATCH("employee_id", northwind_orders[#Headers], 0))</f>
        <v>1</v>
      </c>
      <c r="H1763">
        <f>northwind_order_details[[#This Row],[unit_price]]*northwind_order_details[[#This Row],[quantity]]</f>
        <v>775</v>
      </c>
      <c r="I1763" s="1">
        <f>northwind_order_details[[#This Row],[purchase amount]]*northwind_order_details[[#This Row],[discount]]</f>
        <v>0</v>
      </c>
      <c r="J1763" s="1">
        <f>northwind_order_details[[#This Row],[purchase amount]]-northwind_order_details[[#This Row],[discount amount]]</f>
        <v>775</v>
      </c>
      <c r="K1763" s="6" t="str">
        <f>IF(northwind_order_details[[#This Row],[discount amount]]&gt;0,"Yes","No")</f>
        <v>No</v>
      </c>
      <c r="L1763" s="1" t="str">
        <f>IF(northwind_order_details[[#This Row],[Revenue]]&gt;1000,"High",IF(northwind_order_details[[#This Row],[Revenue]]&gt;300,"Medium","Low"))</f>
        <v>Medium</v>
      </c>
      <c r="M17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4" spans="1:13" x14ac:dyDescent="0.25">
      <c r="A1764">
        <v>10946</v>
      </c>
      <c r="B1764">
        <v>24</v>
      </c>
      <c r="C1764" s="6">
        <v>4.5</v>
      </c>
      <c r="D1764">
        <v>25</v>
      </c>
      <c r="E1764" s="6" t="s">
        <v>6</v>
      </c>
      <c r="F1764" t="str">
        <f>_xlfn.XLOOKUP(northwind_order_details[[#This Row],[order_id]],northwind_orders[order_id],northwind_orders[ship_country])</f>
        <v>Denmark</v>
      </c>
      <c r="G1764">
        <f>INDEX(northwind_orders[],MATCH(northwind_order_details[[#This Row],[order_id]], northwind_orders[order_id], 0), MATCH("employee_id", northwind_orders[#Headers], 0))</f>
        <v>1</v>
      </c>
      <c r="H1764">
        <f>northwind_order_details[[#This Row],[unit_price]]*northwind_order_details[[#This Row],[quantity]]</f>
        <v>112.5</v>
      </c>
      <c r="I1764" s="1">
        <f>northwind_order_details[[#This Row],[purchase amount]]*northwind_order_details[[#This Row],[discount]]</f>
        <v>0</v>
      </c>
      <c r="J1764" s="1">
        <f>northwind_order_details[[#This Row],[purchase amount]]-northwind_order_details[[#This Row],[discount amount]]</f>
        <v>112.5</v>
      </c>
      <c r="K1764" s="6" t="str">
        <f>IF(northwind_order_details[[#This Row],[discount amount]]&gt;0,"Yes","No")</f>
        <v>No</v>
      </c>
      <c r="L1764" s="1" t="str">
        <f>IF(northwind_order_details[[#This Row],[Revenue]]&gt;1000,"High",IF(northwind_order_details[[#This Row],[Revenue]]&gt;300,"Medium","Low"))</f>
        <v>Low</v>
      </c>
      <c r="M17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65" spans="1:13" x14ac:dyDescent="0.25">
      <c r="A1765">
        <v>10946</v>
      </c>
      <c r="B1765">
        <v>77</v>
      </c>
      <c r="C1765" s="6" t="s">
        <v>19</v>
      </c>
      <c r="D1765">
        <v>40</v>
      </c>
      <c r="E1765" s="6" t="s">
        <v>6</v>
      </c>
      <c r="F1765" t="str">
        <f>_xlfn.XLOOKUP(northwind_order_details[[#This Row],[order_id]],northwind_orders[order_id],northwind_orders[ship_country])</f>
        <v>Denmark</v>
      </c>
      <c r="G1765">
        <f>INDEX(northwind_orders[],MATCH(northwind_order_details[[#This Row],[order_id]], northwind_orders[order_id], 0), MATCH("employee_id", northwind_orders[#Headers], 0))</f>
        <v>1</v>
      </c>
      <c r="H1765">
        <f>northwind_order_details[[#This Row],[unit_price]]*northwind_order_details[[#This Row],[quantity]]</f>
        <v>520</v>
      </c>
      <c r="I1765" s="1">
        <f>northwind_order_details[[#This Row],[purchase amount]]*northwind_order_details[[#This Row],[discount]]</f>
        <v>0</v>
      </c>
      <c r="J1765" s="1">
        <f>northwind_order_details[[#This Row],[purchase amount]]-northwind_order_details[[#This Row],[discount amount]]</f>
        <v>520</v>
      </c>
      <c r="K1765" s="6" t="str">
        <f>IF(northwind_order_details[[#This Row],[discount amount]]&gt;0,"Yes","No")</f>
        <v>No</v>
      </c>
      <c r="L1765" s="1" t="str">
        <f>IF(northwind_order_details[[#This Row],[Revenue]]&gt;1000,"High",IF(northwind_order_details[[#This Row],[Revenue]]&gt;300,"Medium","Low"))</f>
        <v>Medium</v>
      </c>
      <c r="M17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6" spans="1:13" x14ac:dyDescent="0.25">
      <c r="A1766">
        <v>10947</v>
      </c>
      <c r="B1766">
        <v>59</v>
      </c>
      <c r="C1766" s="6" t="s">
        <v>33</v>
      </c>
      <c r="D1766">
        <v>4</v>
      </c>
      <c r="E1766" s="6" t="s">
        <v>6</v>
      </c>
      <c r="F1766" t="str">
        <f>_xlfn.XLOOKUP(northwind_order_details[[#This Row],[order_id]],northwind_orders[order_id],northwind_orders[ship_country])</f>
        <v>UK</v>
      </c>
      <c r="G1766">
        <f>INDEX(northwind_orders[],MATCH(northwind_order_details[[#This Row],[order_id]], northwind_orders[order_id], 0), MATCH("employee_id", northwind_orders[#Headers], 0))</f>
        <v>3</v>
      </c>
      <c r="H1766">
        <f>northwind_order_details[[#This Row],[unit_price]]*northwind_order_details[[#This Row],[quantity]]</f>
        <v>220</v>
      </c>
      <c r="I1766" s="1">
        <f>northwind_order_details[[#This Row],[purchase amount]]*northwind_order_details[[#This Row],[discount]]</f>
        <v>0</v>
      </c>
      <c r="J1766" s="1">
        <f>northwind_order_details[[#This Row],[purchase amount]]-northwind_order_details[[#This Row],[discount amount]]</f>
        <v>220</v>
      </c>
      <c r="K1766" s="6" t="str">
        <f>IF(northwind_order_details[[#This Row],[discount amount]]&gt;0,"Yes","No")</f>
        <v>No</v>
      </c>
      <c r="L1766" s="1" t="str">
        <f>IF(northwind_order_details[[#This Row],[Revenue]]&gt;1000,"High",IF(northwind_order_details[[#This Row],[Revenue]]&gt;300,"Medium","Low"))</f>
        <v>Low</v>
      </c>
      <c r="M17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7" spans="1:13" x14ac:dyDescent="0.25">
      <c r="A1767">
        <v>10948</v>
      </c>
      <c r="B1767">
        <v>50</v>
      </c>
      <c r="C1767" s="6">
        <v>16.25</v>
      </c>
      <c r="D1767">
        <v>9</v>
      </c>
      <c r="E1767" s="6" t="s">
        <v>6</v>
      </c>
      <c r="F1767" t="str">
        <f>_xlfn.XLOOKUP(northwind_order_details[[#This Row],[order_id]],northwind_orders[order_id],northwind_orders[ship_country])</f>
        <v>Spain</v>
      </c>
      <c r="G1767">
        <f>INDEX(northwind_orders[],MATCH(northwind_order_details[[#This Row],[order_id]], northwind_orders[order_id], 0), MATCH("employee_id", northwind_orders[#Headers], 0))</f>
        <v>3</v>
      </c>
      <c r="H1767">
        <f>northwind_order_details[[#This Row],[unit_price]]*northwind_order_details[[#This Row],[quantity]]</f>
        <v>146.25</v>
      </c>
      <c r="I1767" s="1">
        <f>northwind_order_details[[#This Row],[purchase amount]]*northwind_order_details[[#This Row],[discount]]</f>
        <v>0</v>
      </c>
      <c r="J1767" s="1">
        <f>northwind_order_details[[#This Row],[purchase amount]]-northwind_order_details[[#This Row],[discount amount]]</f>
        <v>146.25</v>
      </c>
      <c r="K1767" s="6" t="str">
        <f>IF(northwind_order_details[[#This Row],[discount amount]]&gt;0,"Yes","No")</f>
        <v>No</v>
      </c>
      <c r="L1767" s="1" t="str">
        <f>IF(northwind_order_details[[#This Row],[Revenue]]&gt;1000,"High",IF(northwind_order_details[[#This Row],[Revenue]]&gt;300,"Medium","Low"))</f>
        <v>Low</v>
      </c>
      <c r="M176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68" spans="1:13" x14ac:dyDescent="0.25">
      <c r="A1768">
        <v>10948</v>
      </c>
      <c r="B1768">
        <v>51</v>
      </c>
      <c r="C1768" s="6" t="s">
        <v>39</v>
      </c>
      <c r="D1768">
        <v>40</v>
      </c>
      <c r="E1768" s="6" t="s">
        <v>6</v>
      </c>
      <c r="F1768" t="str">
        <f>_xlfn.XLOOKUP(northwind_order_details[[#This Row],[order_id]],northwind_orders[order_id],northwind_orders[ship_country])</f>
        <v>Spain</v>
      </c>
      <c r="G1768">
        <f>INDEX(northwind_orders[],MATCH(northwind_order_details[[#This Row],[order_id]], northwind_orders[order_id], 0), MATCH("employee_id", northwind_orders[#Headers], 0))</f>
        <v>3</v>
      </c>
      <c r="H1768">
        <f>northwind_order_details[[#This Row],[unit_price]]*northwind_order_details[[#This Row],[quantity]]</f>
        <v>2120</v>
      </c>
      <c r="I1768" s="1">
        <f>northwind_order_details[[#This Row],[purchase amount]]*northwind_order_details[[#This Row],[discount]]</f>
        <v>0</v>
      </c>
      <c r="J1768" s="1">
        <f>northwind_order_details[[#This Row],[purchase amount]]-northwind_order_details[[#This Row],[discount amount]]</f>
        <v>2120</v>
      </c>
      <c r="K1768" s="6" t="str">
        <f>IF(northwind_order_details[[#This Row],[discount amount]]&gt;0,"Yes","No")</f>
        <v>No</v>
      </c>
      <c r="L1768" s="1" t="str">
        <f>IF(northwind_order_details[[#This Row],[Revenue]]&gt;1000,"High",IF(northwind_order_details[[#This Row],[Revenue]]&gt;300,"Medium","Low"))</f>
        <v>High</v>
      </c>
      <c r="M17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69" spans="1:13" x14ac:dyDescent="0.25">
      <c r="A1769">
        <v>10948</v>
      </c>
      <c r="B1769">
        <v>55</v>
      </c>
      <c r="C1769" s="6" t="s">
        <v>14</v>
      </c>
      <c r="D1769">
        <v>4</v>
      </c>
      <c r="E1769" s="6" t="s">
        <v>6</v>
      </c>
      <c r="F1769" t="str">
        <f>_xlfn.XLOOKUP(northwind_order_details[[#This Row],[order_id]],northwind_orders[order_id],northwind_orders[ship_country])</f>
        <v>Spain</v>
      </c>
      <c r="G1769">
        <f>INDEX(northwind_orders[],MATCH(northwind_order_details[[#This Row],[order_id]], northwind_orders[order_id], 0), MATCH("employee_id", northwind_orders[#Headers], 0))</f>
        <v>3</v>
      </c>
      <c r="H1769">
        <f>northwind_order_details[[#This Row],[unit_price]]*northwind_order_details[[#This Row],[quantity]]</f>
        <v>96</v>
      </c>
      <c r="I1769" s="1">
        <f>northwind_order_details[[#This Row],[purchase amount]]*northwind_order_details[[#This Row],[discount]]</f>
        <v>0</v>
      </c>
      <c r="J1769" s="1">
        <f>northwind_order_details[[#This Row],[purchase amount]]-northwind_order_details[[#This Row],[discount amount]]</f>
        <v>96</v>
      </c>
      <c r="K1769" s="6" t="str">
        <f>IF(northwind_order_details[[#This Row],[discount amount]]&gt;0,"Yes","No")</f>
        <v>No</v>
      </c>
      <c r="L1769" s="1" t="str">
        <f>IF(northwind_order_details[[#This Row],[Revenue]]&gt;1000,"High",IF(northwind_order_details[[#This Row],[Revenue]]&gt;300,"Medium","Low"))</f>
        <v>Low</v>
      </c>
      <c r="M176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0" spans="1:13" x14ac:dyDescent="0.25">
      <c r="A1770">
        <v>10949</v>
      </c>
      <c r="B1770">
        <v>6</v>
      </c>
      <c r="C1770" s="6" t="s">
        <v>41</v>
      </c>
      <c r="D1770">
        <v>12</v>
      </c>
      <c r="E1770" s="6" t="s">
        <v>6</v>
      </c>
      <c r="F1770" t="str">
        <f>_xlfn.XLOOKUP(northwind_order_details[[#This Row],[order_id]],northwind_orders[order_id],northwind_orders[ship_country])</f>
        <v>Canada</v>
      </c>
      <c r="G1770">
        <f>INDEX(northwind_orders[],MATCH(northwind_order_details[[#This Row],[order_id]], northwind_orders[order_id], 0), MATCH("employee_id", northwind_orders[#Headers], 0))</f>
        <v>2</v>
      </c>
      <c r="H1770">
        <f>northwind_order_details[[#This Row],[unit_price]]*northwind_order_details[[#This Row],[quantity]]</f>
        <v>300</v>
      </c>
      <c r="I1770" s="1">
        <f>northwind_order_details[[#This Row],[purchase amount]]*northwind_order_details[[#This Row],[discount]]</f>
        <v>0</v>
      </c>
      <c r="J1770" s="1">
        <f>northwind_order_details[[#This Row],[purchase amount]]-northwind_order_details[[#This Row],[discount amount]]</f>
        <v>300</v>
      </c>
      <c r="K1770" s="6" t="str">
        <f>IF(northwind_order_details[[#This Row],[discount amount]]&gt;0,"Yes","No")</f>
        <v>No</v>
      </c>
      <c r="L1770" s="1" t="str">
        <f>IF(northwind_order_details[[#This Row],[Revenue]]&gt;1000,"High",IF(northwind_order_details[[#This Row],[Revenue]]&gt;300,"Medium","Low"))</f>
        <v>Low</v>
      </c>
      <c r="M17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1" spans="1:13" x14ac:dyDescent="0.25">
      <c r="A1771">
        <v>10949</v>
      </c>
      <c r="B1771">
        <v>10</v>
      </c>
      <c r="C1771" s="6" t="s">
        <v>34</v>
      </c>
      <c r="D1771">
        <v>30</v>
      </c>
      <c r="E1771" s="6" t="s">
        <v>6</v>
      </c>
      <c r="F1771" t="str">
        <f>_xlfn.XLOOKUP(northwind_order_details[[#This Row],[order_id]],northwind_orders[order_id],northwind_orders[ship_country])</f>
        <v>Canada</v>
      </c>
      <c r="G1771">
        <f>INDEX(northwind_orders[],MATCH(northwind_order_details[[#This Row],[order_id]], northwind_orders[order_id], 0), MATCH("employee_id", northwind_orders[#Headers], 0))</f>
        <v>2</v>
      </c>
      <c r="H1771">
        <f>northwind_order_details[[#This Row],[unit_price]]*northwind_order_details[[#This Row],[quantity]]</f>
        <v>930</v>
      </c>
      <c r="I1771" s="1">
        <f>northwind_order_details[[#This Row],[purchase amount]]*northwind_order_details[[#This Row],[discount]]</f>
        <v>0</v>
      </c>
      <c r="J1771" s="1">
        <f>northwind_order_details[[#This Row],[purchase amount]]-northwind_order_details[[#This Row],[discount amount]]</f>
        <v>930</v>
      </c>
      <c r="K1771" s="6" t="str">
        <f>IF(northwind_order_details[[#This Row],[discount amount]]&gt;0,"Yes","No")</f>
        <v>No</v>
      </c>
      <c r="L1771" s="1" t="str">
        <f>IF(northwind_order_details[[#This Row],[Revenue]]&gt;1000,"High",IF(northwind_order_details[[#This Row],[Revenue]]&gt;300,"Medium","Low"))</f>
        <v>Medium</v>
      </c>
      <c r="M17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2" spans="1:13" x14ac:dyDescent="0.25">
      <c r="A1772">
        <v>10949</v>
      </c>
      <c r="B1772">
        <v>17</v>
      </c>
      <c r="C1772" s="6" t="s">
        <v>35</v>
      </c>
      <c r="D1772">
        <v>6</v>
      </c>
      <c r="E1772" s="6" t="s">
        <v>6</v>
      </c>
      <c r="F1772" t="str">
        <f>_xlfn.XLOOKUP(northwind_order_details[[#This Row],[order_id]],northwind_orders[order_id],northwind_orders[ship_country])</f>
        <v>Canada</v>
      </c>
      <c r="G1772">
        <f>INDEX(northwind_orders[],MATCH(northwind_order_details[[#This Row],[order_id]], northwind_orders[order_id], 0), MATCH("employee_id", northwind_orders[#Headers], 0))</f>
        <v>2</v>
      </c>
      <c r="H1772">
        <f>northwind_order_details[[#This Row],[unit_price]]*northwind_order_details[[#This Row],[quantity]]</f>
        <v>234</v>
      </c>
      <c r="I1772" s="1">
        <f>northwind_order_details[[#This Row],[purchase amount]]*northwind_order_details[[#This Row],[discount]]</f>
        <v>0</v>
      </c>
      <c r="J1772" s="1">
        <f>northwind_order_details[[#This Row],[purchase amount]]-northwind_order_details[[#This Row],[discount amount]]</f>
        <v>234</v>
      </c>
      <c r="K1772" s="6" t="str">
        <f>IF(northwind_order_details[[#This Row],[discount amount]]&gt;0,"Yes","No")</f>
        <v>No</v>
      </c>
      <c r="L1772" s="1" t="str">
        <f>IF(northwind_order_details[[#This Row],[Revenue]]&gt;1000,"High",IF(northwind_order_details[[#This Row],[Revenue]]&gt;300,"Medium","Low"))</f>
        <v>Low</v>
      </c>
      <c r="M17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3" spans="1:13" x14ac:dyDescent="0.25">
      <c r="A1773">
        <v>10949</v>
      </c>
      <c r="B1773">
        <v>62</v>
      </c>
      <c r="C1773" s="6">
        <v>49.3</v>
      </c>
      <c r="D1773">
        <v>60</v>
      </c>
      <c r="E1773" s="6" t="s">
        <v>6</v>
      </c>
      <c r="F1773" t="str">
        <f>_xlfn.XLOOKUP(northwind_order_details[[#This Row],[order_id]],northwind_orders[order_id],northwind_orders[ship_country])</f>
        <v>Canada</v>
      </c>
      <c r="G1773">
        <f>INDEX(northwind_orders[],MATCH(northwind_order_details[[#This Row],[order_id]], northwind_orders[order_id], 0), MATCH("employee_id", northwind_orders[#Headers], 0))</f>
        <v>2</v>
      </c>
      <c r="H1773">
        <f>northwind_order_details[[#This Row],[unit_price]]*northwind_order_details[[#This Row],[quantity]]</f>
        <v>2958</v>
      </c>
      <c r="I1773" s="1">
        <f>northwind_order_details[[#This Row],[purchase amount]]*northwind_order_details[[#This Row],[discount]]</f>
        <v>0</v>
      </c>
      <c r="J1773" s="1">
        <f>northwind_order_details[[#This Row],[purchase amount]]-northwind_order_details[[#This Row],[discount amount]]</f>
        <v>2958</v>
      </c>
      <c r="K1773" s="6" t="str">
        <f>IF(northwind_order_details[[#This Row],[discount amount]]&gt;0,"Yes","No")</f>
        <v>No</v>
      </c>
      <c r="L1773" s="1" t="str">
        <f>IF(northwind_order_details[[#This Row],[Revenue]]&gt;1000,"High",IF(northwind_order_details[[#This Row],[Revenue]]&gt;300,"Medium","Low"))</f>
        <v>High</v>
      </c>
      <c r="M17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74" spans="1:13" x14ac:dyDescent="0.25">
      <c r="A1774">
        <v>10950</v>
      </c>
      <c r="B1774">
        <v>4</v>
      </c>
      <c r="C1774" s="6" t="s">
        <v>25</v>
      </c>
      <c r="D1774">
        <v>5</v>
      </c>
      <c r="E1774" s="6" t="s">
        <v>6</v>
      </c>
      <c r="F1774" t="str">
        <f>_xlfn.XLOOKUP(northwind_order_details[[#This Row],[order_id]],northwind_orders[order_id],northwind_orders[ship_country])</f>
        <v>Italy</v>
      </c>
      <c r="G1774">
        <f>INDEX(northwind_orders[],MATCH(northwind_order_details[[#This Row],[order_id]], northwind_orders[order_id], 0), MATCH("employee_id", northwind_orders[#Headers], 0))</f>
        <v>1</v>
      </c>
      <c r="H1774">
        <f>northwind_order_details[[#This Row],[unit_price]]*northwind_order_details[[#This Row],[quantity]]</f>
        <v>110</v>
      </c>
      <c r="I1774" s="1">
        <f>northwind_order_details[[#This Row],[purchase amount]]*northwind_order_details[[#This Row],[discount]]</f>
        <v>0</v>
      </c>
      <c r="J1774" s="1">
        <f>northwind_order_details[[#This Row],[purchase amount]]-northwind_order_details[[#This Row],[discount amount]]</f>
        <v>110</v>
      </c>
      <c r="K1774" s="6" t="str">
        <f>IF(northwind_order_details[[#This Row],[discount amount]]&gt;0,"Yes","No")</f>
        <v>No</v>
      </c>
      <c r="L1774" s="1" t="str">
        <f>IF(northwind_order_details[[#This Row],[Revenue]]&gt;1000,"High",IF(northwind_order_details[[#This Row],[Revenue]]&gt;300,"Medium","Low"))</f>
        <v>Low</v>
      </c>
      <c r="M177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5" spans="1:13" x14ac:dyDescent="0.25">
      <c r="A1775">
        <v>10951</v>
      </c>
      <c r="B1775">
        <v>33</v>
      </c>
      <c r="C1775" s="6">
        <v>2.5</v>
      </c>
      <c r="D1775">
        <v>15</v>
      </c>
      <c r="E1775" s="6">
        <v>0.05</v>
      </c>
      <c r="F1775" t="str">
        <f>_xlfn.XLOOKUP(northwind_order_details[[#This Row],[order_id]],northwind_orders[order_id],northwind_orders[ship_country])</f>
        <v>Switzerland</v>
      </c>
      <c r="G1775">
        <f>INDEX(northwind_orders[],MATCH(northwind_order_details[[#This Row],[order_id]], northwind_orders[order_id], 0), MATCH("employee_id", northwind_orders[#Headers], 0))</f>
        <v>9</v>
      </c>
      <c r="H1775">
        <f>northwind_order_details[[#This Row],[unit_price]]*northwind_order_details[[#This Row],[quantity]]</f>
        <v>37.5</v>
      </c>
      <c r="I1775" s="1">
        <f>northwind_order_details[[#This Row],[purchase amount]]*northwind_order_details[[#This Row],[discount]]</f>
        <v>1.875</v>
      </c>
      <c r="J1775" s="1">
        <f>northwind_order_details[[#This Row],[purchase amount]]-northwind_order_details[[#This Row],[discount amount]]</f>
        <v>35.625</v>
      </c>
      <c r="K1775" s="6" t="str">
        <f>IF(northwind_order_details[[#This Row],[discount amount]]&gt;0,"Yes","No")</f>
        <v>Yes</v>
      </c>
      <c r="L1775" s="1" t="str">
        <f>IF(northwind_order_details[[#This Row],[Revenue]]&gt;1000,"High",IF(northwind_order_details[[#This Row],[Revenue]]&gt;300,"Medium","Low"))</f>
        <v>Low</v>
      </c>
      <c r="M177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76" spans="1:13" x14ac:dyDescent="0.25">
      <c r="A1776">
        <v>10951</v>
      </c>
      <c r="B1776">
        <v>41</v>
      </c>
      <c r="C1776" s="6">
        <v>9.65</v>
      </c>
      <c r="D1776">
        <v>6</v>
      </c>
      <c r="E1776" s="6">
        <v>0.05</v>
      </c>
      <c r="F1776" t="str">
        <f>_xlfn.XLOOKUP(northwind_order_details[[#This Row],[order_id]],northwind_orders[order_id],northwind_orders[ship_country])</f>
        <v>Switzerland</v>
      </c>
      <c r="G1776">
        <f>INDEX(northwind_orders[],MATCH(northwind_order_details[[#This Row],[order_id]], northwind_orders[order_id], 0), MATCH("employee_id", northwind_orders[#Headers], 0))</f>
        <v>9</v>
      </c>
      <c r="H1776">
        <f>northwind_order_details[[#This Row],[unit_price]]*northwind_order_details[[#This Row],[quantity]]</f>
        <v>57.900000000000006</v>
      </c>
      <c r="I1776" s="1">
        <f>northwind_order_details[[#This Row],[purchase amount]]*northwind_order_details[[#This Row],[discount]]</f>
        <v>2.8950000000000005</v>
      </c>
      <c r="J1776" s="1">
        <f>northwind_order_details[[#This Row],[purchase amount]]-northwind_order_details[[#This Row],[discount amount]]</f>
        <v>55.005000000000003</v>
      </c>
      <c r="K1776" s="6" t="str">
        <f>IF(northwind_order_details[[#This Row],[discount amount]]&gt;0,"Yes","No")</f>
        <v>Yes</v>
      </c>
      <c r="L1776" s="1" t="str">
        <f>IF(northwind_order_details[[#This Row],[Revenue]]&gt;1000,"High",IF(northwind_order_details[[#This Row],[Revenue]]&gt;300,"Medium","Low"))</f>
        <v>Low</v>
      </c>
      <c r="M177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77" spans="1:13" x14ac:dyDescent="0.25">
      <c r="A1777">
        <v>10951</v>
      </c>
      <c r="B1777">
        <v>75</v>
      </c>
      <c r="C1777" s="6">
        <v>7.75</v>
      </c>
      <c r="D1777">
        <v>50</v>
      </c>
      <c r="E1777" s="6">
        <v>0.05</v>
      </c>
      <c r="F1777" t="str">
        <f>_xlfn.XLOOKUP(northwind_order_details[[#This Row],[order_id]],northwind_orders[order_id],northwind_orders[ship_country])</f>
        <v>Switzerland</v>
      </c>
      <c r="G1777">
        <f>INDEX(northwind_orders[],MATCH(northwind_order_details[[#This Row],[order_id]], northwind_orders[order_id], 0), MATCH("employee_id", northwind_orders[#Headers], 0))</f>
        <v>9</v>
      </c>
      <c r="H1777">
        <f>northwind_order_details[[#This Row],[unit_price]]*northwind_order_details[[#This Row],[quantity]]</f>
        <v>387.5</v>
      </c>
      <c r="I1777" s="1">
        <f>northwind_order_details[[#This Row],[purchase amount]]*northwind_order_details[[#This Row],[discount]]</f>
        <v>19.375</v>
      </c>
      <c r="J1777" s="1">
        <f>northwind_order_details[[#This Row],[purchase amount]]-northwind_order_details[[#This Row],[discount amount]]</f>
        <v>368.125</v>
      </c>
      <c r="K1777" s="6" t="str">
        <f>IF(northwind_order_details[[#This Row],[discount amount]]&gt;0,"Yes","No")</f>
        <v>Yes</v>
      </c>
      <c r="L1777" s="1" t="str">
        <f>IF(northwind_order_details[[#This Row],[Revenue]]&gt;1000,"High",IF(northwind_order_details[[#This Row],[Revenue]]&gt;300,"Medium","Low"))</f>
        <v>Medium</v>
      </c>
      <c r="M17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78" spans="1:13" x14ac:dyDescent="0.25">
      <c r="A1778">
        <v>10952</v>
      </c>
      <c r="B1778">
        <v>6</v>
      </c>
      <c r="C1778" s="6" t="s">
        <v>41</v>
      </c>
      <c r="D1778">
        <v>16</v>
      </c>
      <c r="E1778" s="6">
        <v>0.05</v>
      </c>
      <c r="F1778" t="str">
        <f>_xlfn.XLOOKUP(northwind_order_details[[#This Row],[order_id]],northwind_orders[order_id],northwind_orders[ship_country])</f>
        <v>Germany</v>
      </c>
      <c r="G1778">
        <f>INDEX(northwind_orders[],MATCH(northwind_order_details[[#This Row],[order_id]], northwind_orders[order_id], 0), MATCH("employee_id", northwind_orders[#Headers], 0))</f>
        <v>1</v>
      </c>
      <c r="H1778">
        <f>northwind_order_details[[#This Row],[unit_price]]*northwind_order_details[[#This Row],[quantity]]</f>
        <v>400</v>
      </c>
      <c r="I1778" s="1">
        <f>northwind_order_details[[#This Row],[purchase amount]]*northwind_order_details[[#This Row],[discount]]</f>
        <v>20</v>
      </c>
      <c r="J1778" s="1">
        <f>northwind_order_details[[#This Row],[purchase amount]]-northwind_order_details[[#This Row],[discount amount]]</f>
        <v>380</v>
      </c>
      <c r="K1778" s="6" t="str">
        <f>IF(northwind_order_details[[#This Row],[discount amount]]&gt;0,"Yes","No")</f>
        <v>Yes</v>
      </c>
      <c r="L1778" s="1" t="str">
        <f>IF(northwind_order_details[[#This Row],[Revenue]]&gt;1000,"High",IF(northwind_order_details[[#This Row],[Revenue]]&gt;300,"Medium","Low"))</f>
        <v>Medium</v>
      </c>
      <c r="M17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79" spans="1:13" x14ac:dyDescent="0.25">
      <c r="A1779">
        <v>10952</v>
      </c>
      <c r="B1779">
        <v>28</v>
      </c>
      <c r="C1779" s="6">
        <v>45.6</v>
      </c>
      <c r="D1779">
        <v>2</v>
      </c>
      <c r="E1779" s="6" t="s">
        <v>6</v>
      </c>
      <c r="F1779" t="str">
        <f>_xlfn.XLOOKUP(northwind_order_details[[#This Row],[order_id]],northwind_orders[order_id],northwind_orders[ship_country])</f>
        <v>Germany</v>
      </c>
      <c r="G1779">
        <f>INDEX(northwind_orders[],MATCH(northwind_order_details[[#This Row],[order_id]], northwind_orders[order_id], 0), MATCH("employee_id", northwind_orders[#Headers], 0))</f>
        <v>1</v>
      </c>
      <c r="H1779">
        <f>northwind_order_details[[#This Row],[unit_price]]*northwind_order_details[[#This Row],[quantity]]</f>
        <v>91.2</v>
      </c>
      <c r="I1779" s="1">
        <f>northwind_order_details[[#This Row],[purchase amount]]*northwind_order_details[[#This Row],[discount]]</f>
        <v>0</v>
      </c>
      <c r="J1779" s="1">
        <f>northwind_order_details[[#This Row],[purchase amount]]-northwind_order_details[[#This Row],[discount amount]]</f>
        <v>91.2</v>
      </c>
      <c r="K1779" s="6" t="str">
        <f>IF(northwind_order_details[[#This Row],[discount amount]]&gt;0,"Yes","No")</f>
        <v>No</v>
      </c>
      <c r="L1779" s="1" t="str">
        <f>IF(northwind_order_details[[#This Row],[Revenue]]&gt;1000,"High",IF(northwind_order_details[[#This Row],[Revenue]]&gt;300,"Medium","Low"))</f>
        <v>Low</v>
      </c>
      <c r="M177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0" spans="1:13" x14ac:dyDescent="0.25">
      <c r="A1780">
        <v>10953</v>
      </c>
      <c r="B1780">
        <v>20</v>
      </c>
      <c r="C1780" s="6" t="s">
        <v>29</v>
      </c>
      <c r="D1780">
        <v>50</v>
      </c>
      <c r="E1780" s="6">
        <v>0.05</v>
      </c>
      <c r="F1780" t="str">
        <f>_xlfn.XLOOKUP(northwind_order_details[[#This Row],[order_id]],northwind_orders[order_id],northwind_orders[ship_country])</f>
        <v>UK</v>
      </c>
      <c r="G1780">
        <f>INDEX(northwind_orders[],MATCH(northwind_order_details[[#This Row],[order_id]], northwind_orders[order_id], 0), MATCH("employee_id", northwind_orders[#Headers], 0))</f>
        <v>9</v>
      </c>
      <c r="H1780">
        <f>northwind_order_details[[#This Row],[unit_price]]*northwind_order_details[[#This Row],[quantity]]</f>
        <v>4050</v>
      </c>
      <c r="I1780" s="1">
        <f>northwind_order_details[[#This Row],[purchase amount]]*northwind_order_details[[#This Row],[discount]]</f>
        <v>202.5</v>
      </c>
      <c r="J1780" s="1">
        <f>northwind_order_details[[#This Row],[purchase amount]]-northwind_order_details[[#This Row],[discount amount]]</f>
        <v>3847.5</v>
      </c>
      <c r="K1780" s="6" t="str">
        <f>IF(northwind_order_details[[#This Row],[discount amount]]&gt;0,"Yes","No")</f>
        <v>Yes</v>
      </c>
      <c r="L1780" s="1" t="str">
        <f>IF(northwind_order_details[[#This Row],[Revenue]]&gt;1000,"High",IF(northwind_order_details[[#This Row],[Revenue]]&gt;300,"Medium","Low"))</f>
        <v>High</v>
      </c>
      <c r="M17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81" spans="1:13" x14ac:dyDescent="0.25">
      <c r="A1781">
        <v>10953</v>
      </c>
      <c r="B1781">
        <v>31</v>
      </c>
      <c r="C1781" s="6">
        <v>12.5</v>
      </c>
      <c r="D1781">
        <v>50</v>
      </c>
      <c r="E1781" s="6">
        <v>0.05</v>
      </c>
      <c r="F1781" t="str">
        <f>_xlfn.XLOOKUP(northwind_order_details[[#This Row],[order_id]],northwind_orders[order_id],northwind_orders[ship_country])</f>
        <v>UK</v>
      </c>
      <c r="G1781">
        <f>INDEX(northwind_orders[],MATCH(northwind_order_details[[#This Row],[order_id]], northwind_orders[order_id], 0), MATCH("employee_id", northwind_orders[#Headers], 0))</f>
        <v>9</v>
      </c>
      <c r="H1781">
        <f>northwind_order_details[[#This Row],[unit_price]]*northwind_order_details[[#This Row],[quantity]]</f>
        <v>625</v>
      </c>
      <c r="I1781" s="1">
        <f>northwind_order_details[[#This Row],[purchase amount]]*northwind_order_details[[#This Row],[discount]]</f>
        <v>31.25</v>
      </c>
      <c r="J1781" s="1">
        <f>northwind_order_details[[#This Row],[purchase amount]]-northwind_order_details[[#This Row],[discount amount]]</f>
        <v>593.75</v>
      </c>
      <c r="K1781" s="6" t="str">
        <f>IF(northwind_order_details[[#This Row],[discount amount]]&gt;0,"Yes","No")</f>
        <v>Yes</v>
      </c>
      <c r="L1781" s="1" t="str">
        <f>IF(northwind_order_details[[#This Row],[Revenue]]&gt;1000,"High",IF(northwind_order_details[[#This Row],[Revenue]]&gt;300,"Medium","Low"))</f>
        <v>Medium</v>
      </c>
      <c r="M178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2" spans="1:13" x14ac:dyDescent="0.25">
      <c r="A1782">
        <v>10954</v>
      </c>
      <c r="B1782">
        <v>16</v>
      </c>
      <c r="C1782" s="6">
        <v>17.45</v>
      </c>
      <c r="D1782">
        <v>28</v>
      </c>
      <c r="E1782" s="6">
        <v>0.15</v>
      </c>
      <c r="F1782" t="str">
        <f>_xlfn.XLOOKUP(northwind_order_details[[#This Row],[order_id]],northwind_orders[order_id],northwind_orders[ship_country])</f>
        <v>Venezuela</v>
      </c>
      <c r="G1782">
        <f>INDEX(northwind_orders[],MATCH(northwind_order_details[[#This Row],[order_id]], northwind_orders[order_id], 0), MATCH("employee_id", northwind_orders[#Headers], 0))</f>
        <v>5</v>
      </c>
      <c r="H1782">
        <f>northwind_order_details[[#This Row],[unit_price]]*northwind_order_details[[#This Row],[quantity]]</f>
        <v>488.59999999999997</v>
      </c>
      <c r="I1782" s="1">
        <f>northwind_order_details[[#This Row],[purchase amount]]*northwind_order_details[[#This Row],[discount]]</f>
        <v>73.289999999999992</v>
      </c>
      <c r="J1782" s="1">
        <f>northwind_order_details[[#This Row],[purchase amount]]-northwind_order_details[[#This Row],[discount amount]]</f>
        <v>415.30999999999995</v>
      </c>
      <c r="K1782" s="6" t="str">
        <f>IF(northwind_order_details[[#This Row],[discount amount]]&gt;0,"Yes","No")</f>
        <v>Yes</v>
      </c>
      <c r="L1782" s="1" t="str">
        <f>IF(northwind_order_details[[#This Row],[Revenue]]&gt;1000,"High",IF(northwind_order_details[[#This Row],[Revenue]]&gt;300,"Medium","Low"))</f>
        <v>Medium</v>
      </c>
      <c r="M17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3" spans="1:13" x14ac:dyDescent="0.25">
      <c r="A1783">
        <v>10954</v>
      </c>
      <c r="B1783">
        <v>31</v>
      </c>
      <c r="C1783" s="6">
        <v>12.5</v>
      </c>
      <c r="D1783">
        <v>25</v>
      </c>
      <c r="E1783" s="6">
        <v>0.15</v>
      </c>
      <c r="F1783" t="str">
        <f>_xlfn.XLOOKUP(northwind_order_details[[#This Row],[order_id]],northwind_orders[order_id],northwind_orders[ship_country])</f>
        <v>Venezuela</v>
      </c>
      <c r="G1783">
        <f>INDEX(northwind_orders[],MATCH(northwind_order_details[[#This Row],[order_id]], northwind_orders[order_id], 0), MATCH("employee_id", northwind_orders[#Headers], 0))</f>
        <v>5</v>
      </c>
      <c r="H1783">
        <f>northwind_order_details[[#This Row],[unit_price]]*northwind_order_details[[#This Row],[quantity]]</f>
        <v>312.5</v>
      </c>
      <c r="I1783" s="1">
        <f>northwind_order_details[[#This Row],[purchase amount]]*northwind_order_details[[#This Row],[discount]]</f>
        <v>46.875</v>
      </c>
      <c r="J1783" s="1">
        <f>northwind_order_details[[#This Row],[purchase amount]]-northwind_order_details[[#This Row],[discount amount]]</f>
        <v>265.625</v>
      </c>
      <c r="K1783" s="6" t="str">
        <f>IF(northwind_order_details[[#This Row],[discount amount]]&gt;0,"Yes","No")</f>
        <v>Yes</v>
      </c>
      <c r="L1783" s="1" t="str">
        <f>IF(northwind_order_details[[#This Row],[Revenue]]&gt;1000,"High",IF(northwind_order_details[[#This Row],[Revenue]]&gt;300,"Medium","Low"))</f>
        <v>Low</v>
      </c>
      <c r="M17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4" spans="1:13" x14ac:dyDescent="0.25">
      <c r="A1784">
        <v>10954</v>
      </c>
      <c r="B1784">
        <v>45</v>
      </c>
      <c r="C1784" s="6">
        <v>9.5</v>
      </c>
      <c r="D1784">
        <v>30</v>
      </c>
      <c r="E1784" s="6" t="s">
        <v>6</v>
      </c>
      <c r="F1784" t="str">
        <f>_xlfn.XLOOKUP(northwind_order_details[[#This Row],[order_id]],northwind_orders[order_id],northwind_orders[ship_country])</f>
        <v>Venezuela</v>
      </c>
      <c r="G1784">
        <f>INDEX(northwind_orders[],MATCH(northwind_order_details[[#This Row],[order_id]], northwind_orders[order_id], 0), MATCH("employee_id", northwind_orders[#Headers], 0))</f>
        <v>5</v>
      </c>
      <c r="H1784">
        <f>northwind_order_details[[#This Row],[unit_price]]*northwind_order_details[[#This Row],[quantity]]</f>
        <v>285</v>
      </c>
      <c r="I1784" s="1">
        <f>northwind_order_details[[#This Row],[purchase amount]]*northwind_order_details[[#This Row],[discount]]</f>
        <v>0</v>
      </c>
      <c r="J1784" s="1">
        <f>northwind_order_details[[#This Row],[purchase amount]]-northwind_order_details[[#This Row],[discount amount]]</f>
        <v>285</v>
      </c>
      <c r="K1784" s="6" t="str">
        <f>IF(northwind_order_details[[#This Row],[discount amount]]&gt;0,"Yes","No")</f>
        <v>No</v>
      </c>
      <c r="L1784" s="1" t="str">
        <f>IF(northwind_order_details[[#This Row],[Revenue]]&gt;1000,"High",IF(northwind_order_details[[#This Row],[Revenue]]&gt;300,"Medium","Low"))</f>
        <v>Low</v>
      </c>
      <c r="M17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5" spans="1:13" x14ac:dyDescent="0.25">
      <c r="A1785">
        <v>10954</v>
      </c>
      <c r="B1785">
        <v>60</v>
      </c>
      <c r="C1785" s="6" t="s">
        <v>28</v>
      </c>
      <c r="D1785">
        <v>24</v>
      </c>
      <c r="E1785" s="6">
        <v>0.15</v>
      </c>
      <c r="F1785" t="str">
        <f>_xlfn.XLOOKUP(northwind_order_details[[#This Row],[order_id]],northwind_orders[order_id],northwind_orders[ship_country])</f>
        <v>Venezuela</v>
      </c>
      <c r="G1785">
        <f>INDEX(northwind_orders[],MATCH(northwind_order_details[[#This Row],[order_id]], northwind_orders[order_id], 0), MATCH("employee_id", northwind_orders[#Headers], 0))</f>
        <v>5</v>
      </c>
      <c r="H1785">
        <f>northwind_order_details[[#This Row],[unit_price]]*northwind_order_details[[#This Row],[quantity]]</f>
        <v>816</v>
      </c>
      <c r="I1785" s="1">
        <f>northwind_order_details[[#This Row],[purchase amount]]*northwind_order_details[[#This Row],[discount]]</f>
        <v>122.39999999999999</v>
      </c>
      <c r="J1785" s="1">
        <f>northwind_order_details[[#This Row],[purchase amount]]-northwind_order_details[[#This Row],[discount amount]]</f>
        <v>693.6</v>
      </c>
      <c r="K1785" s="6" t="str">
        <f>IF(northwind_order_details[[#This Row],[discount amount]]&gt;0,"Yes","No")</f>
        <v>Yes</v>
      </c>
      <c r="L1785" s="1" t="str">
        <f>IF(northwind_order_details[[#This Row],[Revenue]]&gt;1000,"High",IF(northwind_order_details[[#This Row],[Revenue]]&gt;300,"Medium","Low"))</f>
        <v>Medium</v>
      </c>
      <c r="M17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86" spans="1:13" x14ac:dyDescent="0.25">
      <c r="A1786">
        <v>10955</v>
      </c>
      <c r="B1786">
        <v>75</v>
      </c>
      <c r="C1786" s="6">
        <v>7.75</v>
      </c>
      <c r="D1786">
        <v>12</v>
      </c>
      <c r="E1786" s="6">
        <v>0.2</v>
      </c>
      <c r="F1786" t="str">
        <f>_xlfn.XLOOKUP(northwind_order_details[[#This Row],[order_id]],northwind_orders[order_id],northwind_orders[ship_country])</f>
        <v>Sweden</v>
      </c>
      <c r="G1786">
        <f>INDEX(northwind_orders[],MATCH(northwind_order_details[[#This Row],[order_id]], northwind_orders[order_id], 0), MATCH("employee_id", northwind_orders[#Headers], 0))</f>
        <v>8</v>
      </c>
      <c r="H1786">
        <f>northwind_order_details[[#This Row],[unit_price]]*northwind_order_details[[#This Row],[quantity]]</f>
        <v>93</v>
      </c>
      <c r="I1786" s="1">
        <f>northwind_order_details[[#This Row],[purchase amount]]*northwind_order_details[[#This Row],[discount]]</f>
        <v>18.600000000000001</v>
      </c>
      <c r="J1786" s="1">
        <f>northwind_order_details[[#This Row],[purchase amount]]-northwind_order_details[[#This Row],[discount amount]]</f>
        <v>74.400000000000006</v>
      </c>
      <c r="K1786" s="6" t="str">
        <f>IF(northwind_order_details[[#This Row],[discount amount]]&gt;0,"Yes","No")</f>
        <v>Yes</v>
      </c>
      <c r="L1786" s="1" t="str">
        <f>IF(northwind_order_details[[#This Row],[Revenue]]&gt;1000,"High",IF(northwind_order_details[[#This Row],[Revenue]]&gt;300,"Medium","Low"))</f>
        <v>Low</v>
      </c>
      <c r="M17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7" spans="1:13" x14ac:dyDescent="0.25">
      <c r="A1787">
        <v>10956</v>
      </c>
      <c r="B1787">
        <v>21</v>
      </c>
      <c r="C1787" s="6" t="s">
        <v>8</v>
      </c>
      <c r="D1787">
        <v>12</v>
      </c>
      <c r="E1787" s="6" t="s">
        <v>6</v>
      </c>
      <c r="F1787" t="str">
        <f>_xlfn.XLOOKUP(northwind_order_details[[#This Row],[order_id]],northwind_orders[order_id],northwind_orders[ship_country])</f>
        <v>Germany</v>
      </c>
      <c r="G1787">
        <f>INDEX(northwind_orders[],MATCH(northwind_order_details[[#This Row],[order_id]], northwind_orders[order_id], 0), MATCH("employee_id", northwind_orders[#Headers], 0))</f>
        <v>6</v>
      </c>
      <c r="H1787">
        <f>northwind_order_details[[#This Row],[unit_price]]*northwind_order_details[[#This Row],[quantity]]</f>
        <v>120</v>
      </c>
      <c r="I1787" s="1">
        <f>northwind_order_details[[#This Row],[purchase amount]]*northwind_order_details[[#This Row],[discount]]</f>
        <v>0</v>
      </c>
      <c r="J1787" s="1">
        <f>northwind_order_details[[#This Row],[purchase amount]]-northwind_order_details[[#This Row],[discount amount]]</f>
        <v>120</v>
      </c>
      <c r="K1787" s="6" t="str">
        <f>IF(northwind_order_details[[#This Row],[discount amount]]&gt;0,"Yes","No")</f>
        <v>No</v>
      </c>
      <c r="L1787" s="1" t="str">
        <f>IF(northwind_order_details[[#This Row],[Revenue]]&gt;1000,"High",IF(northwind_order_details[[#This Row],[Revenue]]&gt;300,"Medium","Low"))</f>
        <v>Low</v>
      </c>
      <c r="M17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88" spans="1:13" x14ac:dyDescent="0.25">
      <c r="A1788">
        <v>10956</v>
      </c>
      <c r="B1788">
        <v>47</v>
      </c>
      <c r="C1788" s="6">
        <v>9.5</v>
      </c>
      <c r="D1788">
        <v>14</v>
      </c>
      <c r="E1788" s="6" t="s">
        <v>6</v>
      </c>
      <c r="F1788" t="str">
        <f>_xlfn.XLOOKUP(northwind_order_details[[#This Row],[order_id]],northwind_orders[order_id],northwind_orders[ship_country])</f>
        <v>Germany</v>
      </c>
      <c r="G1788">
        <f>INDEX(northwind_orders[],MATCH(northwind_order_details[[#This Row],[order_id]], northwind_orders[order_id], 0), MATCH("employee_id", northwind_orders[#Headers], 0))</f>
        <v>6</v>
      </c>
      <c r="H1788">
        <f>northwind_order_details[[#This Row],[unit_price]]*northwind_order_details[[#This Row],[quantity]]</f>
        <v>133</v>
      </c>
      <c r="I1788" s="1">
        <f>northwind_order_details[[#This Row],[purchase amount]]*northwind_order_details[[#This Row],[discount]]</f>
        <v>0</v>
      </c>
      <c r="J1788" s="1">
        <f>northwind_order_details[[#This Row],[purchase amount]]-northwind_order_details[[#This Row],[discount amount]]</f>
        <v>133</v>
      </c>
      <c r="K1788" s="6" t="str">
        <f>IF(northwind_order_details[[#This Row],[discount amount]]&gt;0,"Yes","No")</f>
        <v>No</v>
      </c>
      <c r="L1788" s="1" t="str">
        <f>IF(northwind_order_details[[#This Row],[Revenue]]&gt;1000,"High",IF(northwind_order_details[[#This Row],[Revenue]]&gt;300,"Medium","Low"))</f>
        <v>Low</v>
      </c>
      <c r="M17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89" spans="1:13" x14ac:dyDescent="0.25">
      <c r="A1789">
        <v>10956</v>
      </c>
      <c r="B1789">
        <v>51</v>
      </c>
      <c r="C1789" s="6" t="s">
        <v>39</v>
      </c>
      <c r="D1789">
        <v>8</v>
      </c>
      <c r="E1789" s="6" t="s">
        <v>6</v>
      </c>
      <c r="F1789" t="str">
        <f>_xlfn.XLOOKUP(northwind_order_details[[#This Row],[order_id]],northwind_orders[order_id],northwind_orders[ship_country])</f>
        <v>Germany</v>
      </c>
      <c r="G1789">
        <f>INDEX(northwind_orders[],MATCH(northwind_order_details[[#This Row],[order_id]], northwind_orders[order_id], 0), MATCH("employee_id", northwind_orders[#Headers], 0))</f>
        <v>6</v>
      </c>
      <c r="H1789">
        <f>northwind_order_details[[#This Row],[unit_price]]*northwind_order_details[[#This Row],[quantity]]</f>
        <v>424</v>
      </c>
      <c r="I1789" s="1">
        <f>northwind_order_details[[#This Row],[purchase amount]]*northwind_order_details[[#This Row],[discount]]</f>
        <v>0</v>
      </c>
      <c r="J1789" s="1">
        <f>northwind_order_details[[#This Row],[purchase amount]]-northwind_order_details[[#This Row],[discount amount]]</f>
        <v>424</v>
      </c>
      <c r="K1789" s="6" t="str">
        <f>IF(northwind_order_details[[#This Row],[discount amount]]&gt;0,"Yes","No")</f>
        <v>No</v>
      </c>
      <c r="L1789" s="1" t="str">
        <f>IF(northwind_order_details[[#This Row],[Revenue]]&gt;1000,"High",IF(northwind_order_details[[#This Row],[Revenue]]&gt;300,"Medium","Low"))</f>
        <v>Medium</v>
      </c>
      <c r="M17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90" spans="1:13" x14ac:dyDescent="0.25">
      <c r="A1790">
        <v>10957</v>
      </c>
      <c r="B1790">
        <v>30</v>
      </c>
      <c r="C1790" s="6">
        <v>25.89</v>
      </c>
      <c r="D1790">
        <v>30</v>
      </c>
      <c r="E1790" s="6" t="s">
        <v>6</v>
      </c>
      <c r="F1790" t="str">
        <f>_xlfn.XLOOKUP(northwind_order_details[[#This Row],[order_id]],northwind_orders[order_id],northwind_orders[ship_country])</f>
        <v>Venezuela</v>
      </c>
      <c r="G1790">
        <f>INDEX(northwind_orders[],MATCH(northwind_order_details[[#This Row],[order_id]], northwind_orders[order_id], 0), MATCH("employee_id", northwind_orders[#Headers], 0))</f>
        <v>8</v>
      </c>
      <c r="H1790">
        <f>northwind_order_details[[#This Row],[unit_price]]*northwind_order_details[[#This Row],[quantity]]</f>
        <v>776.7</v>
      </c>
      <c r="I1790" s="1">
        <f>northwind_order_details[[#This Row],[purchase amount]]*northwind_order_details[[#This Row],[discount]]</f>
        <v>0</v>
      </c>
      <c r="J1790" s="1">
        <f>northwind_order_details[[#This Row],[purchase amount]]-northwind_order_details[[#This Row],[discount amount]]</f>
        <v>776.7</v>
      </c>
      <c r="K1790" s="6" t="str">
        <f>IF(northwind_order_details[[#This Row],[discount amount]]&gt;0,"Yes","No")</f>
        <v>No</v>
      </c>
      <c r="L1790" s="1" t="str">
        <f>IF(northwind_order_details[[#This Row],[Revenue]]&gt;1000,"High",IF(northwind_order_details[[#This Row],[Revenue]]&gt;300,"Medium","Low"))</f>
        <v>Medium</v>
      </c>
      <c r="M17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1" spans="1:13" x14ac:dyDescent="0.25">
      <c r="A1791">
        <v>10957</v>
      </c>
      <c r="B1791">
        <v>35</v>
      </c>
      <c r="C1791" s="6" t="s">
        <v>24</v>
      </c>
      <c r="D1791">
        <v>40</v>
      </c>
      <c r="E1791" s="6" t="s">
        <v>6</v>
      </c>
      <c r="F1791" t="str">
        <f>_xlfn.XLOOKUP(northwind_order_details[[#This Row],[order_id]],northwind_orders[order_id],northwind_orders[ship_country])</f>
        <v>Venezuela</v>
      </c>
      <c r="G1791">
        <f>INDEX(northwind_orders[],MATCH(northwind_order_details[[#This Row],[order_id]], northwind_orders[order_id], 0), MATCH("employee_id", northwind_orders[#Headers], 0))</f>
        <v>8</v>
      </c>
      <c r="H1791">
        <f>northwind_order_details[[#This Row],[unit_price]]*northwind_order_details[[#This Row],[quantity]]</f>
        <v>720</v>
      </c>
      <c r="I1791" s="1">
        <f>northwind_order_details[[#This Row],[purchase amount]]*northwind_order_details[[#This Row],[discount]]</f>
        <v>0</v>
      </c>
      <c r="J1791" s="1">
        <f>northwind_order_details[[#This Row],[purchase amount]]-northwind_order_details[[#This Row],[discount amount]]</f>
        <v>720</v>
      </c>
      <c r="K1791" s="6" t="str">
        <f>IF(northwind_order_details[[#This Row],[discount amount]]&gt;0,"Yes","No")</f>
        <v>No</v>
      </c>
      <c r="L1791" s="1" t="str">
        <f>IF(northwind_order_details[[#This Row],[Revenue]]&gt;1000,"High",IF(northwind_order_details[[#This Row],[Revenue]]&gt;300,"Medium","Low"))</f>
        <v>Medium</v>
      </c>
      <c r="M179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92" spans="1:13" x14ac:dyDescent="0.25">
      <c r="A1792">
        <v>10957</v>
      </c>
      <c r="B1792">
        <v>64</v>
      </c>
      <c r="C1792" s="6">
        <v>33.25</v>
      </c>
      <c r="D1792">
        <v>8</v>
      </c>
      <c r="E1792" s="6" t="s">
        <v>6</v>
      </c>
      <c r="F1792" t="str">
        <f>_xlfn.XLOOKUP(northwind_order_details[[#This Row],[order_id]],northwind_orders[order_id],northwind_orders[ship_country])</f>
        <v>Venezuela</v>
      </c>
      <c r="G1792">
        <f>INDEX(northwind_orders[],MATCH(northwind_order_details[[#This Row],[order_id]], northwind_orders[order_id], 0), MATCH("employee_id", northwind_orders[#Headers], 0))</f>
        <v>8</v>
      </c>
      <c r="H1792">
        <f>northwind_order_details[[#This Row],[unit_price]]*northwind_order_details[[#This Row],[quantity]]</f>
        <v>266</v>
      </c>
      <c r="I1792" s="1">
        <f>northwind_order_details[[#This Row],[purchase amount]]*northwind_order_details[[#This Row],[discount]]</f>
        <v>0</v>
      </c>
      <c r="J1792" s="1">
        <f>northwind_order_details[[#This Row],[purchase amount]]-northwind_order_details[[#This Row],[discount amount]]</f>
        <v>266</v>
      </c>
      <c r="K1792" s="6" t="str">
        <f>IF(northwind_order_details[[#This Row],[discount amount]]&gt;0,"Yes","No")</f>
        <v>No</v>
      </c>
      <c r="L1792" s="1" t="str">
        <f>IF(northwind_order_details[[#This Row],[Revenue]]&gt;1000,"High",IF(northwind_order_details[[#This Row],[Revenue]]&gt;300,"Medium","Low"))</f>
        <v>Low</v>
      </c>
      <c r="M179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3" spans="1:13" x14ac:dyDescent="0.25">
      <c r="A1793">
        <v>10958</v>
      </c>
      <c r="B1793">
        <v>5</v>
      </c>
      <c r="C1793" s="6">
        <v>21.35</v>
      </c>
      <c r="D1793">
        <v>20</v>
      </c>
      <c r="E1793" s="6" t="s">
        <v>6</v>
      </c>
      <c r="F1793" t="str">
        <f>_xlfn.XLOOKUP(northwind_order_details[[#This Row],[order_id]],northwind_orders[order_id],northwind_orders[ship_country])</f>
        <v>Argentina</v>
      </c>
      <c r="G1793">
        <f>INDEX(northwind_orders[],MATCH(northwind_order_details[[#This Row],[order_id]], northwind_orders[order_id], 0), MATCH("employee_id", northwind_orders[#Headers], 0))</f>
        <v>7</v>
      </c>
      <c r="H1793">
        <f>northwind_order_details[[#This Row],[unit_price]]*northwind_order_details[[#This Row],[quantity]]</f>
        <v>427</v>
      </c>
      <c r="I1793" s="1">
        <f>northwind_order_details[[#This Row],[purchase amount]]*northwind_order_details[[#This Row],[discount]]</f>
        <v>0</v>
      </c>
      <c r="J1793" s="1">
        <f>northwind_order_details[[#This Row],[purchase amount]]-northwind_order_details[[#This Row],[discount amount]]</f>
        <v>427</v>
      </c>
      <c r="K1793" s="6" t="str">
        <f>IF(northwind_order_details[[#This Row],[discount amount]]&gt;0,"Yes","No")</f>
        <v>No</v>
      </c>
      <c r="L1793" s="1" t="str">
        <f>IF(northwind_order_details[[#This Row],[Revenue]]&gt;1000,"High",IF(northwind_order_details[[#This Row],[Revenue]]&gt;300,"Medium","Low"))</f>
        <v>Medium</v>
      </c>
      <c r="M179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4" spans="1:13" x14ac:dyDescent="0.25">
      <c r="A1794">
        <v>10958</v>
      </c>
      <c r="B1794">
        <v>7</v>
      </c>
      <c r="C1794" s="6" t="s">
        <v>26</v>
      </c>
      <c r="D1794">
        <v>6</v>
      </c>
      <c r="E1794" s="6" t="s">
        <v>6</v>
      </c>
      <c r="F1794" t="str">
        <f>_xlfn.XLOOKUP(northwind_order_details[[#This Row],[order_id]],northwind_orders[order_id],northwind_orders[ship_country])</f>
        <v>Argentina</v>
      </c>
      <c r="G1794">
        <f>INDEX(northwind_orders[],MATCH(northwind_order_details[[#This Row],[order_id]], northwind_orders[order_id], 0), MATCH("employee_id", northwind_orders[#Headers], 0))</f>
        <v>7</v>
      </c>
      <c r="H1794">
        <f>northwind_order_details[[#This Row],[unit_price]]*northwind_order_details[[#This Row],[quantity]]</f>
        <v>180</v>
      </c>
      <c r="I1794" s="1">
        <f>northwind_order_details[[#This Row],[purchase amount]]*northwind_order_details[[#This Row],[discount]]</f>
        <v>0</v>
      </c>
      <c r="J1794" s="1">
        <f>northwind_order_details[[#This Row],[purchase amount]]-northwind_order_details[[#This Row],[discount amount]]</f>
        <v>180</v>
      </c>
      <c r="K1794" s="6" t="str">
        <f>IF(northwind_order_details[[#This Row],[discount amount]]&gt;0,"Yes","No")</f>
        <v>No</v>
      </c>
      <c r="L1794" s="1" t="str">
        <f>IF(northwind_order_details[[#This Row],[Revenue]]&gt;1000,"High",IF(northwind_order_details[[#This Row],[Revenue]]&gt;300,"Medium","Low"))</f>
        <v>Low</v>
      </c>
      <c r="M17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795" spans="1:13" x14ac:dyDescent="0.25">
      <c r="A1795">
        <v>10958</v>
      </c>
      <c r="B1795">
        <v>72</v>
      </c>
      <c r="C1795" s="6">
        <v>34.799999999999997</v>
      </c>
      <c r="D1795">
        <v>5</v>
      </c>
      <c r="E1795" s="6" t="s">
        <v>6</v>
      </c>
      <c r="F1795" t="str">
        <f>_xlfn.XLOOKUP(northwind_order_details[[#This Row],[order_id]],northwind_orders[order_id],northwind_orders[ship_country])</f>
        <v>Argentina</v>
      </c>
      <c r="G1795">
        <f>INDEX(northwind_orders[],MATCH(northwind_order_details[[#This Row],[order_id]], northwind_orders[order_id], 0), MATCH("employee_id", northwind_orders[#Headers], 0))</f>
        <v>7</v>
      </c>
      <c r="H1795">
        <f>northwind_order_details[[#This Row],[unit_price]]*northwind_order_details[[#This Row],[quantity]]</f>
        <v>174</v>
      </c>
      <c r="I1795" s="1">
        <f>northwind_order_details[[#This Row],[purchase amount]]*northwind_order_details[[#This Row],[discount]]</f>
        <v>0</v>
      </c>
      <c r="J1795" s="1">
        <f>northwind_order_details[[#This Row],[purchase amount]]-northwind_order_details[[#This Row],[discount amount]]</f>
        <v>174</v>
      </c>
      <c r="K1795" s="6" t="str">
        <f>IF(northwind_order_details[[#This Row],[discount amount]]&gt;0,"Yes","No")</f>
        <v>No</v>
      </c>
      <c r="L1795" s="1" t="str">
        <f>IF(northwind_order_details[[#This Row],[Revenue]]&gt;1000,"High",IF(northwind_order_details[[#This Row],[Revenue]]&gt;300,"Medium","Low"))</f>
        <v>Low</v>
      </c>
      <c r="M179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6" spans="1:13" x14ac:dyDescent="0.25">
      <c r="A1796">
        <v>10959</v>
      </c>
      <c r="B1796">
        <v>75</v>
      </c>
      <c r="C1796" s="6">
        <v>7.75</v>
      </c>
      <c r="D1796">
        <v>20</v>
      </c>
      <c r="E1796" s="6">
        <v>0.15</v>
      </c>
      <c r="F1796" t="str">
        <f>_xlfn.XLOOKUP(northwind_order_details[[#This Row],[order_id]],northwind_orders[order_id],northwind_orders[ship_country])</f>
        <v>Brazil</v>
      </c>
      <c r="G1796">
        <f>INDEX(northwind_orders[],MATCH(northwind_order_details[[#This Row],[order_id]], northwind_orders[order_id], 0), MATCH("employee_id", northwind_orders[#Headers], 0))</f>
        <v>6</v>
      </c>
      <c r="H1796">
        <f>northwind_order_details[[#This Row],[unit_price]]*northwind_order_details[[#This Row],[quantity]]</f>
        <v>155</v>
      </c>
      <c r="I1796" s="1">
        <f>northwind_order_details[[#This Row],[purchase amount]]*northwind_order_details[[#This Row],[discount]]</f>
        <v>23.25</v>
      </c>
      <c r="J1796" s="1">
        <f>northwind_order_details[[#This Row],[purchase amount]]-northwind_order_details[[#This Row],[discount amount]]</f>
        <v>131.75</v>
      </c>
      <c r="K1796" s="6" t="str">
        <f>IF(northwind_order_details[[#This Row],[discount amount]]&gt;0,"Yes","No")</f>
        <v>Yes</v>
      </c>
      <c r="L1796" s="1" t="str">
        <f>IF(northwind_order_details[[#This Row],[Revenue]]&gt;1000,"High",IF(northwind_order_details[[#This Row],[Revenue]]&gt;300,"Medium","Low"))</f>
        <v>Low</v>
      </c>
      <c r="M179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7" spans="1:13" x14ac:dyDescent="0.25">
      <c r="A1797">
        <v>10960</v>
      </c>
      <c r="B1797">
        <v>24</v>
      </c>
      <c r="C1797" s="6">
        <v>4.5</v>
      </c>
      <c r="D1797">
        <v>10</v>
      </c>
      <c r="E1797" s="6">
        <v>0.25</v>
      </c>
      <c r="F1797" t="str">
        <f>_xlfn.XLOOKUP(northwind_order_details[[#This Row],[order_id]],northwind_orders[order_id],northwind_orders[ship_country])</f>
        <v>Venezuela</v>
      </c>
      <c r="G1797">
        <f>INDEX(northwind_orders[],MATCH(northwind_order_details[[#This Row],[order_id]], northwind_orders[order_id], 0), MATCH("employee_id", northwind_orders[#Headers], 0))</f>
        <v>3</v>
      </c>
      <c r="H1797">
        <f>northwind_order_details[[#This Row],[unit_price]]*northwind_order_details[[#This Row],[quantity]]</f>
        <v>45</v>
      </c>
      <c r="I1797" s="1">
        <f>northwind_order_details[[#This Row],[purchase amount]]*northwind_order_details[[#This Row],[discount]]</f>
        <v>11.25</v>
      </c>
      <c r="J1797" s="1">
        <f>northwind_order_details[[#This Row],[purchase amount]]-northwind_order_details[[#This Row],[discount amount]]</f>
        <v>33.75</v>
      </c>
      <c r="K1797" s="6" t="str">
        <f>IF(northwind_order_details[[#This Row],[discount amount]]&gt;0,"Yes","No")</f>
        <v>Yes</v>
      </c>
      <c r="L1797" s="1" t="str">
        <f>IF(northwind_order_details[[#This Row],[Revenue]]&gt;1000,"High",IF(northwind_order_details[[#This Row],[Revenue]]&gt;300,"Medium","Low"))</f>
        <v>Low</v>
      </c>
      <c r="M179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8" spans="1:13" x14ac:dyDescent="0.25">
      <c r="A1798">
        <v>10960</v>
      </c>
      <c r="B1798">
        <v>41</v>
      </c>
      <c r="C1798" s="6">
        <v>9.65</v>
      </c>
      <c r="D1798">
        <v>24</v>
      </c>
      <c r="E1798" s="6" t="s">
        <v>6</v>
      </c>
      <c r="F1798" t="str">
        <f>_xlfn.XLOOKUP(northwind_order_details[[#This Row],[order_id]],northwind_orders[order_id],northwind_orders[ship_country])</f>
        <v>Venezuela</v>
      </c>
      <c r="G1798">
        <f>INDEX(northwind_orders[],MATCH(northwind_order_details[[#This Row],[order_id]], northwind_orders[order_id], 0), MATCH("employee_id", northwind_orders[#Headers], 0))</f>
        <v>3</v>
      </c>
      <c r="H1798">
        <f>northwind_order_details[[#This Row],[unit_price]]*northwind_order_details[[#This Row],[quantity]]</f>
        <v>231.60000000000002</v>
      </c>
      <c r="I1798" s="1">
        <f>northwind_order_details[[#This Row],[purchase amount]]*northwind_order_details[[#This Row],[discount]]</f>
        <v>0</v>
      </c>
      <c r="J1798" s="1">
        <f>northwind_order_details[[#This Row],[purchase amount]]-northwind_order_details[[#This Row],[discount amount]]</f>
        <v>231.60000000000002</v>
      </c>
      <c r="K1798" s="6" t="str">
        <f>IF(northwind_order_details[[#This Row],[discount amount]]&gt;0,"Yes","No")</f>
        <v>No</v>
      </c>
      <c r="L1798" s="1" t="str">
        <f>IF(northwind_order_details[[#This Row],[Revenue]]&gt;1000,"High",IF(northwind_order_details[[#This Row],[Revenue]]&gt;300,"Medium","Low"))</f>
        <v>Low</v>
      </c>
      <c r="M179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799" spans="1:13" x14ac:dyDescent="0.25">
      <c r="A1799">
        <v>10961</v>
      </c>
      <c r="B1799">
        <v>52</v>
      </c>
      <c r="C1799" s="6" t="s">
        <v>32</v>
      </c>
      <c r="D1799">
        <v>6</v>
      </c>
      <c r="E1799" s="6">
        <v>0.05</v>
      </c>
      <c r="F1799" t="str">
        <f>_xlfn.XLOOKUP(northwind_order_details[[#This Row],[order_id]],northwind_orders[order_id],northwind_orders[ship_country])</f>
        <v>Brazil</v>
      </c>
      <c r="G1799">
        <f>INDEX(northwind_orders[],MATCH(northwind_order_details[[#This Row],[order_id]], northwind_orders[order_id], 0), MATCH("employee_id", northwind_orders[#Headers], 0))</f>
        <v>8</v>
      </c>
      <c r="H1799">
        <f>northwind_order_details[[#This Row],[unit_price]]*northwind_order_details[[#This Row],[quantity]]</f>
        <v>42</v>
      </c>
      <c r="I1799" s="1">
        <f>northwind_order_details[[#This Row],[purchase amount]]*northwind_order_details[[#This Row],[discount]]</f>
        <v>2.1</v>
      </c>
      <c r="J1799" s="1">
        <f>northwind_order_details[[#This Row],[purchase amount]]-northwind_order_details[[#This Row],[discount amount]]</f>
        <v>39.9</v>
      </c>
      <c r="K1799" s="6" t="str">
        <f>IF(northwind_order_details[[#This Row],[discount amount]]&gt;0,"Yes","No")</f>
        <v>Yes</v>
      </c>
      <c r="L1799" s="1" t="str">
        <f>IF(northwind_order_details[[#This Row],[Revenue]]&gt;1000,"High",IF(northwind_order_details[[#This Row],[Revenue]]&gt;300,"Medium","Low"))</f>
        <v>Low</v>
      </c>
      <c r="M17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0" spans="1:13" x14ac:dyDescent="0.25">
      <c r="A1800">
        <v>10961</v>
      </c>
      <c r="B1800">
        <v>76</v>
      </c>
      <c r="C1800" s="6" t="s">
        <v>24</v>
      </c>
      <c r="D1800">
        <v>60</v>
      </c>
      <c r="E1800" s="6" t="s">
        <v>6</v>
      </c>
      <c r="F1800" t="str">
        <f>_xlfn.XLOOKUP(northwind_order_details[[#This Row],[order_id]],northwind_orders[order_id],northwind_orders[ship_country])</f>
        <v>Brazil</v>
      </c>
      <c r="G1800">
        <f>INDEX(northwind_orders[],MATCH(northwind_order_details[[#This Row],[order_id]], northwind_orders[order_id], 0), MATCH("employee_id", northwind_orders[#Headers], 0))</f>
        <v>8</v>
      </c>
      <c r="H1800">
        <f>northwind_order_details[[#This Row],[unit_price]]*northwind_order_details[[#This Row],[quantity]]</f>
        <v>1080</v>
      </c>
      <c r="I1800" s="1">
        <f>northwind_order_details[[#This Row],[purchase amount]]*northwind_order_details[[#This Row],[discount]]</f>
        <v>0</v>
      </c>
      <c r="J1800" s="1">
        <f>northwind_order_details[[#This Row],[purchase amount]]-northwind_order_details[[#This Row],[discount amount]]</f>
        <v>1080</v>
      </c>
      <c r="K1800" s="6" t="str">
        <f>IF(northwind_order_details[[#This Row],[discount amount]]&gt;0,"Yes","No")</f>
        <v>No</v>
      </c>
      <c r="L1800" s="1" t="str">
        <f>IF(northwind_order_details[[#This Row],[Revenue]]&gt;1000,"High",IF(northwind_order_details[[#This Row],[Revenue]]&gt;300,"Medium","Low"))</f>
        <v>High</v>
      </c>
      <c r="M18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1" spans="1:13" x14ac:dyDescent="0.25">
      <c r="A1801">
        <v>10962</v>
      </c>
      <c r="B1801">
        <v>7</v>
      </c>
      <c r="C1801" s="6" t="s">
        <v>26</v>
      </c>
      <c r="D1801">
        <v>45</v>
      </c>
      <c r="E1801" s="6" t="s">
        <v>6</v>
      </c>
      <c r="F1801" t="str">
        <f>_xlfn.XLOOKUP(northwind_order_details[[#This Row],[order_id]],northwind_orders[order_id],northwind_orders[ship_country])</f>
        <v>Germany</v>
      </c>
      <c r="G1801">
        <f>INDEX(northwind_orders[],MATCH(northwind_order_details[[#This Row],[order_id]], northwind_orders[order_id], 0), MATCH("employee_id", northwind_orders[#Headers], 0))</f>
        <v>8</v>
      </c>
      <c r="H1801">
        <f>northwind_order_details[[#This Row],[unit_price]]*northwind_order_details[[#This Row],[quantity]]</f>
        <v>1350</v>
      </c>
      <c r="I1801" s="1">
        <f>northwind_order_details[[#This Row],[purchase amount]]*northwind_order_details[[#This Row],[discount]]</f>
        <v>0</v>
      </c>
      <c r="J1801" s="1">
        <f>northwind_order_details[[#This Row],[purchase amount]]-northwind_order_details[[#This Row],[discount amount]]</f>
        <v>1350</v>
      </c>
      <c r="K1801" s="6" t="str">
        <f>IF(northwind_order_details[[#This Row],[discount amount]]&gt;0,"Yes","No")</f>
        <v>No</v>
      </c>
      <c r="L1801" s="1" t="str">
        <f>IF(northwind_order_details[[#This Row],[Revenue]]&gt;1000,"High",IF(northwind_order_details[[#This Row],[Revenue]]&gt;300,"Medium","Low"))</f>
        <v>High</v>
      </c>
      <c r="M18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2" spans="1:13" x14ac:dyDescent="0.25">
      <c r="A1802">
        <v>10962</v>
      </c>
      <c r="B1802">
        <v>13</v>
      </c>
      <c r="C1802" s="6" t="s">
        <v>23</v>
      </c>
      <c r="D1802">
        <v>77</v>
      </c>
      <c r="E1802" s="6" t="s">
        <v>6</v>
      </c>
      <c r="F1802" t="str">
        <f>_xlfn.XLOOKUP(northwind_order_details[[#This Row],[order_id]],northwind_orders[order_id],northwind_orders[ship_country])</f>
        <v>Germany</v>
      </c>
      <c r="G1802">
        <f>INDEX(northwind_orders[],MATCH(northwind_order_details[[#This Row],[order_id]], northwind_orders[order_id], 0), MATCH("employee_id", northwind_orders[#Headers], 0))</f>
        <v>8</v>
      </c>
      <c r="H1802">
        <f>northwind_order_details[[#This Row],[unit_price]]*northwind_order_details[[#This Row],[quantity]]</f>
        <v>462</v>
      </c>
      <c r="I1802" s="1">
        <f>northwind_order_details[[#This Row],[purchase amount]]*northwind_order_details[[#This Row],[discount]]</f>
        <v>0</v>
      </c>
      <c r="J1802" s="1">
        <f>northwind_order_details[[#This Row],[purchase amount]]-northwind_order_details[[#This Row],[discount amount]]</f>
        <v>462</v>
      </c>
      <c r="K1802" s="6" t="str">
        <f>IF(northwind_order_details[[#This Row],[discount amount]]&gt;0,"Yes","No")</f>
        <v>No</v>
      </c>
      <c r="L1802" s="1" t="str">
        <f>IF(northwind_order_details[[#This Row],[Revenue]]&gt;1000,"High",IF(northwind_order_details[[#This Row],[Revenue]]&gt;300,"Medium","Low"))</f>
        <v>Medium</v>
      </c>
      <c r="M18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3" spans="1:13" x14ac:dyDescent="0.25">
      <c r="A1803">
        <v>10962</v>
      </c>
      <c r="B1803">
        <v>53</v>
      </c>
      <c r="C1803" s="6">
        <v>32.799999999999997</v>
      </c>
      <c r="D1803">
        <v>20</v>
      </c>
      <c r="E1803" s="6" t="s">
        <v>6</v>
      </c>
      <c r="F1803" t="str">
        <f>_xlfn.XLOOKUP(northwind_order_details[[#This Row],[order_id]],northwind_orders[order_id],northwind_orders[ship_country])</f>
        <v>Germany</v>
      </c>
      <c r="G1803">
        <f>INDEX(northwind_orders[],MATCH(northwind_order_details[[#This Row],[order_id]], northwind_orders[order_id], 0), MATCH("employee_id", northwind_orders[#Headers], 0))</f>
        <v>8</v>
      </c>
      <c r="H1803">
        <f>northwind_order_details[[#This Row],[unit_price]]*northwind_order_details[[#This Row],[quantity]]</f>
        <v>656</v>
      </c>
      <c r="I1803" s="1">
        <f>northwind_order_details[[#This Row],[purchase amount]]*northwind_order_details[[#This Row],[discount]]</f>
        <v>0</v>
      </c>
      <c r="J1803" s="1">
        <f>northwind_order_details[[#This Row],[purchase amount]]-northwind_order_details[[#This Row],[discount amount]]</f>
        <v>656</v>
      </c>
      <c r="K1803" s="6" t="str">
        <f>IF(northwind_order_details[[#This Row],[discount amount]]&gt;0,"Yes","No")</f>
        <v>No</v>
      </c>
      <c r="L1803" s="1" t="str">
        <f>IF(northwind_order_details[[#This Row],[Revenue]]&gt;1000,"High",IF(northwind_order_details[[#This Row],[Revenue]]&gt;300,"Medium","Low"))</f>
        <v>Medium</v>
      </c>
      <c r="M180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04" spans="1:13" x14ac:dyDescent="0.25">
      <c r="A1804">
        <v>10962</v>
      </c>
      <c r="B1804">
        <v>69</v>
      </c>
      <c r="C1804" s="6" t="s">
        <v>38</v>
      </c>
      <c r="D1804">
        <v>9</v>
      </c>
      <c r="E1804" s="6" t="s">
        <v>6</v>
      </c>
      <c r="F1804" t="str">
        <f>_xlfn.XLOOKUP(northwind_order_details[[#This Row],[order_id]],northwind_orders[order_id],northwind_orders[ship_country])</f>
        <v>Germany</v>
      </c>
      <c r="G1804">
        <f>INDEX(northwind_orders[],MATCH(northwind_order_details[[#This Row],[order_id]], northwind_orders[order_id], 0), MATCH("employee_id", northwind_orders[#Headers], 0))</f>
        <v>8</v>
      </c>
      <c r="H1804">
        <f>northwind_order_details[[#This Row],[unit_price]]*northwind_order_details[[#This Row],[quantity]]</f>
        <v>324</v>
      </c>
      <c r="I1804" s="1">
        <f>northwind_order_details[[#This Row],[purchase amount]]*northwind_order_details[[#This Row],[discount]]</f>
        <v>0</v>
      </c>
      <c r="J1804" s="1">
        <f>northwind_order_details[[#This Row],[purchase amount]]-northwind_order_details[[#This Row],[discount amount]]</f>
        <v>324</v>
      </c>
      <c r="K1804" s="6" t="str">
        <f>IF(northwind_order_details[[#This Row],[discount amount]]&gt;0,"Yes","No")</f>
        <v>No</v>
      </c>
      <c r="L1804" s="1" t="str">
        <f>IF(northwind_order_details[[#This Row],[Revenue]]&gt;1000,"High",IF(northwind_order_details[[#This Row],[Revenue]]&gt;300,"Medium","Low"))</f>
        <v>Medium</v>
      </c>
      <c r="M18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5" spans="1:13" x14ac:dyDescent="0.25">
      <c r="A1805">
        <v>10962</v>
      </c>
      <c r="B1805">
        <v>76</v>
      </c>
      <c r="C1805" s="6" t="s">
        <v>24</v>
      </c>
      <c r="D1805">
        <v>44</v>
      </c>
      <c r="E1805" s="6" t="s">
        <v>6</v>
      </c>
      <c r="F1805" t="str">
        <f>_xlfn.XLOOKUP(northwind_order_details[[#This Row],[order_id]],northwind_orders[order_id],northwind_orders[ship_country])</f>
        <v>Germany</v>
      </c>
      <c r="G1805">
        <f>INDEX(northwind_orders[],MATCH(northwind_order_details[[#This Row],[order_id]], northwind_orders[order_id], 0), MATCH("employee_id", northwind_orders[#Headers], 0))</f>
        <v>8</v>
      </c>
      <c r="H1805">
        <f>northwind_order_details[[#This Row],[unit_price]]*northwind_order_details[[#This Row],[quantity]]</f>
        <v>792</v>
      </c>
      <c r="I1805" s="1">
        <f>northwind_order_details[[#This Row],[purchase amount]]*northwind_order_details[[#This Row],[discount]]</f>
        <v>0</v>
      </c>
      <c r="J1805" s="1">
        <f>northwind_order_details[[#This Row],[purchase amount]]-northwind_order_details[[#This Row],[discount amount]]</f>
        <v>792</v>
      </c>
      <c r="K1805" s="6" t="str">
        <f>IF(northwind_order_details[[#This Row],[discount amount]]&gt;0,"Yes","No")</f>
        <v>No</v>
      </c>
      <c r="L1805" s="1" t="str">
        <f>IF(northwind_order_details[[#This Row],[Revenue]]&gt;1000,"High",IF(northwind_order_details[[#This Row],[Revenue]]&gt;300,"Medium","Low"))</f>
        <v>Medium</v>
      </c>
      <c r="M18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6" spans="1:13" x14ac:dyDescent="0.25">
      <c r="A1806">
        <v>10963</v>
      </c>
      <c r="B1806">
        <v>60</v>
      </c>
      <c r="C1806" s="6" t="s">
        <v>28</v>
      </c>
      <c r="D1806">
        <v>2</v>
      </c>
      <c r="E1806" s="6">
        <v>0.15</v>
      </c>
      <c r="F1806" t="str">
        <f>_xlfn.XLOOKUP(northwind_order_details[[#This Row],[order_id]],northwind_orders[order_id],northwind_orders[ship_country])</f>
        <v>Portugal</v>
      </c>
      <c r="G1806">
        <f>INDEX(northwind_orders[],MATCH(northwind_order_details[[#This Row],[order_id]], northwind_orders[order_id], 0), MATCH("employee_id", northwind_orders[#Headers], 0))</f>
        <v>9</v>
      </c>
      <c r="H1806">
        <f>northwind_order_details[[#This Row],[unit_price]]*northwind_order_details[[#This Row],[quantity]]</f>
        <v>68</v>
      </c>
      <c r="I1806" s="1">
        <f>northwind_order_details[[#This Row],[purchase amount]]*northwind_order_details[[#This Row],[discount]]</f>
        <v>10.199999999999999</v>
      </c>
      <c r="J1806" s="1">
        <f>northwind_order_details[[#This Row],[purchase amount]]-northwind_order_details[[#This Row],[discount amount]]</f>
        <v>57.8</v>
      </c>
      <c r="K1806" s="6" t="str">
        <f>IF(northwind_order_details[[#This Row],[discount amount]]&gt;0,"Yes","No")</f>
        <v>Yes</v>
      </c>
      <c r="L1806" s="1" t="str">
        <f>IF(northwind_order_details[[#This Row],[Revenue]]&gt;1000,"High",IF(northwind_order_details[[#This Row],[Revenue]]&gt;300,"Medium","Low"))</f>
        <v>Low</v>
      </c>
      <c r="M18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07" spans="1:13" x14ac:dyDescent="0.25">
      <c r="A1807">
        <v>10964</v>
      </c>
      <c r="B1807">
        <v>18</v>
      </c>
      <c r="C1807" s="6">
        <v>62.5</v>
      </c>
      <c r="D1807">
        <v>6</v>
      </c>
      <c r="E1807" s="6" t="s">
        <v>6</v>
      </c>
      <c r="F1807" t="str">
        <f>_xlfn.XLOOKUP(northwind_order_details[[#This Row],[order_id]],northwind_orders[order_id],northwind_orders[ship_country])</f>
        <v>France</v>
      </c>
      <c r="G1807">
        <f>INDEX(northwind_orders[],MATCH(northwind_order_details[[#This Row],[order_id]], northwind_orders[order_id], 0), MATCH("employee_id", northwind_orders[#Headers], 0))</f>
        <v>3</v>
      </c>
      <c r="H1807">
        <f>northwind_order_details[[#This Row],[unit_price]]*northwind_order_details[[#This Row],[quantity]]</f>
        <v>375</v>
      </c>
      <c r="I1807" s="1">
        <f>northwind_order_details[[#This Row],[purchase amount]]*northwind_order_details[[#This Row],[discount]]</f>
        <v>0</v>
      </c>
      <c r="J1807" s="1">
        <f>northwind_order_details[[#This Row],[purchase amount]]-northwind_order_details[[#This Row],[discount amount]]</f>
        <v>375</v>
      </c>
      <c r="K1807" s="6" t="str">
        <f>IF(northwind_order_details[[#This Row],[discount amount]]&gt;0,"Yes","No")</f>
        <v>No</v>
      </c>
      <c r="L1807" s="1" t="str">
        <f>IF(northwind_order_details[[#This Row],[Revenue]]&gt;1000,"High",IF(northwind_order_details[[#This Row],[Revenue]]&gt;300,"Medium","Low"))</f>
        <v>Medium</v>
      </c>
      <c r="M180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08" spans="1:13" x14ac:dyDescent="0.25">
      <c r="A1808">
        <v>10964</v>
      </c>
      <c r="B1808">
        <v>38</v>
      </c>
      <c r="C1808" s="6">
        <v>263.5</v>
      </c>
      <c r="D1808">
        <v>5</v>
      </c>
      <c r="E1808" s="6" t="s">
        <v>6</v>
      </c>
      <c r="F1808" t="str">
        <f>_xlfn.XLOOKUP(northwind_order_details[[#This Row],[order_id]],northwind_orders[order_id],northwind_orders[ship_country])</f>
        <v>France</v>
      </c>
      <c r="G1808">
        <f>INDEX(northwind_orders[],MATCH(northwind_order_details[[#This Row],[order_id]], northwind_orders[order_id], 0), MATCH("employee_id", northwind_orders[#Headers], 0))</f>
        <v>3</v>
      </c>
      <c r="H1808">
        <f>northwind_order_details[[#This Row],[unit_price]]*northwind_order_details[[#This Row],[quantity]]</f>
        <v>1317.5</v>
      </c>
      <c r="I1808" s="1">
        <f>northwind_order_details[[#This Row],[purchase amount]]*northwind_order_details[[#This Row],[discount]]</f>
        <v>0</v>
      </c>
      <c r="J1808" s="1">
        <f>northwind_order_details[[#This Row],[purchase amount]]-northwind_order_details[[#This Row],[discount amount]]</f>
        <v>1317.5</v>
      </c>
      <c r="K1808" s="6" t="str">
        <f>IF(northwind_order_details[[#This Row],[discount amount]]&gt;0,"Yes","No")</f>
        <v>No</v>
      </c>
      <c r="L1808" s="1" t="str">
        <f>IF(northwind_order_details[[#This Row],[Revenue]]&gt;1000,"High",IF(northwind_order_details[[#This Row],[Revenue]]&gt;300,"Medium","Low"))</f>
        <v>High</v>
      </c>
      <c r="M18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09" spans="1:13" x14ac:dyDescent="0.25">
      <c r="A1809">
        <v>10964</v>
      </c>
      <c r="B1809">
        <v>69</v>
      </c>
      <c r="C1809" s="6" t="s">
        <v>38</v>
      </c>
      <c r="D1809">
        <v>10</v>
      </c>
      <c r="E1809" s="6" t="s">
        <v>6</v>
      </c>
      <c r="F1809" t="str">
        <f>_xlfn.XLOOKUP(northwind_order_details[[#This Row],[order_id]],northwind_orders[order_id],northwind_orders[ship_country])</f>
        <v>France</v>
      </c>
      <c r="G1809">
        <f>INDEX(northwind_orders[],MATCH(northwind_order_details[[#This Row],[order_id]], northwind_orders[order_id], 0), MATCH("employee_id", northwind_orders[#Headers], 0))</f>
        <v>3</v>
      </c>
      <c r="H1809">
        <f>northwind_order_details[[#This Row],[unit_price]]*northwind_order_details[[#This Row],[quantity]]</f>
        <v>360</v>
      </c>
      <c r="I1809" s="1">
        <f>northwind_order_details[[#This Row],[purchase amount]]*northwind_order_details[[#This Row],[discount]]</f>
        <v>0</v>
      </c>
      <c r="J1809" s="1">
        <f>northwind_order_details[[#This Row],[purchase amount]]-northwind_order_details[[#This Row],[discount amount]]</f>
        <v>360</v>
      </c>
      <c r="K1809" s="6" t="str">
        <f>IF(northwind_order_details[[#This Row],[discount amount]]&gt;0,"Yes","No")</f>
        <v>No</v>
      </c>
      <c r="L1809" s="1" t="str">
        <f>IF(northwind_order_details[[#This Row],[Revenue]]&gt;1000,"High",IF(northwind_order_details[[#This Row],[Revenue]]&gt;300,"Medium","Low"))</f>
        <v>Medium</v>
      </c>
      <c r="M180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0" spans="1:13" x14ac:dyDescent="0.25">
      <c r="A1810">
        <v>10965</v>
      </c>
      <c r="B1810">
        <v>51</v>
      </c>
      <c r="C1810" s="6" t="s">
        <v>39</v>
      </c>
      <c r="D1810">
        <v>16</v>
      </c>
      <c r="E1810" s="6" t="s">
        <v>6</v>
      </c>
      <c r="F1810" t="str">
        <f>_xlfn.XLOOKUP(northwind_order_details[[#This Row],[order_id]],northwind_orders[order_id],northwind_orders[ship_country])</f>
        <v>USA</v>
      </c>
      <c r="G1810">
        <f>INDEX(northwind_orders[],MATCH(northwind_order_details[[#This Row],[order_id]], northwind_orders[order_id], 0), MATCH("employee_id", northwind_orders[#Headers], 0))</f>
        <v>6</v>
      </c>
      <c r="H1810">
        <f>northwind_order_details[[#This Row],[unit_price]]*northwind_order_details[[#This Row],[quantity]]</f>
        <v>848</v>
      </c>
      <c r="I1810" s="1">
        <f>northwind_order_details[[#This Row],[purchase amount]]*northwind_order_details[[#This Row],[discount]]</f>
        <v>0</v>
      </c>
      <c r="J1810" s="1">
        <f>northwind_order_details[[#This Row],[purchase amount]]-northwind_order_details[[#This Row],[discount amount]]</f>
        <v>848</v>
      </c>
      <c r="K1810" s="6" t="str">
        <f>IF(northwind_order_details[[#This Row],[discount amount]]&gt;0,"Yes","No")</f>
        <v>No</v>
      </c>
      <c r="L1810" s="1" t="str">
        <f>IF(northwind_order_details[[#This Row],[Revenue]]&gt;1000,"High",IF(northwind_order_details[[#This Row],[Revenue]]&gt;300,"Medium","Low"))</f>
        <v>Medium</v>
      </c>
      <c r="M18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1" spans="1:13" x14ac:dyDescent="0.25">
      <c r="A1811">
        <v>10966</v>
      </c>
      <c r="B1811">
        <v>37</v>
      </c>
      <c r="C1811" s="6" t="s">
        <v>36</v>
      </c>
      <c r="D1811">
        <v>8</v>
      </c>
      <c r="E1811" s="6" t="s">
        <v>6</v>
      </c>
      <c r="F1811" t="str">
        <f>_xlfn.XLOOKUP(northwind_order_details[[#This Row],[order_id]],northwind_orders[order_id],northwind_orders[ship_country])</f>
        <v>Switzerland</v>
      </c>
      <c r="G1811">
        <f>INDEX(northwind_orders[],MATCH(northwind_order_details[[#This Row],[order_id]], northwind_orders[order_id], 0), MATCH("employee_id", northwind_orders[#Headers], 0))</f>
        <v>4</v>
      </c>
      <c r="H1811">
        <f>northwind_order_details[[#This Row],[unit_price]]*northwind_order_details[[#This Row],[quantity]]</f>
        <v>208</v>
      </c>
      <c r="I1811" s="1">
        <f>northwind_order_details[[#This Row],[purchase amount]]*northwind_order_details[[#This Row],[discount]]</f>
        <v>0</v>
      </c>
      <c r="J1811" s="1">
        <f>northwind_order_details[[#This Row],[purchase amount]]-northwind_order_details[[#This Row],[discount amount]]</f>
        <v>208</v>
      </c>
      <c r="K1811" s="6" t="str">
        <f>IF(northwind_order_details[[#This Row],[discount amount]]&gt;0,"Yes","No")</f>
        <v>No</v>
      </c>
      <c r="L1811" s="1" t="str">
        <f>IF(northwind_order_details[[#This Row],[Revenue]]&gt;1000,"High",IF(northwind_order_details[[#This Row],[Revenue]]&gt;300,"Medium","Low"))</f>
        <v>Low</v>
      </c>
      <c r="M18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2" spans="1:13" x14ac:dyDescent="0.25">
      <c r="A1812">
        <v>10966</v>
      </c>
      <c r="B1812">
        <v>56</v>
      </c>
      <c r="C1812" s="6" t="s">
        <v>30</v>
      </c>
      <c r="D1812">
        <v>12</v>
      </c>
      <c r="E1812" s="6">
        <v>0.15</v>
      </c>
      <c r="F1812" t="str">
        <f>_xlfn.XLOOKUP(northwind_order_details[[#This Row],[order_id]],northwind_orders[order_id],northwind_orders[ship_country])</f>
        <v>Switzerland</v>
      </c>
      <c r="G1812">
        <f>INDEX(northwind_orders[],MATCH(northwind_order_details[[#This Row],[order_id]], northwind_orders[order_id], 0), MATCH("employee_id", northwind_orders[#Headers], 0))</f>
        <v>4</v>
      </c>
      <c r="H1812">
        <f>northwind_order_details[[#This Row],[unit_price]]*northwind_order_details[[#This Row],[quantity]]</f>
        <v>456</v>
      </c>
      <c r="I1812" s="1">
        <f>northwind_order_details[[#This Row],[purchase amount]]*northwind_order_details[[#This Row],[discount]]</f>
        <v>68.399999999999991</v>
      </c>
      <c r="J1812" s="1">
        <f>northwind_order_details[[#This Row],[purchase amount]]-northwind_order_details[[#This Row],[discount amount]]</f>
        <v>387.6</v>
      </c>
      <c r="K1812" s="6" t="str">
        <f>IF(northwind_order_details[[#This Row],[discount amount]]&gt;0,"Yes","No")</f>
        <v>Yes</v>
      </c>
      <c r="L1812" s="1" t="str">
        <f>IF(northwind_order_details[[#This Row],[Revenue]]&gt;1000,"High",IF(northwind_order_details[[#This Row],[Revenue]]&gt;300,"Medium","Low"))</f>
        <v>Medium</v>
      </c>
      <c r="M18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3" spans="1:13" x14ac:dyDescent="0.25">
      <c r="A1813">
        <v>10966</v>
      </c>
      <c r="B1813">
        <v>62</v>
      </c>
      <c r="C1813" s="6">
        <v>49.3</v>
      </c>
      <c r="D1813">
        <v>12</v>
      </c>
      <c r="E1813" s="6">
        <v>0.15</v>
      </c>
      <c r="F1813" t="str">
        <f>_xlfn.XLOOKUP(northwind_order_details[[#This Row],[order_id]],northwind_orders[order_id],northwind_orders[ship_country])</f>
        <v>Switzerland</v>
      </c>
      <c r="G1813">
        <f>INDEX(northwind_orders[],MATCH(northwind_order_details[[#This Row],[order_id]], northwind_orders[order_id], 0), MATCH("employee_id", northwind_orders[#Headers], 0))</f>
        <v>4</v>
      </c>
      <c r="H1813">
        <f>northwind_order_details[[#This Row],[unit_price]]*northwind_order_details[[#This Row],[quantity]]</f>
        <v>591.59999999999991</v>
      </c>
      <c r="I1813" s="1">
        <f>northwind_order_details[[#This Row],[purchase amount]]*northwind_order_details[[#This Row],[discount]]</f>
        <v>88.739999999999981</v>
      </c>
      <c r="J1813" s="1">
        <f>northwind_order_details[[#This Row],[purchase amount]]-northwind_order_details[[#This Row],[discount amount]]</f>
        <v>502.8599999999999</v>
      </c>
      <c r="K1813" s="6" t="str">
        <f>IF(northwind_order_details[[#This Row],[discount amount]]&gt;0,"Yes","No")</f>
        <v>Yes</v>
      </c>
      <c r="L1813" s="1" t="str">
        <f>IF(northwind_order_details[[#This Row],[Revenue]]&gt;1000,"High",IF(northwind_order_details[[#This Row],[Revenue]]&gt;300,"Medium","Low"))</f>
        <v>Medium</v>
      </c>
      <c r="M18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14" spans="1:13" x14ac:dyDescent="0.25">
      <c r="A1814">
        <v>10967</v>
      </c>
      <c r="B1814">
        <v>19</v>
      </c>
      <c r="C1814" s="6">
        <v>9.1999999999999993</v>
      </c>
      <c r="D1814">
        <v>12</v>
      </c>
      <c r="E1814" s="6" t="s">
        <v>6</v>
      </c>
      <c r="F1814" t="str">
        <f>_xlfn.XLOOKUP(northwind_order_details[[#This Row],[order_id]],northwind_orders[order_id],northwind_orders[ship_country])</f>
        <v>Germany</v>
      </c>
      <c r="G1814">
        <f>INDEX(northwind_orders[],MATCH(northwind_order_details[[#This Row],[order_id]], northwind_orders[order_id], 0), MATCH("employee_id", northwind_orders[#Headers], 0))</f>
        <v>2</v>
      </c>
      <c r="H1814">
        <f>northwind_order_details[[#This Row],[unit_price]]*northwind_order_details[[#This Row],[quantity]]</f>
        <v>110.39999999999999</v>
      </c>
      <c r="I1814" s="1">
        <f>northwind_order_details[[#This Row],[purchase amount]]*northwind_order_details[[#This Row],[discount]]</f>
        <v>0</v>
      </c>
      <c r="J1814" s="1">
        <f>northwind_order_details[[#This Row],[purchase amount]]-northwind_order_details[[#This Row],[discount amount]]</f>
        <v>110.39999999999999</v>
      </c>
      <c r="K1814" s="6" t="str">
        <f>IF(northwind_order_details[[#This Row],[discount amount]]&gt;0,"Yes","No")</f>
        <v>No</v>
      </c>
      <c r="L1814" s="1" t="str">
        <f>IF(northwind_order_details[[#This Row],[Revenue]]&gt;1000,"High",IF(northwind_order_details[[#This Row],[Revenue]]&gt;300,"Medium","Low"))</f>
        <v>Low</v>
      </c>
      <c r="M181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15" spans="1:13" x14ac:dyDescent="0.25">
      <c r="A1815">
        <v>10967</v>
      </c>
      <c r="B1815">
        <v>49</v>
      </c>
      <c r="C1815" s="6" t="s">
        <v>17</v>
      </c>
      <c r="D1815">
        <v>40</v>
      </c>
      <c r="E1815" s="6" t="s">
        <v>6</v>
      </c>
      <c r="F1815" t="str">
        <f>_xlfn.XLOOKUP(northwind_order_details[[#This Row],[order_id]],northwind_orders[order_id],northwind_orders[ship_country])</f>
        <v>Germany</v>
      </c>
      <c r="G1815">
        <f>INDEX(northwind_orders[],MATCH(northwind_order_details[[#This Row],[order_id]], northwind_orders[order_id], 0), MATCH("employee_id", northwind_orders[#Headers], 0))</f>
        <v>2</v>
      </c>
      <c r="H1815">
        <f>northwind_order_details[[#This Row],[unit_price]]*northwind_order_details[[#This Row],[quantity]]</f>
        <v>800</v>
      </c>
      <c r="I1815" s="1">
        <f>northwind_order_details[[#This Row],[purchase amount]]*northwind_order_details[[#This Row],[discount]]</f>
        <v>0</v>
      </c>
      <c r="J1815" s="1">
        <f>northwind_order_details[[#This Row],[purchase amount]]-northwind_order_details[[#This Row],[discount amount]]</f>
        <v>800</v>
      </c>
      <c r="K1815" s="6" t="str">
        <f>IF(northwind_order_details[[#This Row],[discount amount]]&gt;0,"Yes","No")</f>
        <v>No</v>
      </c>
      <c r="L1815" s="1" t="str">
        <f>IF(northwind_order_details[[#This Row],[Revenue]]&gt;1000,"High",IF(northwind_order_details[[#This Row],[Revenue]]&gt;300,"Medium","Low"))</f>
        <v>Medium</v>
      </c>
      <c r="M18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6" spans="1:13" x14ac:dyDescent="0.25">
      <c r="A1816">
        <v>10968</v>
      </c>
      <c r="B1816">
        <v>12</v>
      </c>
      <c r="C1816" s="6" t="s">
        <v>30</v>
      </c>
      <c r="D1816">
        <v>30</v>
      </c>
      <c r="E1816" s="6" t="s">
        <v>6</v>
      </c>
      <c r="F1816" t="str">
        <f>_xlfn.XLOOKUP(northwind_order_details[[#This Row],[order_id]],northwind_orders[order_id],northwind_orders[ship_country])</f>
        <v>Austria</v>
      </c>
      <c r="G1816">
        <f>INDEX(northwind_orders[],MATCH(northwind_order_details[[#This Row],[order_id]], northwind_orders[order_id], 0), MATCH("employee_id", northwind_orders[#Headers], 0))</f>
        <v>1</v>
      </c>
      <c r="H1816">
        <f>northwind_order_details[[#This Row],[unit_price]]*northwind_order_details[[#This Row],[quantity]]</f>
        <v>1140</v>
      </c>
      <c r="I1816" s="1">
        <f>northwind_order_details[[#This Row],[purchase amount]]*northwind_order_details[[#This Row],[discount]]</f>
        <v>0</v>
      </c>
      <c r="J1816" s="1">
        <f>northwind_order_details[[#This Row],[purchase amount]]-northwind_order_details[[#This Row],[discount amount]]</f>
        <v>1140</v>
      </c>
      <c r="K1816" s="6" t="str">
        <f>IF(northwind_order_details[[#This Row],[discount amount]]&gt;0,"Yes","No")</f>
        <v>No</v>
      </c>
      <c r="L1816" s="1" t="str">
        <f>IF(northwind_order_details[[#This Row],[Revenue]]&gt;1000,"High",IF(northwind_order_details[[#This Row],[Revenue]]&gt;300,"Medium","Low"))</f>
        <v>High</v>
      </c>
      <c r="M18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17" spans="1:13" x14ac:dyDescent="0.25">
      <c r="A1817">
        <v>10968</v>
      </c>
      <c r="B1817">
        <v>24</v>
      </c>
      <c r="C1817" s="6">
        <v>4.5</v>
      </c>
      <c r="D1817">
        <v>30</v>
      </c>
      <c r="E1817" s="6" t="s">
        <v>6</v>
      </c>
      <c r="F1817" t="str">
        <f>_xlfn.XLOOKUP(northwind_order_details[[#This Row],[order_id]],northwind_orders[order_id],northwind_orders[ship_country])</f>
        <v>Austria</v>
      </c>
      <c r="G1817">
        <f>INDEX(northwind_orders[],MATCH(northwind_order_details[[#This Row],[order_id]], northwind_orders[order_id], 0), MATCH("employee_id", northwind_orders[#Headers], 0))</f>
        <v>1</v>
      </c>
      <c r="H1817">
        <f>northwind_order_details[[#This Row],[unit_price]]*northwind_order_details[[#This Row],[quantity]]</f>
        <v>135</v>
      </c>
      <c r="I1817" s="1">
        <f>northwind_order_details[[#This Row],[purchase amount]]*northwind_order_details[[#This Row],[discount]]</f>
        <v>0</v>
      </c>
      <c r="J1817" s="1">
        <f>northwind_order_details[[#This Row],[purchase amount]]-northwind_order_details[[#This Row],[discount amount]]</f>
        <v>135</v>
      </c>
      <c r="K1817" s="6" t="str">
        <f>IF(northwind_order_details[[#This Row],[discount amount]]&gt;0,"Yes","No")</f>
        <v>No</v>
      </c>
      <c r="L1817" s="1" t="str">
        <f>IF(northwind_order_details[[#This Row],[Revenue]]&gt;1000,"High",IF(northwind_order_details[[#This Row],[Revenue]]&gt;300,"Medium","Low"))</f>
        <v>Low</v>
      </c>
      <c r="M181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18" spans="1:13" x14ac:dyDescent="0.25">
      <c r="A1818">
        <v>10968</v>
      </c>
      <c r="B1818">
        <v>64</v>
      </c>
      <c r="C1818" s="6">
        <v>33.25</v>
      </c>
      <c r="D1818">
        <v>4</v>
      </c>
      <c r="E1818" s="6" t="s">
        <v>6</v>
      </c>
      <c r="F1818" t="str">
        <f>_xlfn.XLOOKUP(northwind_order_details[[#This Row],[order_id]],northwind_orders[order_id],northwind_orders[ship_country])</f>
        <v>Austria</v>
      </c>
      <c r="G1818">
        <f>INDEX(northwind_orders[],MATCH(northwind_order_details[[#This Row],[order_id]], northwind_orders[order_id], 0), MATCH("employee_id", northwind_orders[#Headers], 0))</f>
        <v>1</v>
      </c>
      <c r="H1818">
        <f>northwind_order_details[[#This Row],[unit_price]]*northwind_order_details[[#This Row],[quantity]]</f>
        <v>133</v>
      </c>
      <c r="I1818" s="1">
        <f>northwind_order_details[[#This Row],[purchase amount]]*northwind_order_details[[#This Row],[discount]]</f>
        <v>0</v>
      </c>
      <c r="J1818" s="1">
        <f>northwind_order_details[[#This Row],[purchase amount]]-northwind_order_details[[#This Row],[discount amount]]</f>
        <v>133</v>
      </c>
      <c r="K1818" s="6" t="str">
        <f>IF(northwind_order_details[[#This Row],[discount amount]]&gt;0,"Yes","No")</f>
        <v>No</v>
      </c>
      <c r="L1818" s="1" t="str">
        <f>IF(northwind_order_details[[#This Row],[Revenue]]&gt;1000,"High",IF(northwind_order_details[[#This Row],[Revenue]]&gt;300,"Medium","Low"))</f>
        <v>Low</v>
      </c>
      <c r="M18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19" spans="1:13" x14ac:dyDescent="0.25">
      <c r="A1819">
        <v>10969</v>
      </c>
      <c r="B1819">
        <v>46</v>
      </c>
      <c r="C1819" s="6" t="s">
        <v>13</v>
      </c>
      <c r="D1819">
        <v>9</v>
      </c>
      <c r="E1819" s="6" t="s">
        <v>6</v>
      </c>
      <c r="F1819" t="str">
        <f>_xlfn.XLOOKUP(northwind_order_details[[#This Row],[order_id]],northwind_orders[order_id],northwind_orders[ship_country])</f>
        <v>Brazil</v>
      </c>
      <c r="G1819">
        <f>INDEX(northwind_orders[],MATCH(northwind_order_details[[#This Row],[order_id]], northwind_orders[order_id], 0), MATCH("employee_id", northwind_orders[#Headers], 0))</f>
        <v>1</v>
      </c>
      <c r="H1819">
        <f>northwind_order_details[[#This Row],[unit_price]]*northwind_order_details[[#This Row],[quantity]]</f>
        <v>108</v>
      </c>
      <c r="I1819" s="1">
        <f>northwind_order_details[[#This Row],[purchase amount]]*northwind_order_details[[#This Row],[discount]]</f>
        <v>0</v>
      </c>
      <c r="J1819" s="1">
        <f>northwind_order_details[[#This Row],[purchase amount]]-northwind_order_details[[#This Row],[discount amount]]</f>
        <v>108</v>
      </c>
      <c r="K1819" s="6" t="str">
        <f>IF(northwind_order_details[[#This Row],[discount amount]]&gt;0,"Yes","No")</f>
        <v>No</v>
      </c>
      <c r="L1819" s="1" t="str">
        <f>IF(northwind_order_details[[#This Row],[Revenue]]&gt;1000,"High",IF(northwind_order_details[[#This Row],[Revenue]]&gt;300,"Medium","Low"))</f>
        <v>Low</v>
      </c>
      <c r="M18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20" spans="1:13" x14ac:dyDescent="0.25">
      <c r="A1820">
        <v>10970</v>
      </c>
      <c r="B1820">
        <v>52</v>
      </c>
      <c r="C1820" s="6" t="s">
        <v>32</v>
      </c>
      <c r="D1820">
        <v>40</v>
      </c>
      <c r="E1820" s="6">
        <v>0.2</v>
      </c>
      <c r="F1820" t="str">
        <f>_xlfn.XLOOKUP(northwind_order_details[[#This Row],[order_id]],northwind_orders[order_id],northwind_orders[ship_country])</f>
        <v>Spain</v>
      </c>
      <c r="G1820">
        <f>INDEX(northwind_orders[],MATCH(northwind_order_details[[#This Row],[order_id]], northwind_orders[order_id], 0), MATCH("employee_id", northwind_orders[#Headers], 0))</f>
        <v>9</v>
      </c>
      <c r="H1820">
        <f>northwind_order_details[[#This Row],[unit_price]]*northwind_order_details[[#This Row],[quantity]]</f>
        <v>280</v>
      </c>
      <c r="I1820" s="1">
        <f>northwind_order_details[[#This Row],[purchase amount]]*northwind_order_details[[#This Row],[discount]]</f>
        <v>56</v>
      </c>
      <c r="J1820" s="1">
        <f>northwind_order_details[[#This Row],[purchase amount]]-northwind_order_details[[#This Row],[discount amount]]</f>
        <v>224</v>
      </c>
      <c r="K1820" s="6" t="str">
        <f>IF(northwind_order_details[[#This Row],[discount amount]]&gt;0,"Yes","No")</f>
        <v>Yes</v>
      </c>
      <c r="L1820" s="1" t="str">
        <f>IF(northwind_order_details[[#This Row],[Revenue]]&gt;1000,"High",IF(northwind_order_details[[#This Row],[Revenue]]&gt;300,"Medium","Low"))</f>
        <v>Low</v>
      </c>
      <c r="M182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21" spans="1:13" x14ac:dyDescent="0.25">
      <c r="A1821">
        <v>10971</v>
      </c>
      <c r="B1821">
        <v>29</v>
      </c>
      <c r="C1821" s="6">
        <v>123.79</v>
      </c>
      <c r="D1821">
        <v>14</v>
      </c>
      <c r="E1821" s="6" t="s">
        <v>6</v>
      </c>
      <c r="F1821" t="str">
        <f>_xlfn.XLOOKUP(northwind_order_details[[#This Row],[order_id]],northwind_orders[order_id],northwind_orders[ship_country])</f>
        <v>France</v>
      </c>
      <c r="G1821">
        <f>INDEX(northwind_orders[],MATCH(northwind_order_details[[#This Row],[order_id]], northwind_orders[order_id], 0), MATCH("employee_id", northwind_orders[#Headers], 0))</f>
        <v>2</v>
      </c>
      <c r="H1821">
        <f>northwind_order_details[[#This Row],[unit_price]]*northwind_order_details[[#This Row],[quantity]]</f>
        <v>1733.0600000000002</v>
      </c>
      <c r="I1821" s="1">
        <f>northwind_order_details[[#This Row],[purchase amount]]*northwind_order_details[[#This Row],[discount]]</f>
        <v>0</v>
      </c>
      <c r="J1821" s="1">
        <f>northwind_order_details[[#This Row],[purchase amount]]-northwind_order_details[[#This Row],[discount amount]]</f>
        <v>1733.0600000000002</v>
      </c>
      <c r="K1821" s="6" t="str">
        <f>IF(northwind_order_details[[#This Row],[discount amount]]&gt;0,"Yes","No")</f>
        <v>No</v>
      </c>
      <c r="L1821" s="1" t="str">
        <f>IF(northwind_order_details[[#This Row],[Revenue]]&gt;1000,"High",IF(northwind_order_details[[#This Row],[Revenue]]&gt;300,"Medium","Low"))</f>
        <v>High</v>
      </c>
      <c r="M182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22" spans="1:13" x14ac:dyDescent="0.25">
      <c r="A1822">
        <v>10972</v>
      </c>
      <c r="B1822">
        <v>17</v>
      </c>
      <c r="C1822" s="6" t="s">
        <v>35</v>
      </c>
      <c r="D1822">
        <v>6</v>
      </c>
      <c r="E1822" s="6" t="s">
        <v>6</v>
      </c>
      <c r="F1822" t="str">
        <f>_xlfn.XLOOKUP(northwind_order_details[[#This Row],[order_id]],northwind_orders[order_id],northwind_orders[ship_country])</f>
        <v>France</v>
      </c>
      <c r="G1822">
        <f>INDEX(northwind_orders[],MATCH(northwind_order_details[[#This Row],[order_id]], northwind_orders[order_id], 0), MATCH("employee_id", northwind_orders[#Headers], 0))</f>
        <v>4</v>
      </c>
      <c r="H1822">
        <f>northwind_order_details[[#This Row],[unit_price]]*northwind_order_details[[#This Row],[quantity]]</f>
        <v>234</v>
      </c>
      <c r="I1822" s="1">
        <f>northwind_order_details[[#This Row],[purchase amount]]*northwind_order_details[[#This Row],[discount]]</f>
        <v>0</v>
      </c>
      <c r="J1822" s="1">
        <f>northwind_order_details[[#This Row],[purchase amount]]-northwind_order_details[[#This Row],[discount amount]]</f>
        <v>234</v>
      </c>
      <c r="K1822" s="6" t="str">
        <f>IF(northwind_order_details[[#This Row],[discount amount]]&gt;0,"Yes","No")</f>
        <v>No</v>
      </c>
      <c r="L1822" s="1" t="str">
        <f>IF(northwind_order_details[[#This Row],[Revenue]]&gt;1000,"High",IF(northwind_order_details[[#This Row],[Revenue]]&gt;300,"Medium","Low"))</f>
        <v>Low</v>
      </c>
      <c r="M18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23" spans="1:13" x14ac:dyDescent="0.25">
      <c r="A1823">
        <v>10972</v>
      </c>
      <c r="B1823">
        <v>33</v>
      </c>
      <c r="C1823" s="6">
        <v>2.5</v>
      </c>
      <c r="D1823">
        <v>7</v>
      </c>
      <c r="E1823" s="6" t="s">
        <v>6</v>
      </c>
      <c r="F1823" t="str">
        <f>_xlfn.XLOOKUP(northwind_order_details[[#This Row],[order_id]],northwind_orders[order_id],northwind_orders[ship_country])</f>
        <v>France</v>
      </c>
      <c r="G1823">
        <f>INDEX(northwind_orders[],MATCH(northwind_order_details[[#This Row],[order_id]], northwind_orders[order_id], 0), MATCH("employee_id", northwind_orders[#Headers], 0))</f>
        <v>4</v>
      </c>
      <c r="H1823">
        <f>northwind_order_details[[#This Row],[unit_price]]*northwind_order_details[[#This Row],[quantity]]</f>
        <v>17.5</v>
      </c>
      <c r="I1823" s="1">
        <f>northwind_order_details[[#This Row],[purchase amount]]*northwind_order_details[[#This Row],[discount]]</f>
        <v>0</v>
      </c>
      <c r="J1823" s="1">
        <f>northwind_order_details[[#This Row],[purchase amount]]-northwind_order_details[[#This Row],[discount amount]]</f>
        <v>17.5</v>
      </c>
      <c r="K1823" s="6" t="str">
        <f>IF(northwind_order_details[[#This Row],[discount amount]]&gt;0,"Yes","No")</f>
        <v>No</v>
      </c>
      <c r="L1823" s="1" t="str">
        <f>IF(northwind_order_details[[#This Row],[Revenue]]&gt;1000,"High",IF(northwind_order_details[[#This Row],[Revenue]]&gt;300,"Medium","Low"))</f>
        <v>Low</v>
      </c>
      <c r="M182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24" spans="1:13" x14ac:dyDescent="0.25">
      <c r="A1824">
        <v>10973</v>
      </c>
      <c r="B1824">
        <v>26</v>
      </c>
      <c r="C1824" s="6">
        <v>31.23</v>
      </c>
      <c r="D1824">
        <v>5</v>
      </c>
      <c r="E1824" s="6" t="s">
        <v>6</v>
      </c>
      <c r="F1824" t="str">
        <f>_xlfn.XLOOKUP(northwind_order_details[[#This Row],[order_id]],northwind_orders[order_id],northwind_orders[ship_country])</f>
        <v>France</v>
      </c>
      <c r="G1824">
        <f>INDEX(northwind_orders[],MATCH(northwind_order_details[[#This Row],[order_id]], northwind_orders[order_id], 0), MATCH("employee_id", northwind_orders[#Headers], 0))</f>
        <v>6</v>
      </c>
      <c r="H1824">
        <f>northwind_order_details[[#This Row],[unit_price]]*northwind_order_details[[#This Row],[quantity]]</f>
        <v>156.15</v>
      </c>
      <c r="I1824" s="1">
        <f>northwind_order_details[[#This Row],[purchase amount]]*northwind_order_details[[#This Row],[discount]]</f>
        <v>0</v>
      </c>
      <c r="J1824" s="1">
        <f>northwind_order_details[[#This Row],[purchase amount]]-northwind_order_details[[#This Row],[discount amount]]</f>
        <v>156.15</v>
      </c>
      <c r="K1824" s="6" t="str">
        <f>IF(northwind_order_details[[#This Row],[discount amount]]&gt;0,"Yes","No")</f>
        <v>No</v>
      </c>
      <c r="L1824" s="1" t="str">
        <f>IF(northwind_order_details[[#This Row],[Revenue]]&gt;1000,"High",IF(northwind_order_details[[#This Row],[Revenue]]&gt;300,"Medium","Low"))</f>
        <v>Low</v>
      </c>
      <c r="M182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25" spans="1:13" x14ac:dyDescent="0.25">
      <c r="A1825">
        <v>10973</v>
      </c>
      <c r="B1825">
        <v>41</v>
      </c>
      <c r="C1825" s="6">
        <v>9.65</v>
      </c>
      <c r="D1825">
        <v>6</v>
      </c>
      <c r="E1825" s="6" t="s">
        <v>6</v>
      </c>
      <c r="F1825" t="str">
        <f>_xlfn.XLOOKUP(northwind_order_details[[#This Row],[order_id]],northwind_orders[order_id],northwind_orders[ship_country])</f>
        <v>France</v>
      </c>
      <c r="G1825">
        <f>INDEX(northwind_orders[],MATCH(northwind_order_details[[#This Row],[order_id]], northwind_orders[order_id], 0), MATCH("employee_id", northwind_orders[#Headers], 0))</f>
        <v>6</v>
      </c>
      <c r="H1825">
        <f>northwind_order_details[[#This Row],[unit_price]]*northwind_order_details[[#This Row],[quantity]]</f>
        <v>57.900000000000006</v>
      </c>
      <c r="I1825" s="1">
        <f>northwind_order_details[[#This Row],[purchase amount]]*northwind_order_details[[#This Row],[discount]]</f>
        <v>0</v>
      </c>
      <c r="J1825" s="1">
        <f>northwind_order_details[[#This Row],[purchase amount]]-northwind_order_details[[#This Row],[discount amount]]</f>
        <v>57.900000000000006</v>
      </c>
      <c r="K1825" s="6" t="str">
        <f>IF(northwind_order_details[[#This Row],[discount amount]]&gt;0,"Yes","No")</f>
        <v>No</v>
      </c>
      <c r="L1825" s="1" t="str">
        <f>IF(northwind_order_details[[#This Row],[Revenue]]&gt;1000,"High",IF(northwind_order_details[[#This Row],[Revenue]]&gt;300,"Medium","Low"))</f>
        <v>Low</v>
      </c>
      <c r="M18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26" spans="1:13" x14ac:dyDescent="0.25">
      <c r="A1826">
        <v>10973</v>
      </c>
      <c r="B1826">
        <v>75</v>
      </c>
      <c r="C1826" s="6">
        <v>7.75</v>
      </c>
      <c r="D1826">
        <v>10</v>
      </c>
      <c r="E1826" s="6" t="s">
        <v>6</v>
      </c>
      <c r="F1826" t="str">
        <f>_xlfn.XLOOKUP(northwind_order_details[[#This Row],[order_id]],northwind_orders[order_id],northwind_orders[ship_country])</f>
        <v>France</v>
      </c>
      <c r="G1826">
        <f>INDEX(northwind_orders[],MATCH(northwind_order_details[[#This Row],[order_id]], northwind_orders[order_id], 0), MATCH("employee_id", northwind_orders[#Headers], 0))</f>
        <v>6</v>
      </c>
      <c r="H1826">
        <f>northwind_order_details[[#This Row],[unit_price]]*northwind_order_details[[#This Row],[quantity]]</f>
        <v>77.5</v>
      </c>
      <c r="I1826" s="1">
        <f>northwind_order_details[[#This Row],[purchase amount]]*northwind_order_details[[#This Row],[discount]]</f>
        <v>0</v>
      </c>
      <c r="J1826" s="1">
        <f>northwind_order_details[[#This Row],[purchase amount]]-northwind_order_details[[#This Row],[discount amount]]</f>
        <v>77.5</v>
      </c>
      <c r="K1826" s="6" t="str">
        <f>IF(northwind_order_details[[#This Row],[discount amount]]&gt;0,"Yes","No")</f>
        <v>No</v>
      </c>
      <c r="L1826" s="1" t="str">
        <f>IF(northwind_order_details[[#This Row],[Revenue]]&gt;1000,"High",IF(northwind_order_details[[#This Row],[Revenue]]&gt;300,"Medium","Low"))</f>
        <v>Low</v>
      </c>
      <c r="M18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27" spans="1:13" x14ac:dyDescent="0.25">
      <c r="A1827">
        <v>10974</v>
      </c>
      <c r="B1827">
        <v>63</v>
      </c>
      <c r="C1827" s="6">
        <v>43.9</v>
      </c>
      <c r="D1827">
        <v>10</v>
      </c>
      <c r="E1827" s="6" t="s">
        <v>6</v>
      </c>
      <c r="F1827" t="str">
        <f>_xlfn.XLOOKUP(northwind_order_details[[#This Row],[order_id]],northwind_orders[order_id],northwind_orders[ship_country])</f>
        <v>USA</v>
      </c>
      <c r="G1827">
        <f>INDEX(northwind_orders[],MATCH(northwind_order_details[[#This Row],[order_id]], northwind_orders[order_id], 0), MATCH("employee_id", northwind_orders[#Headers], 0))</f>
        <v>3</v>
      </c>
      <c r="H1827">
        <f>northwind_order_details[[#This Row],[unit_price]]*northwind_order_details[[#This Row],[quantity]]</f>
        <v>439</v>
      </c>
      <c r="I1827" s="1">
        <f>northwind_order_details[[#This Row],[purchase amount]]*northwind_order_details[[#This Row],[discount]]</f>
        <v>0</v>
      </c>
      <c r="J1827" s="1">
        <f>northwind_order_details[[#This Row],[purchase amount]]-northwind_order_details[[#This Row],[discount amount]]</f>
        <v>439</v>
      </c>
      <c r="K1827" s="6" t="str">
        <f>IF(northwind_order_details[[#This Row],[discount amount]]&gt;0,"Yes","No")</f>
        <v>No</v>
      </c>
      <c r="L1827" s="1" t="str">
        <f>IF(northwind_order_details[[#This Row],[Revenue]]&gt;1000,"High",IF(northwind_order_details[[#This Row],[Revenue]]&gt;300,"Medium","Low"))</f>
        <v>Medium</v>
      </c>
      <c r="M18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28" spans="1:13" x14ac:dyDescent="0.25">
      <c r="A1828">
        <v>10975</v>
      </c>
      <c r="B1828">
        <v>8</v>
      </c>
      <c r="C1828" s="6" t="s">
        <v>27</v>
      </c>
      <c r="D1828">
        <v>16</v>
      </c>
      <c r="E1828" s="6" t="s">
        <v>6</v>
      </c>
      <c r="F1828" t="str">
        <f>_xlfn.XLOOKUP(northwind_order_details[[#This Row],[order_id]],northwind_orders[order_id],northwind_orders[ship_country])</f>
        <v>Canada</v>
      </c>
      <c r="G1828">
        <f>INDEX(northwind_orders[],MATCH(northwind_order_details[[#This Row],[order_id]], northwind_orders[order_id], 0), MATCH("employee_id", northwind_orders[#Headers], 0))</f>
        <v>1</v>
      </c>
      <c r="H1828">
        <f>northwind_order_details[[#This Row],[unit_price]]*northwind_order_details[[#This Row],[quantity]]</f>
        <v>640</v>
      </c>
      <c r="I1828" s="1">
        <f>northwind_order_details[[#This Row],[purchase amount]]*northwind_order_details[[#This Row],[discount]]</f>
        <v>0</v>
      </c>
      <c r="J1828" s="1">
        <f>northwind_order_details[[#This Row],[purchase amount]]-northwind_order_details[[#This Row],[discount amount]]</f>
        <v>640</v>
      </c>
      <c r="K1828" s="6" t="str">
        <f>IF(northwind_order_details[[#This Row],[discount amount]]&gt;0,"Yes","No")</f>
        <v>No</v>
      </c>
      <c r="L1828" s="1" t="str">
        <f>IF(northwind_order_details[[#This Row],[Revenue]]&gt;1000,"High",IF(northwind_order_details[[#This Row],[Revenue]]&gt;300,"Medium","Low"))</f>
        <v>Medium</v>
      </c>
      <c r="M18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29" spans="1:13" x14ac:dyDescent="0.25">
      <c r="A1829">
        <v>10975</v>
      </c>
      <c r="B1829">
        <v>75</v>
      </c>
      <c r="C1829" s="6">
        <v>7.75</v>
      </c>
      <c r="D1829">
        <v>10</v>
      </c>
      <c r="E1829" s="6" t="s">
        <v>6</v>
      </c>
      <c r="F1829" t="str">
        <f>_xlfn.XLOOKUP(northwind_order_details[[#This Row],[order_id]],northwind_orders[order_id],northwind_orders[ship_country])</f>
        <v>Canada</v>
      </c>
      <c r="G1829">
        <f>INDEX(northwind_orders[],MATCH(northwind_order_details[[#This Row],[order_id]], northwind_orders[order_id], 0), MATCH("employee_id", northwind_orders[#Headers], 0))</f>
        <v>1</v>
      </c>
      <c r="H1829">
        <f>northwind_order_details[[#This Row],[unit_price]]*northwind_order_details[[#This Row],[quantity]]</f>
        <v>77.5</v>
      </c>
      <c r="I1829" s="1">
        <f>northwind_order_details[[#This Row],[purchase amount]]*northwind_order_details[[#This Row],[discount]]</f>
        <v>0</v>
      </c>
      <c r="J1829" s="1">
        <f>northwind_order_details[[#This Row],[purchase amount]]-northwind_order_details[[#This Row],[discount amount]]</f>
        <v>77.5</v>
      </c>
      <c r="K1829" s="6" t="str">
        <f>IF(northwind_order_details[[#This Row],[discount amount]]&gt;0,"Yes","No")</f>
        <v>No</v>
      </c>
      <c r="L1829" s="1" t="str">
        <f>IF(northwind_order_details[[#This Row],[Revenue]]&gt;1000,"High",IF(northwind_order_details[[#This Row],[Revenue]]&gt;300,"Medium","Low"))</f>
        <v>Low</v>
      </c>
      <c r="M182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30" spans="1:13" x14ac:dyDescent="0.25">
      <c r="A1830">
        <v>10976</v>
      </c>
      <c r="B1830">
        <v>28</v>
      </c>
      <c r="C1830" s="6">
        <v>45.6</v>
      </c>
      <c r="D1830">
        <v>20</v>
      </c>
      <c r="E1830" s="6" t="s">
        <v>6</v>
      </c>
      <c r="F1830" t="str">
        <f>_xlfn.XLOOKUP(northwind_order_details[[#This Row],[order_id]],northwind_orders[order_id],northwind_orders[ship_country])</f>
        <v>Venezuela</v>
      </c>
      <c r="G1830">
        <f>INDEX(northwind_orders[],MATCH(northwind_order_details[[#This Row],[order_id]], northwind_orders[order_id], 0), MATCH("employee_id", northwind_orders[#Headers], 0))</f>
        <v>1</v>
      </c>
      <c r="H1830">
        <f>northwind_order_details[[#This Row],[unit_price]]*northwind_order_details[[#This Row],[quantity]]</f>
        <v>912</v>
      </c>
      <c r="I1830" s="1">
        <f>northwind_order_details[[#This Row],[purchase amount]]*northwind_order_details[[#This Row],[discount]]</f>
        <v>0</v>
      </c>
      <c r="J1830" s="1">
        <f>northwind_order_details[[#This Row],[purchase amount]]-northwind_order_details[[#This Row],[discount amount]]</f>
        <v>912</v>
      </c>
      <c r="K1830" s="6" t="str">
        <f>IF(northwind_order_details[[#This Row],[discount amount]]&gt;0,"Yes","No")</f>
        <v>No</v>
      </c>
      <c r="L1830" s="1" t="str">
        <f>IF(northwind_order_details[[#This Row],[Revenue]]&gt;1000,"High",IF(northwind_order_details[[#This Row],[Revenue]]&gt;300,"Medium","Low"))</f>
        <v>Medium</v>
      </c>
      <c r="M183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31" spans="1:13" x14ac:dyDescent="0.25">
      <c r="A1831">
        <v>10977</v>
      </c>
      <c r="B1831">
        <v>39</v>
      </c>
      <c r="C1831" s="6" t="s">
        <v>24</v>
      </c>
      <c r="D1831">
        <v>30</v>
      </c>
      <c r="E1831" s="6" t="s">
        <v>6</v>
      </c>
      <c r="F1831" t="str">
        <f>_xlfn.XLOOKUP(northwind_order_details[[#This Row],[order_id]],northwind_orders[order_id],northwind_orders[ship_country])</f>
        <v>Sweden</v>
      </c>
      <c r="G1831">
        <f>INDEX(northwind_orders[],MATCH(northwind_order_details[[#This Row],[order_id]], northwind_orders[order_id], 0), MATCH("employee_id", northwind_orders[#Headers], 0))</f>
        <v>8</v>
      </c>
      <c r="H1831">
        <f>northwind_order_details[[#This Row],[unit_price]]*northwind_order_details[[#This Row],[quantity]]</f>
        <v>540</v>
      </c>
      <c r="I1831" s="1">
        <f>northwind_order_details[[#This Row],[purchase amount]]*northwind_order_details[[#This Row],[discount]]</f>
        <v>0</v>
      </c>
      <c r="J1831" s="1">
        <f>northwind_order_details[[#This Row],[purchase amount]]-northwind_order_details[[#This Row],[discount amount]]</f>
        <v>540</v>
      </c>
      <c r="K1831" s="6" t="str">
        <f>IF(northwind_order_details[[#This Row],[discount amount]]&gt;0,"Yes","No")</f>
        <v>No</v>
      </c>
      <c r="L1831" s="1" t="str">
        <f>IF(northwind_order_details[[#This Row],[Revenue]]&gt;1000,"High",IF(northwind_order_details[[#This Row],[Revenue]]&gt;300,"Medium","Low"))</f>
        <v>Medium</v>
      </c>
      <c r="M18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32" spans="1:13" x14ac:dyDescent="0.25">
      <c r="A1832">
        <v>10977</v>
      </c>
      <c r="B1832">
        <v>47</v>
      </c>
      <c r="C1832" s="6">
        <v>9.5</v>
      </c>
      <c r="D1832">
        <v>30</v>
      </c>
      <c r="E1832" s="6" t="s">
        <v>6</v>
      </c>
      <c r="F1832" t="str">
        <f>_xlfn.XLOOKUP(northwind_order_details[[#This Row],[order_id]],northwind_orders[order_id],northwind_orders[ship_country])</f>
        <v>Sweden</v>
      </c>
      <c r="G1832">
        <f>INDEX(northwind_orders[],MATCH(northwind_order_details[[#This Row],[order_id]], northwind_orders[order_id], 0), MATCH("employee_id", northwind_orders[#Headers], 0))</f>
        <v>8</v>
      </c>
      <c r="H1832">
        <f>northwind_order_details[[#This Row],[unit_price]]*northwind_order_details[[#This Row],[quantity]]</f>
        <v>285</v>
      </c>
      <c r="I1832" s="1">
        <f>northwind_order_details[[#This Row],[purchase amount]]*northwind_order_details[[#This Row],[discount]]</f>
        <v>0</v>
      </c>
      <c r="J1832" s="1">
        <f>northwind_order_details[[#This Row],[purchase amount]]-northwind_order_details[[#This Row],[discount amount]]</f>
        <v>285</v>
      </c>
      <c r="K1832" s="6" t="str">
        <f>IF(northwind_order_details[[#This Row],[discount amount]]&gt;0,"Yes","No")</f>
        <v>No</v>
      </c>
      <c r="L1832" s="1" t="str">
        <f>IF(northwind_order_details[[#This Row],[Revenue]]&gt;1000,"High",IF(northwind_order_details[[#This Row],[Revenue]]&gt;300,"Medium","Low"))</f>
        <v>Low</v>
      </c>
      <c r="M183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33" spans="1:13" x14ac:dyDescent="0.25">
      <c r="A1833">
        <v>10977</v>
      </c>
      <c r="B1833">
        <v>51</v>
      </c>
      <c r="C1833" s="6" t="s">
        <v>39</v>
      </c>
      <c r="D1833">
        <v>10</v>
      </c>
      <c r="E1833" s="6" t="s">
        <v>6</v>
      </c>
      <c r="F1833" t="str">
        <f>_xlfn.XLOOKUP(northwind_order_details[[#This Row],[order_id]],northwind_orders[order_id],northwind_orders[ship_country])</f>
        <v>Sweden</v>
      </c>
      <c r="G1833">
        <f>INDEX(northwind_orders[],MATCH(northwind_order_details[[#This Row],[order_id]], northwind_orders[order_id], 0), MATCH("employee_id", northwind_orders[#Headers], 0))</f>
        <v>8</v>
      </c>
      <c r="H1833">
        <f>northwind_order_details[[#This Row],[unit_price]]*northwind_order_details[[#This Row],[quantity]]</f>
        <v>530</v>
      </c>
      <c r="I1833" s="1">
        <f>northwind_order_details[[#This Row],[purchase amount]]*northwind_order_details[[#This Row],[discount]]</f>
        <v>0</v>
      </c>
      <c r="J1833" s="1">
        <f>northwind_order_details[[#This Row],[purchase amount]]-northwind_order_details[[#This Row],[discount amount]]</f>
        <v>530</v>
      </c>
      <c r="K1833" s="6" t="str">
        <f>IF(northwind_order_details[[#This Row],[discount amount]]&gt;0,"Yes","No")</f>
        <v>No</v>
      </c>
      <c r="L1833" s="1" t="str">
        <f>IF(northwind_order_details[[#This Row],[Revenue]]&gt;1000,"High",IF(northwind_order_details[[#This Row],[Revenue]]&gt;300,"Medium","Low"))</f>
        <v>Medium</v>
      </c>
      <c r="M18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34" spans="1:13" x14ac:dyDescent="0.25">
      <c r="A1834">
        <v>10977</v>
      </c>
      <c r="B1834">
        <v>63</v>
      </c>
      <c r="C1834" s="6">
        <v>43.9</v>
      </c>
      <c r="D1834">
        <v>20</v>
      </c>
      <c r="E1834" s="6" t="s">
        <v>6</v>
      </c>
      <c r="F1834" t="str">
        <f>_xlfn.XLOOKUP(northwind_order_details[[#This Row],[order_id]],northwind_orders[order_id],northwind_orders[ship_country])</f>
        <v>Sweden</v>
      </c>
      <c r="G1834">
        <f>INDEX(northwind_orders[],MATCH(northwind_order_details[[#This Row],[order_id]], northwind_orders[order_id], 0), MATCH("employee_id", northwind_orders[#Headers], 0))</f>
        <v>8</v>
      </c>
      <c r="H1834">
        <f>northwind_order_details[[#This Row],[unit_price]]*northwind_order_details[[#This Row],[quantity]]</f>
        <v>878</v>
      </c>
      <c r="I1834" s="1">
        <f>northwind_order_details[[#This Row],[purchase amount]]*northwind_order_details[[#This Row],[discount]]</f>
        <v>0</v>
      </c>
      <c r="J1834" s="1">
        <f>northwind_order_details[[#This Row],[purchase amount]]-northwind_order_details[[#This Row],[discount amount]]</f>
        <v>878</v>
      </c>
      <c r="K1834" s="6" t="str">
        <f>IF(northwind_order_details[[#This Row],[discount amount]]&gt;0,"Yes","No")</f>
        <v>No</v>
      </c>
      <c r="L1834" s="1" t="str">
        <f>IF(northwind_order_details[[#This Row],[Revenue]]&gt;1000,"High",IF(northwind_order_details[[#This Row],[Revenue]]&gt;300,"Medium","Low"))</f>
        <v>Medium</v>
      </c>
      <c r="M183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35" spans="1:13" x14ac:dyDescent="0.25">
      <c r="A1835">
        <v>10978</v>
      </c>
      <c r="B1835">
        <v>8</v>
      </c>
      <c r="C1835" s="6" t="s">
        <v>27</v>
      </c>
      <c r="D1835">
        <v>20</v>
      </c>
      <c r="E1835" s="6">
        <v>0.15</v>
      </c>
      <c r="F1835" t="str">
        <f>_xlfn.XLOOKUP(northwind_order_details[[#This Row],[order_id]],northwind_orders[order_id],northwind_orders[ship_country])</f>
        <v>Belgium</v>
      </c>
      <c r="G1835">
        <f>INDEX(northwind_orders[],MATCH(northwind_order_details[[#This Row],[order_id]], northwind_orders[order_id], 0), MATCH("employee_id", northwind_orders[#Headers], 0))</f>
        <v>9</v>
      </c>
      <c r="H1835">
        <f>northwind_order_details[[#This Row],[unit_price]]*northwind_order_details[[#This Row],[quantity]]</f>
        <v>800</v>
      </c>
      <c r="I1835" s="1">
        <f>northwind_order_details[[#This Row],[purchase amount]]*northwind_order_details[[#This Row],[discount]]</f>
        <v>120</v>
      </c>
      <c r="J1835" s="1">
        <f>northwind_order_details[[#This Row],[purchase amount]]-northwind_order_details[[#This Row],[discount amount]]</f>
        <v>680</v>
      </c>
      <c r="K1835" s="6" t="str">
        <f>IF(northwind_order_details[[#This Row],[discount amount]]&gt;0,"Yes","No")</f>
        <v>Yes</v>
      </c>
      <c r="L1835" s="1" t="str">
        <f>IF(northwind_order_details[[#This Row],[Revenue]]&gt;1000,"High",IF(northwind_order_details[[#This Row],[Revenue]]&gt;300,"Medium","Low"))</f>
        <v>Medium</v>
      </c>
      <c r="M18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36" spans="1:13" x14ac:dyDescent="0.25">
      <c r="A1836">
        <v>10978</v>
      </c>
      <c r="B1836">
        <v>21</v>
      </c>
      <c r="C1836" s="6" t="s">
        <v>8</v>
      </c>
      <c r="D1836">
        <v>40</v>
      </c>
      <c r="E1836" s="6">
        <v>0.15</v>
      </c>
      <c r="F1836" t="str">
        <f>_xlfn.XLOOKUP(northwind_order_details[[#This Row],[order_id]],northwind_orders[order_id],northwind_orders[ship_country])</f>
        <v>Belgium</v>
      </c>
      <c r="G1836">
        <f>INDEX(northwind_orders[],MATCH(northwind_order_details[[#This Row],[order_id]], northwind_orders[order_id], 0), MATCH("employee_id", northwind_orders[#Headers], 0))</f>
        <v>9</v>
      </c>
      <c r="H1836">
        <f>northwind_order_details[[#This Row],[unit_price]]*northwind_order_details[[#This Row],[quantity]]</f>
        <v>400</v>
      </c>
      <c r="I1836" s="1">
        <f>northwind_order_details[[#This Row],[purchase amount]]*northwind_order_details[[#This Row],[discount]]</f>
        <v>60</v>
      </c>
      <c r="J1836" s="1">
        <f>northwind_order_details[[#This Row],[purchase amount]]-northwind_order_details[[#This Row],[discount amount]]</f>
        <v>340</v>
      </c>
      <c r="K1836" s="6" t="str">
        <f>IF(northwind_order_details[[#This Row],[discount amount]]&gt;0,"Yes","No")</f>
        <v>Yes</v>
      </c>
      <c r="L1836" s="1" t="str">
        <f>IF(northwind_order_details[[#This Row],[Revenue]]&gt;1000,"High",IF(northwind_order_details[[#This Row],[Revenue]]&gt;300,"Medium","Low"))</f>
        <v>Medium</v>
      </c>
      <c r="M183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37" spans="1:13" x14ac:dyDescent="0.25">
      <c r="A1837">
        <v>10978</v>
      </c>
      <c r="B1837">
        <v>40</v>
      </c>
      <c r="C1837" s="6">
        <v>18.399999999999999</v>
      </c>
      <c r="D1837">
        <v>10</v>
      </c>
      <c r="E1837" s="6" t="s">
        <v>6</v>
      </c>
      <c r="F1837" t="str">
        <f>_xlfn.XLOOKUP(northwind_order_details[[#This Row],[order_id]],northwind_orders[order_id],northwind_orders[ship_country])</f>
        <v>Belgium</v>
      </c>
      <c r="G1837">
        <f>INDEX(northwind_orders[],MATCH(northwind_order_details[[#This Row],[order_id]], northwind_orders[order_id], 0), MATCH("employee_id", northwind_orders[#Headers], 0))</f>
        <v>9</v>
      </c>
      <c r="H1837">
        <f>northwind_order_details[[#This Row],[unit_price]]*northwind_order_details[[#This Row],[quantity]]</f>
        <v>184</v>
      </c>
      <c r="I1837" s="1">
        <f>northwind_order_details[[#This Row],[purchase amount]]*northwind_order_details[[#This Row],[discount]]</f>
        <v>0</v>
      </c>
      <c r="J1837" s="1">
        <f>northwind_order_details[[#This Row],[purchase amount]]-northwind_order_details[[#This Row],[discount amount]]</f>
        <v>184</v>
      </c>
      <c r="K1837" s="6" t="str">
        <f>IF(northwind_order_details[[#This Row],[discount amount]]&gt;0,"Yes","No")</f>
        <v>No</v>
      </c>
      <c r="L1837" s="1" t="str">
        <f>IF(northwind_order_details[[#This Row],[Revenue]]&gt;1000,"High",IF(northwind_order_details[[#This Row],[Revenue]]&gt;300,"Medium","Low"))</f>
        <v>Low</v>
      </c>
      <c r="M183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38" spans="1:13" x14ac:dyDescent="0.25">
      <c r="A1838">
        <v>10978</v>
      </c>
      <c r="B1838">
        <v>44</v>
      </c>
      <c r="C1838" s="6">
        <v>19.45</v>
      </c>
      <c r="D1838">
        <v>6</v>
      </c>
      <c r="E1838" s="6">
        <v>0.15</v>
      </c>
      <c r="F1838" t="str">
        <f>_xlfn.XLOOKUP(northwind_order_details[[#This Row],[order_id]],northwind_orders[order_id],northwind_orders[ship_country])</f>
        <v>Belgium</v>
      </c>
      <c r="G1838">
        <f>INDEX(northwind_orders[],MATCH(northwind_order_details[[#This Row],[order_id]], northwind_orders[order_id], 0), MATCH("employee_id", northwind_orders[#Headers], 0))</f>
        <v>9</v>
      </c>
      <c r="H1838">
        <f>northwind_order_details[[#This Row],[unit_price]]*northwind_order_details[[#This Row],[quantity]]</f>
        <v>116.69999999999999</v>
      </c>
      <c r="I1838" s="1">
        <f>northwind_order_details[[#This Row],[purchase amount]]*northwind_order_details[[#This Row],[discount]]</f>
        <v>17.504999999999999</v>
      </c>
      <c r="J1838" s="1">
        <f>northwind_order_details[[#This Row],[purchase amount]]-northwind_order_details[[#This Row],[discount amount]]</f>
        <v>99.194999999999993</v>
      </c>
      <c r="K1838" s="6" t="str">
        <f>IF(northwind_order_details[[#This Row],[discount amount]]&gt;0,"Yes","No")</f>
        <v>Yes</v>
      </c>
      <c r="L1838" s="1" t="str">
        <f>IF(northwind_order_details[[#This Row],[Revenue]]&gt;1000,"High",IF(northwind_order_details[[#This Row],[Revenue]]&gt;300,"Medium","Low"))</f>
        <v>Low</v>
      </c>
      <c r="M183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39" spans="1:13" x14ac:dyDescent="0.25">
      <c r="A1839">
        <v>10979</v>
      </c>
      <c r="B1839">
        <v>7</v>
      </c>
      <c r="C1839" s="6" t="s">
        <v>26</v>
      </c>
      <c r="D1839">
        <v>18</v>
      </c>
      <c r="E1839" s="6" t="s">
        <v>6</v>
      </c>
      <c r="F1839" t="str">
        <f>_xlfn.XLOOKUP(northwind_order_details[[#This Row],[order_id]],northwind_orders[order_id],northwind_orders[ship_country])</f>
        <v>Austria</v>
      </c>
      <c r="G1839">
        <f>INDEX(northwind_orders[],MATCH(northwind_order_details[[#This Row],[order_id]], northwind_orders[order_id], 0), MATCH("employee_id", northwind_orders[#Headers], 0))</f>
        <v>8</v>
      </c>
      <c r="H1839">
        <f>northwind_order_details[[#This Row],[unit_price]]*northwind_order_details[[#This Row],[quantity]]</f>
        <v>540</v>
      </c>
      <c r="I1839" s="1">
        <f>northwind_order_details[[#This Row],[purchase amount]]*northwind_order_details[[#This Row],[discount]]</f>
        <v>0</v>
      </c>
      <c r="J1839" s="1">
        <f>northwind_order_details[[#This Row],[purchase amount]]-northwind_order_details[[#This Row],[discount amount]]</f>
        <v>540</v>
      </c>
      <c r="K1839" s="6" t="str">
        <f>IF(northwind_order_details[[#This Row],[discount amount]]&gt;0,"Yes","No")</f>
        <v>No</v>
      </c>
      <c r="L1839" s="1" t="str">
        <f>IF(northwind_order_details[[#This Row],[Revenue]]&gt;1000,"High",IF(northwind_order_details[[#This Row],[Revenue]]&gt;300,"Medium","Low"))</f>
        <v>Medium</v>
      </c>
      <c r="M18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40" spans="1:13" x14ac:dyDescent="0.25">
      <c r="A1840">
        <v>10979</v>
      </c>
      <c r="B1840">
        <v>12</v>
      </c>
      <c r="C1840" s="6" t="s">
        <v>30</v>
      </c>
      <c r="D1840">
        <v>20</v>
      </c>
      <c r="E1840" s="6" t="s">
        <v>6</v>
      </c>
      <c r="F1840" t="str">
        <f>_xlfn.XLOOKUP(northwind_order_details[[#This Row],[order_id]],northwind_orders[order_id],northwind_orders[ship_country])</f>
        <v>Austria</v>
      </c>
      <c r="G1840">
        <f>INDEX(northwind_orders[],MATCH(northwind_order_details[[#This Row],[order_id]], northwind_orders[order_id], 0), MATCH("employee_id", northwind_orders[#Headers], 0))</f>
        <v>8</v>
      </c>
      <c r="H1840">
        <f>northwind_order_details[[#This Row],[unit_price]]*northwind_order_details[[#This Row],[quantity]]</f>
        <v>760</v>
      </c>
      <c r="I1840" s="1">
        <f>northwind_order_details[[#This Row],[purchase amount]]*northwind_order_details[[#This Row],[discount]]</f>
        <v>0</v>
      </c>
      <c r="J1840" s="1">
        <f>northwind_order_details[[#This Row],[purchase amount]]-northwind_order_details[[#This Row],[discount amount]]</f>
        <v>760</v>
      </c>
      <c r="K1840" s="6" t="str">
        <f>IF(northwind_order_details[[#This Row],[discount amount]]&gt;0,"Yes","No")</f>
        <v>No</v>
      </c>
      <c r="L1840" s="1" t="str">
        <f>IF(northwind_order_details[[#This Row],[Revenue]]&gt;1000,"High",IF(northwind_order_details[[#This Row],[Revenue]]&gt;300,"Medium","Low"))</f>
        <v>Medium</v>
      </c>
      <c r="M18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41" spans="1:13" x14ac:dyDescent="0.25">
      <c r="A1841">
        <v>10979</v>
      </c>
      <c r="B1841">
        <v>24</v>
      </c>
      <c r="C1841" s="6">
        <v>4.5</v>
      </c>
      <c r="D1841">
        <v>80</v>
      </c>
      <c r="E1841" s="6" t="s">
        <v>6</v>
      </c>
      <c r="F1841" t="str">
        <f>_xlfn.XLOOKUP(northwind_order_details[[#This Row],[order_id]],northwind_orders[order_id],northwind_orders[ship_country])</f>
        <v>Austria</v>
      </c>
      <c r="G1841">
        <f>INDEX(northwind_orders[],MATCH(northwind_order_details[[#This Row],[order_id]], northwind_orders[order_id], 0), MATCH("employee_id", northwind_orders[#Headers], 0))</f>
        <v>8</v>
      </c>
      <c r="H1841">
        <f>northwind_order_details[[#This Row],[unit_price]]*northwind_order_details[[#This Row],[quantity]]</f>
        <v>360</v>
      </c>
      <c r="I1841" s="1">
        <f>northwind_order_details[[#This Row],[purchase amount]]*northwind_order_details[[#This Row],[discount]]</f>
        <v>0</v>
      </c>
      <c r="J1841" s="1">
        <f>northwind_order_details[[#This Row],[purchase amount]]-northwind_order_details[[#This Row],[discount amount]]</f>
        <v>360</v>
      </c>
      <c r="K1841" s="6" t="str">
        <f>IF(northwind_order_details[[#This Row],[discount amount]]&gt;0,"Yes","No")</f>
        <v>No</v>
      </c>
      <c r="L1841" s="1" t="str">
        <f>IF(northwind_order_details[[#This Row],[Revenue]]&gt;1000,"High",IF(northwind_order_details[[#This Row],[Revenue]]&gt;300,"Medium","Low"))</f>
        <v>Medium</v>
      </c>
      <c r="M18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42" spans="1:13" x14ac:dyDescent="0.25">
      <c r="A1842">
        <v>10979</v>
      </c>
      <c r="B1842">
        <v>27</v>
      </c>
      <c r="C1842" s="6">
        <v>43.9</v>
      </c>
      <c r="D1842">
        <v>30</v>
      </c>
      <c r="E1842" s="6" t="s">
        <v>6</v>
      </c>
      <c r="F1842" t="str">
        <f>_xlfn.XLOOKUP(northwind_order_details[[#This Row],[order_id]],northwind_orders[order_id],northwind_orders[ship_country])</f>
        <v>Austria</v>
      </c>
      <c r="G1842">
        <f>INDEX(northwind_orders[],MATCH(northwind_order_details[[#This Row],[order_id]], northwind_orders[order_id], 0), MATCH("employee_id", northwind_orders[#Headers], 0))</f>
        <v>8</v>
      </c>
      <c r="H1842">
        <f>northwind_order_details[[#This Row],[unit_price]]*northwind_order_details[[#This Row],[quantity]]</f>
        <v>1317</v>
      </c>
      <c r="I1842" s="1">
        <f>northwind_order_details[[#This Row],[purchase amount]]*northwind_order_details[[#This Row],[discount]]</f>
        <v>0</v>
      </c>
      <c r="J1842" s="1">
        <f>northwind_order_details[[#This Row],[purchase amount]]-northwind_order_details[[#This Row],[discount amount]]</f>
        <v>1317</v>
      </c>
      <c r="K1842" s="6" t="str">
        <f>IF(northwind_order_details[[#This Row],[discount amount]]&gt;0,"Yes","No")</f>
        <v>No</v>
      </c>
      <c r="L1842" s="1" t="str">
        <f>IF(northwind_order_details[[#This Row],[Revenue]]&gt;1000,"High",IF(northwind_order_details[[#This Row],[Revenue]]&gt;300,"Medium","Low"))</f>
        <v>High</v>
      </c>
      <c r="M184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43" spans="1:13" x14ac:dyDescent="0.25">
      <c r="A1843">
        <v>10979</v>
      </c>
      <c r="B1843">
        <v>31</v>
      </c>
      <c r="C1843" s="6">
        <v>12.5</v>
      </c>
      <c r="D1843">
        <v>24</v>
      </c>
      <c r="E1843" s="6" t="s">
        <v>6</v>
      </c>
      <c r="F1843" t="str">
        <f>_xlfn.XLOOKUP(northwind_order_details[[#This Row],[order_id]],northwind_orders[order_id],northwind_orders[ship_country])</f>
        <v>Austria</v>
      </c>
      <c r="G1843">
        <f>INDEX(northwind_orders[],MATCH(northwind_order_details[[#This Row],[order_id]], northwind_orders[order_id], 0), MATCH("employee_id", northwind_orders[#Headers], 0))</f>
        <v>8</v>
      </c>
      <c r="H1843">
        <f>northwind_order_details[[#This Row],[unit_price]]*northwind_order_details[[#This Row],[quantity]]</f>
        <v>300</v>
      </c>
      <c r="I1843" s="1">
        <f>northwind_order_details[[#This Row],[purchase amount]]*northwind_order_details[[#This Row],[discount]]</f>
        <v>0</v>
      </c>
      <c r="J1843" s="1">
        <f>northwind_order_details[[#This Row],[purchase amount]]-northwind_order_details[[#This Row],[discount amount]]</f>
        <v>300</v>
      </c>
      <c r="K1843" s="6" t="str">
        <f>IF(northwind_order_details[[#This Row],[discount amount]]&gt;0,"Yes","No")</f>
        <v>No</v>
      </c>
      <c r="L1843" s="1" t="str">
        <f>IF(northwind_order_details[[#This Row],[Revenue]]&gt;1000,"High",IF(northwind_order_details[[#This Row],[Revenue]]&gt;300,"Medium","Low"))</f>
        <v>Low</v>
      </c>
      <c r="M18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44" spans="1:13" x14ac:dyDescent="0.25">
      <c r="A1844">
        <v>10979</v>
      </c>
      <c r="B1844">
        <v>63</v>
      </c>
      <c r="C1844" s="6">
        <v>43.9</v>
      </c>
      <c r="D1844">
        <v>35</v>
      </c>
      <c r="E1844" s="6" t="s">
        <v>6</v>
      </c>
      <c r="F1844" t="str">
        <f>_xlfn.XLOOKUP(northwind_order_details[[#This Row],[order_id]],northwind_orders[order_id],northwind_orders[ship_country])</f>
        <v>Austria</v>
      </c>
      <c r="G1844">
        <f>INDEX(northwind_orders[],MATCH(northwind_order_details[[#This Row],[order_id]], northwind_orders[order_id], 0), MATCH("employee_id", northwind_orders[#Headers], 0))</f>
        <v>8</v>
      </c>
      <c r="H1844">
        <f>northwind_order_details[[#This Row],[unit_price]]*northwind_order_details[[#This Row],[quantity]]</f>
        <v>1536.5</v>
      </c>
      <c r="I1844" s="1">
        <f>northwind_order_details[[#This Row],[purchase amount]]*northwind_order_details[[#This Row],[discount]]</f>
        <v>0</v>
      </c>
      <c r="J1844" s="1">
        <f>northwind_order_details[[#This Row],[purchase amount]]-northwind_order_details[[#This Row],[discount amount]]</f>
        <v>1536.5</v>
      </c>
      <c r="K1844" s="6" t="str">
        <f>IF(northwind_order_details[[#This Row],[discount amount]]&gt;0,"Yes","No")</f>
        <v>No</v>
      </c>
      <c r="L1844" s="1" t="str">
        <f>IF(northwind_order_details[[#This Row],[Revenue]]&gt;1000,"High",IF(northwind_order_details[[#This Row],[Revenue]]&gt;300,"Medium","Low"))</f>
        <v>High</v>
      </c>
      <c r="M18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45" spans="1:13" x14ac:dyDescent="0.25">
      <c r="A1845">
        <v>10980</v>
      </c>
      <c r="B1845">
        <v>75</v>
      </c>
      <c r="C1845" s="6">
        <v>7.75</v>
      </c>
      <c r="D1845">
        <v>40</v>
      </c>
      <c r="E1845" s="6">
        <v>0.2</v>
      </c>
      <c r="F1845" t="str">
        <f>_xlfn.XLOOKUP(northwind_order_details[[#This Row],[order_id]],northwind_orders[order_id],northwind_orders[ship_country])</f>
        <v>Sweden</v>
      </c>
      <c r="G1845">
        <f>INDEX(northwind_orders[],MATCH(northwind_order_details[[#This Row],[order_id]], northwind_orders[order_id], 0), MATCH("employee_id", northwind_orders[#Headers], 0))</f>
        <v>4</v>
      </c>
      <c r="H1845">
        <f>northwind_order_details[[#This Row],[unit_price]]*northwind_order_details[[#This Row],[quantity]]</f>
        <v>310</v>
      </c>
      <c r="I1845" s="1">
        <f>northwind_order_details[[#This Row],[purchase amount]]*northwind_order_details[[#This Row],[discount]]</f>
        <v>62</v>
      </c>
      <c r="J1845" s="1">
        <f>northwind_order_details[[#This Row],[purchase amount]]-northwind_order_details[[#This Row],[discount amount]]</f>
        <v>248</v>
      </c>
      <c r="K1845" s="6" t="str">
        <f>IF(northwind_order_details[[#This Row],[discount amount]]&gt;0,"Yes","No")</f>
        <v>Yes</v>
      </c>
      <c r="L1845" s="1" t="str">
        <f>IF(northwind_order_details[[#This Row],[Revenue]]&gt;1000,"High",IF(northwind_order_details[[#This Row],[Revenue]]&gt;300,"Medium","Low"))</f>
        <v>Low</v>
      </c>
      <c r="M184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46" spans="1:13" x14ac:dyDescent="0.25">
      <c r="A1846">
        <v>10981</v>
      </c>
      <c r="B1846">
        <v>38</v>
      </c>
      <c r="C1846" s="6">
        <v>263.5</v>
      </c>
      <c r="D1846">
        <v>60</v>
      </c>
      <c r="E1846" s="6" t="s">
        <v>6</v>
      </c>
      <c r="F1846" t="str">
        <f>_xlfn.XLOOKUP(northwind_order_details[[#This Row],[order_id]],northwind_orders[order_id],northwind_orders[ship_country])</f>
        <v>Brazil</v>
      </c>
      <c r="G1846">
        <f>INDEX(northwind_orders[],MATCH(northwind_order_details[[#This Row],[order_id]], northwind_orders[order_id], 0), MATCH("employee_id", northwind_orders[#Headers], 0))</f>
        <v>1</v>
      </c>
      <c r="H1846">
        <f>northwind_order_details[[#This Row],[unit_price]]*northwind_order_details[[#This Row],[quantity]]</f>
        <v>15810</v>
      </c>
      <c r="I1846" s="1">
        <f>northwind_order_details[[#This Row],[purchase amount]]*northwind_order_details[[#This Row],[discount]]</f>
        <v>0</v>
      </c>
      <c r="J1846" s="1">
        <f>northwind_order_details[[#This Row],[purchase amount]]-northwind_order_details[[#This Row],[discount amount]]</f>
        <v>15810</v>
      </c>
      <c r="K1846" s="6" t="str">
        <f>IF(northwind_order_details[[#This Row],[discount amount]]&gt;0,"Yes","No")</f>
        <v>No</v>
      </c>
      <c r="L1846" s="1" t="str">
        <f>IF(northwind_order_details[[#This Row],[Revenue]]&gt;1000,"High",IF(northwind_order_details[[#This Row],[Revenue]]&gt;300,"Medium","Low"))</f>
        <v>High</v>
      </c>
      <c r="M184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47" spans="1:13" x14ac:dyDescent="0.25">
      <c r="A1847">
        <v>10982</v>
      </c>
      <c r="B1847">
        <v>7</v>
      </c>
      <c r="C1847" s="6" t="s">
        <v>26</v>
      </c>
      <c r="D1847">
        <v>20</v>
      </c>
      <c r="E1847" s="6" t="s">
        <v>6</v>
      </c>
      <c r="F1847" t="str">
        <f>_xlfn.XLOOKUP(northwind_order_details[[#This Row],[order_id]],northwind_orders[order_id],northwind_orders[ship_country])</f>
        <v>Canada</v>
      </c>
      <c r="G1847">
        <f>INDEX(northwind_orders[],MATCH(northwind_order_details[[#This Row],[order_id]], northwind_orders[order_id], 0), MATCH("employee_id", northwind_orders[#Headers], 0))</f>
        <v>2</v>
      </c>
      <c r="H1847">
        <f>northwind_order_details[[#This Row],[unit_price]]*northwind_order_details[[#This Row],[quantity]]</f>
        <v>600</v>
      </c>
      <c r="I1847" s="1">
        <f>northwind_order_details[[#This Row],[purchase amount]]*northwind_order_details[[#This Row],[discount]]</f>
        <v>0</v>
      </c>
      <c r="J1847" s="1">
        <f>northwind_order_details[[#This Row],[purchase amount]]-northwind_order_details[[#This Row],[discount amount]]</f>
        <v>600</v>
      </c>
      <c r="K1847" s="6" t="str">
        <f>IF(northwind_order_details[[#This Row],[discount amount]]&gt;0,"Yes","No")</f>
        <v>No</v>
      </c>
      <c r="L1847" s="1" t="str">
        <f>IF(northwind_order_details[[#This Row],[Revenue]]&gt;1000,"High",IF(northwind_order_details[[#This Row],[Revenue]]&gt;300,"Medium","Low"))</f>
        <v>Medium</v>
      </c>
      <c r="M18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48" spans="1:13" x14ac:dyDescent="0.25">
      <c r="A1848">
        <v>10982</v>
      </c>
      <c r="B1848">
        <v>43</v>
      </c>
      <c r="C1848" s="6" t="s">
        <v>22</v>
      </c>
      <c r="D1848">
        <v>9</v>
      </c>
      <c r="E1848" s="6" t="s">
        <v>6</v>
      </c>
      <c r="F1848" t="str">
        <f>_xlfn.XLOOKUP(northwind_order_details[[#This Row],[order_id]],northwind_orders[order_id],northwind_orders[ship_country])</f>
        <v>Canada</v>
      </c>
      <c r="G1848">
        <f>INDEX(northwind_orders[],MATCH(northwind_order_details[[#This Row],[order_id]], northwind_orders[order_id], 0), MATCH("employee_id", northwind_orders[#Headers], 0))</f>
        <v>2</v>
      </c>
      <c r="H1848">
        <f>northwind_order_details[[#This Row],[unit_price]]*northwind_order_details[[#This Row],[quantity]]</f>
        <v>414</v>
      </c>
      <c r="I1848" s="1">
        <f>northwind_order_details[[#This Row],[purchase amount]]*northwind_order_details[[#This Row],[discount]]</f>
        <v>0</v>
      </c>
      <c r="J1848" s="1">
        <f>northwind_order_details[[#This Row],[purchase amount]]-northwind_order_details[[#This Row],[discount amount]]</f>
        <v>414</v>
      </c>
      <c r="K1848" s="6" t="str">
        <f>IF(northwind_order_details[[#This Row],[discount amount]]&gt;0,"Yes","No")</f>
        <v>No</v>
      </c>
      <c r="L1848" s="1" t="str">
        <f>IF(northwind_order_details[[#This Row],[Revenue]]&gt;1000,"High",IF(northwind_order_details[[#This Row],[Revenue]]&gt;300,"Medium","Low"))</f>
        <v>Medium</v>
      </c>
      <c r="M184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49" spans="1:13" x14ac:dyDescent="0.25">
      <c r="A1849">
        <v>10983</v>
      </c>
      <c r="B1849">
        <v>13</v>
      </c>
      <c r="C1849" s="6" t="s">
        <v>23</v>
      </c>
      <c r="D1849">
        <v>84</v>
      </c>
      <c r="E1849" s="6">
        <v>0.15</v>
      </c>
      <c r="F1849" t="str">
        <f>_xlfn.XLOOKUP(northwind_order_details[[#This Row],[order_id]],northwind_orders[order_id],northwind_orders[ship_country])</f>
        <v>USA</v>
      </c>
      <c r="G1849">
        <f>INDEX(northwind_orders[],MATCH(northwind_order_details[[#This Row],[order_id]], northwind_orders[order_id], 0), MATCH("employee_id", northwind_orders[#Headers], 0))</f>
        <v>2</v>
      </c>
      <c r="H1849">
        <f>northwind_order_details[[#This Row],[unit_price]]*northwind_order_details[[#This Row],[quantity]]</f>
        <v>504</v>
      </c>
      <c r="I1849" s="1">
        <f>northwind_order_details[[#This Row],[purchase amount]]*northwind_order_details[[#This Row],[discount]]</f>
        <v>75.599999999999994</v>
      </c>
      <c r="J1849" s="1">
        <f>northwind_order_details[[#This Row],[purchase amount]]-northwind_order_details[[#This Row],[discount amount]]</f>
        <v>428.4</v>
      </c>
      <c r="K1849" s="6" t="str">
        <f>IF(northwind_order_details[[#This Row],[discount amount]]&gt;0,"Yes","No")</f>
        <v>Yes</v>
      </c>
      <c r="L1849" s="1" t="str">
        <f>IF(northwind_order_details[[#This Row],[Revenue]]&gt;1000,"High",IF(northwind_order_details[[#This Row],[Revenue]]&gt;300,"Medium","Low"))</f>
        <v>Medium</v>
      </c>
      <c r="M184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0" spans="1:13" x14ac:dyDescent="0.25">
      <c r="A1850">
        <v>10983</v>
      </c>
      <c r="B1850">
        <v>57</v>
      </c>
      <c r="C1850" s="6">
        <v>19.5</v>
      </c>
      <c r="D1850">
        <v>15</v>
      </c>
      <c r="E1850" s="6" t="s">
        <v>6</v>
      </c>
      <c r="F1850" t="str">
        <f>_xlfn.XLOOKUP(northwind_order_details[[#This Row],[order_id]],northwind_orders[order_id],northwind_orders[ship_country])</f>
        <v>USA</v>
      </c>
      <c r="G1850">
        <f>INDEX(northwind_orders[],MATCH(northwind_order_details[[#This Row],[order_id]], northwind_orders[order_id], 0), MATCH("employee_id", northwind_orders[#Headers], 0))</f>
        <v>2</v>
      </c>
      <c r="H1850">
        <f>northwind_order_details[[#This Row],[unit_price]]*northwind_order_details[[#This Row],[quantity]]</f>
        <v>292.5</v>
      </c>
      <c r="I1850" s="1">
        <f>northwind_order_details[[#This Row],[purchase amount]]*northwind_order_details[[#This Row],[discount]]</f>
        <v>0</v>
      </c>
      <c r="J1850" s="1">
        <f>northwind_order_details[[#This Row],[purchase amount]]-northwind_order_details[[#This Row],[discount amount]]</f>
        <v>292.5</v>
      </c>
      <c r="K1850" s="6" t="str">
        <f>IF(northwind_order_details[[#This Row],[discount amount]]&gt;0,"Yes","No")</f>
        <v>No</v>
      </c>
      <c r="L1850" s="1" t="str">
        <f>IF(northwind_order_details[[#This Row],[Revenue]]&gt;1000,"High",IF(northwind_order_details[[#This Row],[Revenue]]&gt;300,"Medium","Low"))</f>
        <v>Low</v>
      </c>
      <c r="M18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51" spans="1:13" x14ac:dyDescent="0.25">
      <c r="A1851">
        <v>10984</v>
      </c>
      <c r="B1851">
        <v>16</v>
      </c>
      <c r="C1851" s="6">
        <v>17.45</v>
      </c>
      <c r="D1851">
        <v>55</v>
      </c>
      <c r="E1851" s="6" t="s">
        <v>6</v>
      </c>
      <c r="F1851" t="str">
        <f>_xlfn.XLOOKUP(northwind_order_details[[#This Row],[order_id]],northwind_orders[order_id],northwind_orders[ship_country])</f>
        <v>USA</v>
      </c>
      <c r="G1851">
        <f>INDEX(northwind_orders[],MATCH(northwind_order_details[[#This Row],[order_id]], northwind_orders[order_id], 0), MATCH("employee_id", northwind_orders[#Headers], 0))</f>
        <v>1</v>
      </c>
      <c r="H1851">
        <f>northwind_order_details[[#This Row],[unit_price]]*northwind_order_details[[#This Row],[quantity]]</f>
        <v>959.75</v>
      </c>
      <c r="I1851" s="1">
        <f>northwind_order_details[[#This Row],[purchase amount]]*northwind_order_details[[#This Row],[discount]]</f>
        <v>0</v>
      </c>
      <c r="J1851" s="1">
        <f>northwind_order_details[[#This Row],[purchase amount]]-northwind_order_details[[#This Row],[discount amount]]</f>
        <v>959.75</v>
      </c>
      <c r="K1851" s="6" t="str">
        <f>IF(northwind_order_details[[#This Row],[discount amount]]&gt;0,"Yes","No")</f>
        <v>No</v>
      </c>
      <c r="L1851" s="1" t="str">
        <f>IF(northwind_order_details[[#This Row],[Revenue]]&gt;1000,"High",IF(northwind_order_details[[#This Row],[Revenue]]&gt;300,"Medium","Low"))</f>
        <v>Medium</v>
      </c>
      <c r="M18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52" spans="1:13" x14ac:dyDescent="0.25">
      <c r="A1852">
        <v>10984</v>
      </c>
      <c r="B1852">
        <v>24</v>
      </c>
      <c r="C1852" s="6">
        <v>4.5</v>
      </c>
      <c r="D1852">
        <v>20</v>
      </c>
      <c r="E1852" s="6" t="s">
        <v>6</v>
      </c>
      <c r="F1852" t="str">
        <f>_xlfn.XLOOKUP(northwind_order_details[[#This Row],[order_id]],northwind_orders[order_id],northwind_orders[ship_country])</f>
        <v>USA</v>
      </c>
      <c r="G1852">
        <f>INDEX(northwind_orders[],MATCH(northwind_order_details[[#This Row],[order_id]], northwind_orders[order_id], 0), MATCH("employee_id", northwind_orders[#Headers], 0))</f>
        <v>1</v>
      </c>
      <c r="H1852">
        <f>northwind_order_details[[#This Row],[unit_price]]*northwind_order_details[[#This Row],[quantity]]</f>
        <v>90</v>
      </c>
      <c r="I1852" s="1">
        <f>northwind_order_details[[#This Row],[purchase amount]]*northwind_order_details[[#This Row],[discount]]</f>
        <v>0</v>
      </c>
      <c r="J1852" s="1">
        <f>northwind_order_details[[#This Row],[purchase amount]]-northwind_order_details[[#This Row],[discount amount]]</f>
        <v>90</v>
      </c>
      <c r="K1852" s="6" t="str">
        <f>IF(northwind_order_details[[#This Row],[discount amount]]&gt;0,"Yes","No")</f>
        <v>No</v>
      </c>
      <c r="L1852" s="1" t="str">
        <f>IF(northwind_order_details[[#This Row],[Revenue]]&gt;1000,"High",IF(northwind_order_details[[#This Row],[Revenue]]&gt;300,"Medium","Low"))</f>
        <v>Low</v>
      </c>
      <c r="M185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53" spans="1:13" x14ac:dyDescent="0.25">
      <c r="A1853">
        <v>10984</v>
      </c>
      <c r="B1853">
        <v>36</v>
      </c>
      <c r="C1853" s="6" t="s">
        <v>20</v>
      </c>
      <c r="D1853">
        <v>40</v>
      </c>
      <c r="E1853" s="6" t="s">
        <v>6</v>
      </c>
      <c r="F1853" t="str">
        <f>_xlfn.XLOOKUP(northwind_order_details[[#This Row],[order_id]],northwind_orders[order_id],northwind_orders[ship_country])</f>
        <v>USA</v>
      </c>
      <c r="G1853">
        <f>INDEX(northwind_orders[],MATCH(northwind_order_details[[#This Row],[order_id]], northwind_orders[order_id], 0), MATCH("employee_id", northwind_orders[#Headers], 0))</f>
        <v>1</v>
      </c>
      <c r="H1853">
        <f>northwind_order_details[[#This Row],[unit_price]]*northwind_order_details[[#This Row],[quantity]]</f>
        <v>760</v>
      </c>
      <c r="I1853" s="1">
        <f>northwind_order_details[[#This Row],[purchase amount]]*northwind_order_details[[#This Row],[discount]]</f>
        <v>0</v>
      </c>
      <c r="J1853" s="1">
        <f>northwind_order_details[[#This Row],[purchase amount]]-northwind_order_details[[#This Row],[discount amount]]</f>
        <v>760</v>
      </c>
      <c r="K1853" s="6" t="str">
        <f>IF(northwind_order_details[[#This Row],[discount amount]]&gt;0,"Yes","No")</f>
        <v>No</v>
      </c>
      <c r="L1853" s="1" t="str">
        <f>IF(northwind_order_details[[#This Row],[Revenue]]&gt;1000,"High",IF(northwind_order_details[[#This Row],[Revenue]]&gt;300,"Medium","Low"))</f>
        <v>Medium</v>
      </c>
      <c r="M18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4" spans="1:13" x14ac:dyDescent="0.25">
      <c r="A1854">
        <v>10986</v>
      </c>
      <c r="B1854">
        <v>11</v>
      </c>
      <c r="C1854" s="6" t="s">
        <v>37</v>
      </c>
      <c r="D1854">
        <v>30</v>
      </c>
      <c r="E1854" s="6" t="s">
        <v>6</v>
      </c>
      <c r="F1854" t="str">
        <f>_xlfn.XLOOKUP(northwind_order_details[[#This Row],[order_id]],northwind_orders[order_id],northwind_orders[ship_country])</f>
        <v>Argentina</v>
      </c>
      <c r="G1854">
        <f>INDEX(northwind_orders[],MATCH(northwind_order_details[[#This Row],[order_id]], northwind_orders[order_id], 0), MATCH("employee_id", northwind_orders[#Headers], 0))</f>
        <v>8</v>
      </c>
      <c r="H1854">
        <f>northwind_order_details[[#This Row],[unit_price]]*northwind_order_details[[#This Row],[quantity]]</f>
        <v>630</v>
      </c>
      <c r="I1854" s="1">
        <f>northwind_order_details[[#This Row],[purchase amount]]*northwind_order_details[[#This Row],[discount]]</f>
        <v>0</v>
      </c>
      <c r="J1854" s="1">
        <f>northwind_order_details[[#This Row],[purchase amount]]-northwind_order_details[[#This Row],[discount amount]]</f>
        <v>630</v>
      </c>
      <c r="K1854" s="6" t="str">
        <f>IF(northwind_order_details[[#This Row],[discount amount]]&gt;0,"Yes","No")</f>
        <v>No</v>
      </c>
      <c r="L1854" s="1" t="str">
        <f>IF(northwind_order_details[[#This Row],[Revenue]]&gt;1000,"High",IF(northwind_order_details[[#This Row],[Revenue]]&gt;300,"Medium","Low"))</f>
        <v>Medium</v>
      </c>
      <c r="M185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5" spans="1:13" x14ac:dyDescent="0.25">
      <c r="A1855">
        <v>10986</v>
      </c>
      <c r="B1855">
        <v>20</v>
      </c>
      <c r="C1855" s="6" t="s">
        <v>29</v>
      </c>
      <c r="D1855">
        <v>15</v>
      </c>
      <c r="E1855" s="6" t="s">
        <v>6</v>
      </c>
      <c r="F1855" t="str">
        <f>_xlfn.XLOOKUP(northwind_order_details[[#This Row],[order_id]],northwind_orders[order_id],northwind_orders[ship_country])</f>
        <v>Argentina</v>
      </c>
      <c r="G1855">
        <f>INDEX(northwind_orders[],MATCH(northwind_order_details[[#This Row],[order_id]], northwind_orders[order_id], 0), MATCH("employee_id", northwind_orders[#Headers], 0))</f>
        <v>8</v>
      </c>
      <c r="H1855">
        <f>northwind_order_details[[#This Row],[unit_price]]*northwind_order_details[[#This Row],[quantity]]</f>
        <v>1215</v>
      </c>
      <c r="I1855" s="1">
        <f>northwind_order_details[[#This Row],[purchase amount]]*northwind_order_details[[#This Row],[discount]]</f>
        <v>0</v>
      </c>
      <c r="J1855" s="1">
        <f>northwind_order_details[[#This Row],[purchase amount]]-northwind_order_details[[#This Row],[discount amount]]</f>
        <v>1215</v>
      </c>
      <c r="K1855" s="6" t="str">
        <f>IF(northwind_order_details[[#This Row],[discount amount]]&gt;0,"Yes","No")</f>
        <v>No</v>
      </c>
      <c r="L1855" s="1" t="str">
        <f>IF(northwind_order_details[[#This Row],[Revenue]]&gt;1000,"High",IF(northwind_order_details[[#This Row],[Revenue]]&gt;300,"Medium","Low"))</f>
        <v>High</v>
      </c>
      <c r="M18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6" spans="1:13" x14ac:dyDescent="0.25">
      <c r="A1856">
        <v>10986</v>
      </c>
      <c r="B1856">
        <v>76</v>
      </c>
      <c r="C1856" s="6" t="s">
        <v>24</v>
      </c>
      <c r="D1856">
        <v>10</v>
      </c>
      <c r="E1856" s="6" t="s">
        <v>6</v>
      </c>
      <c r="F1856" t="str">
        <f>_xlfn.XLOOKUP(northwind_order_details[[#This Row],[order_id]],northwind_orders[order_id],northwind_orders[ship_country])</f>
        <v>Argentina</v>
      </c>
      <c r="G1856">
        <f>INDEX(northwind_orders[],MATCH(northwind_order_details[[#This Row],[order_id]], northwind_orders[order_id], 0), MATCH("employee_id", northwind_orders[#Headers], 0))</f>
        <v>8</v>
      </c>
      <c r="H1856">
        <f>northwind_order_details[[#This Row],[unit_price]]*northwind_order_details[[#This Row],[quantity]]</f>
        <v>180</v>
      </c>
      <c r="I1856" s="1">
        <f>northwind_order_details[[#This Row],[purchase amount]]*northwind_order_details[[#This Row],[discount]]</f>
        <v>0</v>
      </c>
      <c r="J1856" s="1">
        <f>northwind_order_details[[#This Row],[purchase amount]]-northwind_order_details[[#This Row],[discount amount]]</f>
        <v>180</v>
      </c>
      <c r="K1856" s="6" t="str">
        <f>IF(northwind_order_details[[#This Row],[discount amount]]&gt;0,"Yes","No")</f>
        <v>No</v>
      </c>
      <c r="L1856" s="1" t="str">
        <f>IF(northwind_order_details[[#This Row],[Revenue]]&gt;1000,"High",IF(northwind_order_details[[#This Row],[Revenue]]&gt;300,"Medium","Low"))</f>
        <v>Low</v>
      </c>
      <c r="M185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7" spans="1:13" x14ac:dyDescent="0.25">
      <c r="A1857">
        <v>10986</v>
      </c>
      <c r="B1857">
        <v>77</v>
      </c>
      <c r="C1857" s="6" t="s">
        <v>19</v>
      </c>
      <c r="D1857">
        <v>15</v>
      </c>
      <c r="E1857" s="6" t="s">
        <v>6</v>
      </c>
      <c r="F1857" t="str">
        <f>_xlfn.XLOOKUP(northwind_order_details[[#This Row],[order_id]],northwind_orders[order_id],northwind_orders[ship_country])</f>
        <v>Argentina</v>
      </c>
      <c r="G1857">
        <f>INDEX(northwind_orders[],MATCH(northwind_order_details[[#This Row],[order_id]], northwind_orders[order_id], 0), MATCH("employee_id", northwind_orders[#Headers], 0))</f>
        <v>8</v>
      </c>
      <c r="H1857">
        <f>northwind_order_details[[#This Row],[unit_price]]*northwind_order_details[[#This Row],[quantity]]</f>
        <v>195</v>
      </c>
      <c r="I1857" s="1">
        <f>northwind_order_details[[#This Row],[purchase amount]]*northwind_order_details[[#This Row],[discount]]</f>
        <v>0</v>
      </c>
      <c r="J1857" s="1">
        <f>northwind_order_details[[#This Row],[purchase amount]]-northwind_order_details[[#This Row],[discount amount]]</f>
        <v>195</v>
      </c>
      <c r="K1857" s="6" t="str">
        <f>IF(northwind_order_details[[#This Row],[discount amount]]&gt;0,"Yes","No")</f>
        <v>No</v>
      </c>
      <c r="L1857" s="1" t="str">
        <f>IF(northwind_order_details[[#This Row],[Revenue]]&gt;1000,"High",IF(northwind_order_details[[#This Row],[Revenue]]&gt;300,"Medium","Low"))</f>
        <v>Low</v>
      </c>
      <c r="M185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8" spans="1:13" x14ac:dyDescent="0.25">
      <c r="A1858">
        <v>10987</v>
      </c>
      <c r="B1858">
        <v>7</v>
      </c>
      <c r="C1858" s="6" t="s">
        <v>26</v>
      </c>
      <c r="D1858">
        <v>60</v>
      </c>
      <c r="E1858" s="6" t="s">
        <v>6</v>
      </c>
      <c r="F1858" t="str">
        <f>_xlfn.XLOOKUP(northwind_order_details[[#This Row],[order_id]],northwind_orders[order_id],northwind_orders[ship_country])</f>
        <v>UK</v>
      </c>
      <c r="G1858">
        <f>INDEX(northwind_orders[],MATCH(northwind_order_details[[#This Row],[order_id]], northwind_orders[order_id], 0), MATCH("employee_id", northwind_orders[#Headers], 0))</f>
        <v>8</v>
      </c>
      <c r="H1858">
        <f>northwind_order_details[[#This Row],[unit_price]]*northwind_order_details[[#This Row],[quantity]]</f>
        <v>1800</v>
      </c>
      <c r="I1858" s="1">
        <f>northwind_order_details[[#This Row],[purchase amount]]*northwind_order_details[[#This Row],[discount]]</f>
        <v>0</v>
      </c>
      <c r="J1858" s="1">
        <f>northwind_order_details[[#This Row],[purchase amount]]-northwind_order_details[[#This Row],[discount amount]]</f>
        <v>1800</v>
      </c>
      <c r="K1858" s="6" t="str">
        <f>IF(northwind_order_details[[#This Row],[discount amount]]&gt;0,"Yes","No")</f>
        <v>No</v>
      </c>
      <c r="L1858" s="1" t="str">
        <f>IF(northwind_order_details[[#This Row],[Revenue]]&gt;1000,"High",IF(northwind_order_details[[#This Row],[Revenue]]&gt;300,"Medium","Low"))</f>
        <v>High</v>
      </c>
      <c r="M18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59" spans="1:13" x14ac:dyDescent="0.25">
      <c r="A1859">
        <v>10987</v>
      </c>
      <c r="B1859">
        <v>43</v>
      </c>
      <c r="C1859" s="6" t="s">
        <v>22</v>
      </c>
      <c r="D1859">
        <v>6</v>
      </c>
      <c r="E1859" s="6" t="s">
        <v>6</v>
      </c>
      <c r="F1859" t="str">
        <f>_xlfn.XLOOKUP(northwind_order_details[[#This Row],[order_id]],northwind_orders[order_id],northwind_orders[ship_country])</f>
        <v>UK</v>
      </c>
      <c r="G1859">
        <f>INDEX(northwind_orders[],MATCH(northwind_order_details[[#This Row],[order_id]], northwind_orders[order_id], 0), MATCH("employee_id", northwind_orders[#Headers], 0))</f>
        <v>8</v>
      </c>
      <c r="H1859">
        <f>northwind_order_details[[#This Row],[unit_price]]*northwind_order_details[[#This Row],[quantity]]</f>
        <v>276</v>
      </c>
      <c r="I1859" s="1">
        <f>northwind_order_details[[#This Row],[purchase amount]]*northwind_order_details[[#This Row],[discount]]</f>
        <v>0</v>
      </c>
      <c r="J1859" s="1">
        <f>northwind_order_details[[#This Row],[purchase amount]]-northwind_order_details[[#This Row],[discount amount]]</f>
        <v>276</v>
      </c>
      <c r="K1859" s="6" t="str">
        <f>IF(northwind_order_details[[#This Row],[discount amount]]&gt;0,"Yes","No")</f>
        <v>No</v>
      </c>
      <c r="L1859" s="1" t="str">
        <f>IF(northwind_order_details[[#This Row],[Revenue]]&gt;1000,"High",IF(northwind_order_details[[#This Row],[Revenue]]&gt;300,"Medium","Low"))</f>
        <v>Low</v>
      </c>
      <c r="M18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0" spans="1:13" x14ac:dyDescent="0.25">
      <c r="A1860">
        <v>10987</v>
      </c>
      <c r="B1860">
        <v>72</v>
      </c>
      <c r="C1860" s="6">
        <v>34.799999999999997</v>
      </c>
      <c r="D1860">
        <v>20</v>
      </c>
      <c r="E1860" s="6" t="s">
        <v>6</v>
      </c>
      <c r="F1860" t="str">
        <f>_xlfn.XLOOKUP(northwind_order_details[[#This Row],[order_id]],northwind_orders[order_id],northwind_orders[ship_country])</f>
        <v>UK</v>
      </c>
      <c r="G1860">
        <f>INDEX(northwind_orders[],MATCH(northwind_order_details[[#This Row],[order_id]], northwind_orders[order_id], 0), MATCH("employee_id", northwind_orders[#Headers], 0))</f>
        <v>8</v>
      </c>
      <c r="H1860">
        <f>northwind_order_details[[#This Row],[unit_price]]*northwind_order_details[[#This Row],[quantity]]</f>
        <v>696</v>
      </c>
      <c r="I1860" s="1">
        <f>northwind_order_details[[#This Row],[purchase amount]]*northwind_order_details[[#This Row],[discount]]</f>
        <v>0</v>
      </c>
      <c r="J1860" s="1">
        <f>northwind_order_details[[#This Row],[purchase amount]]-northwind_order_details[[#This Row],[discount amount]]</f>
        <v>696</v>
      </c>
      <c r="K1860" s="6" t="str">
        <f>IF(northwind_order_details[[#This Row],[discount amount]]&gt;0,"Yes","No")</f>
        <v>No</v>
      </c>
      <c r="L1860" s="1" t="str">
        <f>IF(northwind_order_details[[#This Row],[Revenue]]&gt;1000,"High",IF(northwind_order_details[[#This Row],[Revenue]]&gt;300,"Medium","Low"))</f>
        <v>Medium</v>
      </c>
      <c r="M186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61" spans="1:13" x14ac:dyDescent="0.25">
      <c r="A1861">
        <v>10988</v>
      </c>
      <c r="B1861">
        <v>7</v>
      </c>
      <c r="C1861" s="6" t="s">
        <v>26</v>
      </c>
      <c r="D1861">
        <v>60</v>
      </c>
      <c r="E1861" s="6" t="s">
        <v>6</v>
      </c>
      <c r="F1861" t="str">
        <f>_xlfn.XLOOKUP(northwind_order_details[[#This Row],[order_id]],northwind_orders[order_id],northwind_orders[ship_country])</f>
        <v>USA</v>
      </c>
      <c r="G1861">
        <f>INDEX(northwind_orders[],MATCH(northwind_order_details[[#This Row],[order_id]], northwind_orders[order_id], 0), MATCH("employee_id", northwind_orders[#Headers], 0))</f>
        <v>3</v>
      </c>
      <c r="H1861">
        <f>northwind_order_details[[#This Row],[unit_price]]*northwind_order_details[[#This Row],[quantity]]</f>
        <v>1800</v>
      </c>
      <c r="I1861" s="1">
        <f>northwind_order_details[[#This Row],[purchase amount]]*northwind_order_details[[#This Row],[discount]]</f>
        <v>0</v>
      </c>
      <c r="J1861" s="1">
        <f>northwind_order_details[[#This Row],[purchase amount]]-northwind_order_details[[#This Row],[discount amount]]</f>
        <v>1800</v>
      </c>
      <c r="K1861" s="6" t="str">
        <f>IF(northwind_order_details[[#This Row],[discount amount]]&gt;0,"Yes","No")</f>
        <v>No</v>
      </c>
      <c r="L1861" s="1" t="str">
        <f>IF(northwind_order_details[[#This Row],[Revenue]]&gt;1000,"High",IF(northwind_order_details[[#This Row],[Revenue]]&gt;300,"Medium","Low"))</f>
        <v>High</v>
      </c>
      <c r="M186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2" spans="1:13" x14ac:dyDescent="0.25">
      <c r="A1862">
        <v>10988</v>
      </c>
      <c r="B1862">
        <v>62</v>
      </c>
      <c r="C1862" s="6">
        <v>49.3</v>
      </c>
      <c r="D1862">
        <v>40</v>
      </c>
      <c r="E1862" s="6">
        <v>0.1</v>
      </c>
      <c r="F1862" t="str">
        <f>_xlfn.XLOOKUP(northwind_order_details[[#This Row],[order_id]],northwind_orders[order_id],northwind_orders[ship_country])</f>
        <v>USA</v>
      </c>
      <c r="G1862">
        <f>INDEX(northwind_orders[],MATCH(northwind_order_details[[#This Row],[order_id]], northwind_orders[order_id], 0), MATCH("employee_id", northwind_orders[#Headers], 0))</f>
        <v>3</v>
      </c>
      <c r="H1862">
        <f>northwind_order_details[[#This Row],[unit_price]]*northwind_order_details[[#This Row],[quantity]]</f>
        <v>1972</v>
      </c>
      <c r="I1862" s="1">
        <f>northwind_order_details[[#This Row],[purchase amount]]*northwind_order_details[[#This Row],[discount]]</f>
        <v>197.20000000000002</v>
      </c>
      <c r="J1862" s="1">
        <f>northwind_order_details[[#This Row],[purchase amount]]-northwind_order_details[[#This Row],[discount amount]]</f>
        <v>1774.8</v>
      </c>
      <c r="K1862" s="6" t="str">
        <f>IF(northwind_order_details[[#This Row],[discount amount]]&gt;0,"Yes","No")</f>
        <v>Yes</v>
      </c>
      <c r="L1862" s="1" t="str">
        <f>IF(northwind_order_details[[#This Row],[Revenue]]&gt;1000,"High",IF(northwind_order_details[[#This Row],[Revenue]]&gt;300,"Medium","Low"))</f>
        <v>High</v>
      </c>
      <c r="M186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63" spans="1:13" x14ac:dyDescent="0.25">
      <c r="A1863">
        <v>10989</v>
      </c>
      <c r="B1863">
        <v>6</v>
      </c>
      <c r="C1863" s="6" t="s">
        <v>41</v>
      </c>
      <c r="D1863">
        <v>40</v>
      </c>
      <c r="E1863" s="6" t="s">
        <v>6</v>
      </c>
      <c r="F1863" t="str">
        <f>_xlfn.XLOOKUP(northwind_order_details[[#This Row],[order_id]],northwind_orders[order_id],northwind_orders[ship_country])</f>
        <v>Brazil</v>
      </c>
      <c r="G1863">
        <f>INDEX(northwind_orders[],MATCH(northwind_order_details[[#This Row],[order_id]], northwind_orders[order_id], 0), MATCH("employee_id", northwind_orders[#Headers], 0))</f>
        <v>2</v>
      </c>
      <c r="H1863">
        <f>northwind_order_details[[#This Row],[unit_price]]*northwind_order_details[[#This Row],[quantity]]</f>
        <v>1000</v>
      </c>
      <c r="I1863" s="1">
        <f>northwind_order_details[[#This Row],[purchase amount]]*northwind_order_details[[#This Row],[discount]]</f>
        <v>0</v>
      </c>
      <c r="J1863" s="1">
        <f>northwind_order_details[[#This Row],[purchase amount]]-northwind_order_details[[#This Row],[discount amount]]</f>
        <v>1000</v>
      </c>
      <c r="K1863" s="6" t="str">
        <f>IF(northwind_order_details[[#This Row],[discount amount]]&gt;0,"Yes","No")</f>
        <v>No</v>
      </c>
      <c r="L1863" s="1" t="str">
        <f>IF(northwind_order_details[[#This Row],[Revenue]]&gt;1000,"High",IF(northwind_order_details[[#This Row],[Revenue]]&gt;300,"Medium","Low"))</f>
        <v>Medium</v>
      </c>
      <c r="M186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4" spans="1:13" x14ac:dyDescent="0.25">
      <c r="A1864">
        <v>10989</v>
      </c>
      <c r="B1864">
        <v>11</v>
      </c>
      <c r="C1864" s="6" t="s">
        <v>37</v>
      </c>
      <c r="D1864">
        <v>15</v>
      </c>
      <c r="E1864" s="6" t="s">
        <v>6</v>
      </c>
      <c r="F1864" t="str">
        <f>_xlfn.XLOOKUP(northwind_order_details[[#This Row],[order_id]],northwind_orders[order_id],northwind_orders[ship_country])</f>
        <v>Brazil</v>
      </c>
      <c r="G1864">
        <f>INDEX(northwind_orders[],MATCH(northwind_order_details[[#This Row],[order_id]], northwind_orders[order_id], 0), MATCH("employee_id", northwind_orders[#Headers], 0))</f>
        <v>2</v>
      </c>
      <c r="H1864">
        <f>northwind_order_details[[#This Row],[unit_price]]*northwind_order_details[[#This Row],[quantity]]</f>
        <v>315</v>
      </c>
      <c r="I1864" s="1">
        <f>northwind_order_details[[#This Row],[purchase amount]]*northwind_order_details[[#This Row],[discount]]</f>
        <v>0</v>
      </c>
      <c r="J1864" s="1">
        <f>northwind_order_details[[#This Row],[purchase amount]]-northwind_order_details[[#This Row],[discount amount]]</f>
        <v>315</v>
      </c>
      <c r="K1864" s="6" t="str">
        <f>IF(northwind_order_details[[#This Row],[discount amount]]&gt;0,"Yes","No")</f>
        <v>No</v>
      </c>
      <c r="L1864" s="1" t="str">
        <f>IF(northwind_order_details[[#This Row],[Revenue]]&gt;1000,"High",IF(northwind_order_details[[#This Row],[Revenue]]&gt;300,"Medium","Low"))</f>
        <v>Medium</v>
      </c>
      <c r="M186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5" spans="1:13" x14ac:dyDescent="0.25">
      <c r="A1865">
        <v>10989</v>
      </c>
      <c r="B1865">
        <v>41</v>
      </c>
      <c r="C1865" s="6">
        <v>9.65</v>
      </c>
      <c r="D1865">
        <v>4</v>
      </c>
      <c r="E1865" s="6" t="s">
        <v>6</v>
      </c>
      <c r="F1865" t="str">
        <f>_xlfn.XLOOKUP(northwind_order_details[[#This Row],[order_id]],northwind_orders[order_id],northwind_orders[ship_country])</f>
        <v>Brazil</v>
      </c>
      <c r="G1865">
        <f>INDEX(northwind_orders[],MATCH(northwind_order_details[[#This Row],[order_id]], northwind_orders[order_id], 0), MATCH("employee_id", northwind_orders[#Headers], 0))</f>
        <v>2</v>
      </c>
      <c r="H1865">
        <f>northwind_order_details[[#This Row],[unit_price]]*northwind_order_details[[#This Row],[quantity]]</f>
        <v>38.6</v>
      </c>
      <c r="I1865" s="1">
        <f>northwind_order_details[[#This Row],[purchase amount]]*northwind_order_details[[#This Row],[discount]]</f>
        <v>0</v>
      </c>
      <c r="J1865" s="1">
        <f>northwind_order_details[[#This Row],[purchase amount]]-northwind_order_details[[#This Row],[discount amount]]</f>
        <v>38.6</v>
      </c>
      <c r="K1865" s="6" t="str">
        <f>IF(northwind_order_details[[#This Row],[discount amount]]&gt;0,"Yes","No")</f>
        <v>No</v>
      </c>
      <c r="L1865" s="1" t="str">
        <f>IF(northwind_order_details[[#This Row],[Revenue]]&gt;1000,"High",IF(northwind_order_details[[#This Row],[Revenue]]&gt;300,"Medium","Low"))</f>
        <v>Low</v>
      </c>
      <c r="M186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66" spans="1:13" x14ac:dyDescent="0.25">
      <c r="A1866">
        <v>10990</v>
      </c>
      <c r="B1866">
        <v>21</v>
      </c>
      <c r="C1866" s="6" t="s">
        <v>8</v>
      </c>
      <c r="D1866">
        <v>65</v>
      </c>
      <c r="E1866" s="6" t="s">
        <v>6</v>
      </c>
      <c r="F1866" t="str">
        <f>_xlfn.XLOOKUP(northwind_order_details[[#This Row],[order_id]],northwind_orders[order_id],northwind_orders[ship_country])</f>
        <v>Austria</v>
      </c>
      <c r="G1866">
        <f>INDEX(northwind_orders[],MATCH(northwind_order_details[[#This Row],[order_id]], northwind_orders[order_id], 0), MATCH("employee_id", northwind_orders[#Headers], 0))</f>
        <v>2</v>
      </c>
      <c r="H1866">
        <f>northwind_order_details[[#This Row],[unit_price]]*northwind_order_details[[#This Row],[quantity]]</f>
        <v>650</v>
      </c>
      <c r="I1866" s="1">
        <f>northwind_order_details[[#This Row],[purchase amount]]*northwind_order_details[[#This Row],[discount]]</f>
        <v>0</v>
      </c>
      <c r="J1866" s="1">
        <f>northwind_order_details[[#This Row],[purchase amount]]-northwind_order_details[[#This Row],[discount amount]]</f>
        <v>650</v>
      </c>
      <c r="K1866" s="6" t="str">
        <f>IF(northwind_order_details[[#This Row],[discount amount]]&gt;0,"Yes","No")</f>
        <v>No</v>
      </c>
      <c r="L1866" s="1" t="str">
        <f>IF(northwind_order_details[[#This Row],[Revenue]]&gt;1000,"High",IF(northwind_order_details[[#This Row],[Revenue]]&gt;300,"Medium","Low"))</f>
        <v>Medium</v>
      </c>
      <c r="M18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7" spans="1:13" x14ac:dyDescent="0.25">
      <c r="A1867">
        <v>10990</v>
      </c>
      <c r="B1867">
        <v>34</v>
      </c>
      <c r="C1867" s="6" t="s">
        <v>5</v>
      </c>
      <c r="D1867">
        <v>60</v>
      </c>
      <c r="E1867" s="6">
        <v>0.15</v>
      </c>
      <c r="F1867" t="str">
        <f>_xlfn.XLOOKUP(northwind_order_details[[#This Row],[order_id]],northwind_orders[order_id],northwind_orders[ship_country])</f>
        <v>Austria</v>
      </c>
      <c r="G1867">
        <f>INDEX(northwind_orders[],MATCH(northwind_order_details[[#This Row],[order_id]], northwind_orders[order_id], 0), MATCH("employee_id", northwind_orders[#Headers], 0))</f>
        <v>2</v>
      </c>
      <c r="H1867">
        <f>northwind_order_details[[#This Row],[unit_price]]*northwind_order_details[[#This Row],[quantity]]</f>
        <v>840</v>
      </c>
      <c r="I1867" s="1">
        <f>northwind_order_details[[#This Row],[purchase amount]]*northwind_order_details[[#This Row],[discount]]</f>
        <v>126</v>
      </c>
      <c r="J1867" s="1">
        <f>northwind_order_details[[#This Row],[purchase amount]]-northwind_order_details[[#This Row],[discount amount]]</f>
        <v>714</v>
      </c>
      <c r="K1867" s="6" t="str">
        <f>IF(northwind_order_details[[#This Row],[discount amount]]&gt;0,"Yes","No")</f>
        <v>Yes</v>
      </c>
      <c r="L1867" s="1" t="str">
        <f>IF(northwind_order_details[[#This Row],[Revenue]]&gt;1000,"High",IF(northwind_order_details[[#This Row],[Revenue]]&gt;300,"Medium","Low"))</f>
        <v>Medium</v>
      </c>
      <c r="M18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8" spans="1:13" x14ac:dyDescent="0.25">
      <c r="A1868">
        <v>10990</v>
      </c>
      <c r="B1868">
        <v>55</v>
      </c>
      <c r="C1868" s="6" t="s">
        <v>14</v>
      </c>
      <c r="D1868">
        <v>65</v>
      </c>
      <c r="E1868" s="6">
        <v>0.15</v>
      </c>
      <c r="F1868" t="str">
        <f>_xlfn.XLOOKUP(northwind_order_details[[#This Row],[order_id]],northwind_orders[order_id],northwind_orders[ship_country])</f>
        <v>Austria</v>
      </c>
      <c r="G1868">
        <f>INDEX(northwind_orders[],MATCH(northwind_order_details[[#This Row],[order_id]], northwind_orders[order_id], 0), MATCH("employee_id", northwind_orders[#Headers], 0))</f>
        <v>2</v>
      </c>
      <c r="H1868">
        <f>northwind_order_details[[#This Row],[unit_price]]*northwind_order_details[[#This Row],[quantity]]</f>
        <v>1560</v>
      </c>
      <c r="I1868" s="1">
        <f>northwind_order_details[[#This Row],[purchase amount]]*northwind_order_details[[#This Row],[discount]]</f>
        <v>234</v>
      </c>
      <c r="J1868" s="1">
        <f>northwind_order_details[[#This Row],[purchase amount]]-northwind_order_details[[#This Row],[discount amount]]</f>
        <v>1326</v>
      </c>
      <c r="K1868" s="6" t="str">
        <f>IF(northwind_order_details[[#This Row],[discount amount]]&gt;0,"Yes","No")</f>
        <v>Yes</v>
      </c>
      <c r="L1868" s="1" t="str">
        <f>IF(northwind_order_details[[#This Row],[Revenue]]&gt;1000,"High",IF(northwind_order_details[[#This Row],[Revenue]]&gt;300,"Medium","Low"))</f>
        <v>High</v>
      </c>
      <c r="M186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69" spans="1:13" x14ac:dyDescent="0.25">
      <c r="A1869">
        <v>10990</v>
      </c>
      <c r="B1869">
        <v>61</v>
      </c>
      <c r="C1869" s="6">
        <v>28.5</v>
      </c>
      <c r="D1869">
        <v>66</v>
      </c>
      <c r="E1869" s="6">
        <v>0.15</v>
      </c>
      <c r="F1869" t="str">
        <f>_xlfn.XLOOKUP(northwind_order_details[[#This Row],[order_id]],northwind_orders[order_id],northwind_orders[ship_country])</f>
        <v>Austria</v>
      </c>
      <c r="G1869">
        <f>INDEX(northwind_orders[],MATCH(northwind_order_details[[#This Row],[order_id]], northwind_orders[order_id], 0), MATCH("employee_id", northwind_orders[#Headers], 0))</f>
        <v>2</v>
      </c>
      <c r="H1869">
        <f>northwind_order_details[[#This Row],[unit_price]]*northwind_order_details[[#This Row],[quantity]]</f>
        <v>1881</v>
      </c>
      <c r="I1869" s="1">
        <f>northwind_order_details[[#This Row],[purchase amount]]*northwind_order_details[[#This Row],[discount]]</f>
        <v>282.14999999999998</v>
      </c>
      <c r="J1869" s="1">
        <f>northwind_order_details[[#This Row],[purchase amount]]-northwind_order_details[[#This Row],[discount amount]]</f>
        <v>1598.85</v>
      </c>
      <c r="K1869" s="6" t="str">
        <f>IF(northwind_order_details[[#This Row],[discount amount]]&gt;0,"Yes","No")</f>
        <v>Yes</v>
      </c>
      <c r="L1869" s="1" t="str">
        <f>IF(northwind_order_details[[#This Row],[Revenue]]&gt;1000,"High",IF(northwind_order_details[[#This Row],[Revenue]]&gt;300,"Medium","Low"))</f>
        <v>High</v>
      </c>
      <c r="M18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70" spans="1:13" x14ac:dyDescent="0.25">
      <c r="A1870">
        <v>10991</v>
      </c>
      <c r="B1870">
        <v>2</v>
      </c>
      <c r="C1870" s="6" t="s">
        <v>20</v>
      </c>
      <c r="D1870">
        <v>50</v>
      </c>
      <c r="E1870" s="6">
        <v>0.2</v>
      </c>
      <c r="F1870" t="str">
        <f>_xlfn.XLOOKUP(northwind_order_details[[#This Row],[order_id]],northwind_orders[order_id],northwind_orders[ship_country])</f>
        <v>Germany</v>
      </c>
      <c r="G1870">
        <f>INDEX(northwind_orders[],MATCH(northwind_order_details[[#This Row],[order_id]], northwind_orders[order_id], 0), MATCH("employee_id", northwind_orders[#Headers], 0))</f>
        <v>1</v>
      </c>
      <c r="H1870">
        <f>northwind_order_details[[#This Row],[unit_price]]*northwind_order_details[[#This Row],[quantity]]</f>
        <v>950</v>
      </c>
      <c r="I1870" s="1">
        <f>northwind_order_details[[#This Row],[purchase amount]]*northwind_order_details[[#This Row],[discount]]</f>
        <v>190</v>
      </c>
      <c r="J1870" s="1">
        <f>northwind_order_details[[#This Row],[purchase amount]]-northwind_order_details[[#This Row],[discount amount]]</f>
        <v>760</v>
      </c>
      <c r="K1870" s="6" t="str">
        <f>IF(northwind_order_details[[#This Row],[discount amount]]&gt;0,"Yes","No")</f>
        <v>Yes</v>
      </c>
      <c r="L1870" s="1" t="str">
        <f>IF(northwind_order_details[[#This Row],[Revenue]]&gt;1000,"High",IF(northwind_order_details[[#This Row],[Revenue]]&gt;300,"Medium","Low"))</f>
        <v>Medium</v>
      </c>
      <c r="M187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1" spans="1:13" x14ac:dyDescent="0.25">
      <c r="A1871">
        <v>10991</v>
      </c>
      <c r="B1871">
        <v>70</v>
      </c>
      <c r="C1871" s="6" t="s">
        <v>21</v>
      </c>
      <c r="D1871">
        <v>20</v>
      </c>
      <c r="E1871" s="6">
        <v>0.2</v>
      </c>
      <c r="F1871" t="str">
        <f>_xlfn.XLOOKUP(northwind_order_details[[#This Row],[order_id]],northwind_orders[order_id],northwind_orders[ship_country])</f>
        <v>Germany</v>
      </c>
      <c r="G1871">
        <f>INDEX(northwind_orders[],MATCH(northwind_order_details[[#This Row],[order_id]], northwind_orders[order_id], 0), MATCH("employee_id", northwind_orders[#Headers], 0))</f>
        <v>1</v>
      </c>
      <c r="H1871">
        <f>northwind_order_details[[#This Row],[unit_price]]*northwind_order_details[[#This Row],[quantity]]</f>
        <v>300</v>
      </c>
      <c r="I1871" s="1">
        <f>northwind_order_details[[#This Row],[purchase amount]]*northwind_order_details[[#This Row],[discount]]</f>
        <v>60</v>
      </c>
      <c r="J1871" s="1">
        <f>northwind_order_details[[#This Row],[purchase amount]]-northwind_order_details[[#This Row],[discount amount]]</f>
        <v>240</v>
      </c>
      <c r="K1871" s="6" t="str">
        <f>IF(northwind_order_details[[#This Row],[discount amount]]&gt;0,"Yes","No")</f>
        <v>Yes</v>
      </c>
      <c r="L1871" s="1" t="str">
        <f>IF(northwind_order_details[[#This Row],[Revenue]]&gt;1000,"High",IF(northwind_order_details[[#This Row],[Revenue]]&gt;300,"Medium","Low"))</f>
        <v>Low</v>
      </c>
      <c r="M18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2" spans="1:13" x14ac:dyDescent="0.25">
      <c r="A1872">
        <v>10991</v>
      </c>
      <c r="B1872">
        <v>76</v>
      </c>
      <c r="C1872" s="6" t="s">
        <v>24</v>
      </c>
      <c r="D1872">
        <v>90</v>
      </c>
      <c r="E1872" s="6">
        <v>0.2</v>
      </c>
      <c r="F1872" t="str">
        <f>_xlfn.XLOOKUP(northwind_order_details[[#This Row],[order_id]],northwind_orders[order_id],northwind_orders[ship_country])</f>
        <v>Germany</v>
      </c>
      <c r="G1872">
        <f>INDEX(northwind_orders[],MATCH(northwind_order_details[[#This Row],[order_id]], northwind_orders[order_id], 0), MATCH("employee_id", northwind_orders[#Headers], 0))</f>
        <v>1</v>
      </c>
      <c r="H1872">
        <f>northwind_order_details[[#This Row],[unit_price]]*northwind_order_details[[#This Row],[quantity]]</f>
        <v>1620</v>
      </c>
      <c r="I1872" s="1">
        <f>northwind_order_details[[#This Row],[purchase amount]]*northwind_order_details[[#This Row],[discount]]</f>
        <v>324</v>
      </c>
      <c r="J1872" s="1">
        <f>northwind_order_details[[#This Row],[purchase amount]]-northwind_order_details[[#This Row],[discount amount]]</f>
        <v>1296</v>
      </c>
      <c r="K1872" s="6" t="str">
        <f>IF(northwind_order_details[[#This Row],[discount amount]]&gt;0,"Yes","No")</f>
        <v>Yes</v>
      </c>
      <c r="L1872" s="1" t="str">
        <f>IF(northwind_order_details[[#This Row],[Revenue]]&gt;1000,"High",IF(northwind_order_details[[#This Row],[Revenue]]&gt;300,"Medium","Low"))</f>
        <v>High</v>
      </c>
      <c r="M187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3" spans="1:13" x14ac:dyDescent="0.25">
      <c r="A1873">
        <v>10992</v>
      </c>
      <c r="B1873">
        <v>72</v>
      </c>
      <c r="C1873" s="6">
        <v>34.799999999999997</v>
      </c>
      <c r="D1873">
        <v>2</v>
      </c>
      <c r="E1873" s="6" t="s">
        <v>6</v>
      </c>
      <c r="F1873" t="str">
        <f>_xlfn.XLOOKUP(northwind_order_details[[#This Row],[order_id]],northwind_orders[order_id],northwind_orders[ship_country])</f>
        <v>USA</v>
      </c>
      <c r="G1873">
        <f>INDEX(northwind_orders[],MATCH(northwind_order_details[[#This Row],[order_id]], northwind_orders[order_id], 0), MATCH("employee_id", northwind_orders[#Headers], 0))</f>
        <v>1</v>
      </c>
      <c r="H1873">
        <f>northwind_order_details[[#This Row],[unit_price]]*northwind_order_details[[#This Row],[quantity]]</f>
        <v>69.599999999999994</v>
      </c>
      <c r="I1873" s="1">
        <f>northwind_order_details[[#This Row],[purchase amount]]*northwind_order_details[[#This Row],[discount]]</f>
        <v>0</v>
      </c>
      <c r="J1873" s="1">
        <f>northwind_order_details[[#This Row],[purchase amount]]-northwind_order_details[[#This Row],[discount amount]]</f>
        <v>69.599999999999994</v>
      </c>
      <c r="K1873" s="6" t="str">
        <f>IF(northwind_order_details[[#This Row],[discount amount]]&gt;0,"Yes","No")</f>
        <v>No</v>
      </c>
      <c r="L1873" s="1" t="str">
        <f>IF(northwind_order_details[[#This Row],[Revenue]]&gt;1000,"High",IF(northwind_order_details[[#This Row],[Revenue]]&gt;300,"Medium","Low"))</f>
        <v>Low</v>
      </c>
      <c r="M187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74" spans="1:13" x14ac:dyDescent="0.25">
      <c r="A1874">
        <v>10993</v>
      </c>
      <c r="B1874">
        <v>29</v>
      </c>
      <c r="C1874" s="6">
        <v>123.79</v>
      </c>
      <c r="D1874">
        <v>50</v>
      </c>
      <c r="E1874" s="6">
        <v>0.25</v>
      </c>
      <c r="F1874" t="str">
        <f>_xlfn.XLOOKUP(northwind_order_details[[#This Row],[order_id]],northwind_orders[order_id],northwind_orders[ship_country])</f>
        <v>Sweden</v>
      </c>
      <c r="G1874">
        <f>INDEX(northwind_orders[],MATCH(northwind_order_details[[#This Row],[order_id]], northwind_orders[order_id], 0), MATCH("employee_id", northwind_orders[#Headers], 0))</f>
        <v>7</v>
      </c>
      <c r="H1874">
        <f>northwind_order_details[[#This Row],[unit_price]]*northwind_order_details[[#This Row],[quantity]]</f>
        <v>6189.5</v>
      </c>
      <c r="I1874" s="1">
        <f>northwind_order_details[[#This Row],[purchase amount]]*northwind_order_details[[#This Row],[discount]]</f>
        <v>1547.375</v>
      </c>
      <c r="J1874" s="1">
        <f>northwind_order_details[[#This Row],[purchase amount]]-northwind_order_details[[#This Row],[discount amount]]</f>
        <v>4642.125</v>
      </c>
      <c r="K1874" s="6" t="str">
        <f>IF(northwind_order_details[[#This Row],[discount amount]]&gt;0,"Yes","No")</f>
        <v>Yes</v>
      </c>
      <c r="L1874" s="1" t="str">
        <f>IF(northwind_order_details[[#This Row],[Revenue]]&gt;1000,"High",IF(northwind_order_details[[#This Row],[Revenue]]&gt;300,"Medium","Low"))</f>
        <v>High</v>
      </c>
      <c r="M18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75" spans="1:13" x14ac:dyDescent="0.25">
      <c r="A1875">
        <v>10993</v>
      </c>
      <c r="B1875">
        <v>41</v>
      </c>
      <c r="C1875" s="6">
        <v>9.65</v>
      </c>
      <c r="D1875">
        <v>35</v>
      </c>
      <c r="E1875" s="6">
        <v>0.25</v>
      </c>
      <c r="F1875" t="str">
        <f>_xlfn.XLOOKUP(northwind_order_details[[#This Row],[order_id]],northwind_orders[order_id],northwind_orders[ship_country])</f>
        <v>Sweden</v>
      </c>
      <c r="G1875">
        <f>INDEX(northwind_orders[],MATCH(northwind_order_details[[#This Row],[order_id]], northwind_orders[order_id], 0), MATCH("employee_id", northwind_orders[#Headers], 0))</f>
        <v>7</v>
      </c>
      <c r="H1875">
        <f>northwind_order_details[[#This Row],[unit_price]]*northwind_order_details[[#This Row],[quantity]]</f>
        <v>337.75</v>
      </c>
      <c r="I1875" s="1">
        <f>northwind_order_details[[#This Row],[purchase amount]]*northwind_order_details[[#This Row],[discount]]</f>
        <v>84.4375</v>
      </c>
      <c r="J1875" s="1">
        <f>northwind_order_details[[#This Row],[purchase amount]]-northwind_order_details[[#This Row],[discount amount]]</f>
        <v>253.3125</v>
      </c>
      <c r="K1875" s="6" t="str">
        <f>IF(northwind_order_details[[#This Row],[discount amount]]&gt;0,"Yes","No")</f>
        <v>Yes</v>
      </c>
      <c r="L1875" s="1" t="str">
        <f>IF(northwind_order_details[[#This Row],[Revenue]]&gt;1000,"High",IF(northwind_order_details[[#This Row],[Revenue]]&gt;300,"Medium","Low"))</f>
        <v>Low</v>
      </c>
      <c r="M187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76" spans="1:13" x14ac:dyDescent="0.25">
      <c r="A1876">
        <v>10994</v>
      </c>
      <c r="B1876">
        <v>59</v>
      </c>
      <c r="C1876" s="6" t="s">
        <v>33</v>
      </c>
      <c r="D1876">
        <v>18</v>
      </c>
      <c r="E1876" s="6">
        <v>0.05</v>
      </c>
      <c r="F1876" t="str">
        <f>_xlfn.XLOOKUP(northwind_order_details[[#This Row],[order_id]],northwind_orders[order_id],northwind_orders[ship_country])</f>
        <v>Denmark</v>
      </c>
      <c r="G1876">
        <f>INDEX(northwind_orders[],MATCH(northwind_order_details[[#This Row],[order_id]], northwind_orders[order_id], 0), MATCH("employee_id", northwind_orders[#Headers], 0))</f>
        <v>2</v>
      </c>
      <c r="H1876">
        <f>northwind_order_details[[#This Row],[unit_price]]*northwind_order_details[[#This Row],[quantity]]</f>
        <v>990</v>
      </c>
      <c r="I1876" s="1">
        <f>northwind_order_details[[#This Row],[purchase amount]]*northwind_order_details[[#This Row],[discount]]</f>
        <v>49.5</v>
      </c>
      <c r="J1876" s="1">
        <f>northwind_order_details[[#This Row],[purchase amount]]-northwind_order_details[[#This Row],[discount amount]]</f>
        <v>940.5</v>
      </c>
      <c r="K1876" s="6" t="str">
        <f>IF(northwind_order_details[[#This Row],[discount amount]]&gt;0,"Yes","No")</f>
        <v>Yes</v>
      </c>
      <c r="L1876" s="1" t="str">
        <f>IF(northwind_order_details[[#This Row],[Revenue]]&gt;1000,"High",IF(northwind_order_details[[#This Row],[Revenue]]&gt;300,"Medium","Low"))</f>
        <v>Medium</v>
      </c>
      <c r="M18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7" spans="1:13" x14ac:dyDescent="0.25">
      <c r="A1877">
        <v>10995</v>
      </c>
      <c r="B1877">
        <v>51</v>
      </c>
      <c r="C1877" s="6" t="s">
        <v>39</v>
      </c>
      <c r="D1877">
        <v>20</v>
      </c>
      <c r="E1877" s="6" t="s">
        <v>6</v>
      </c>
      <c r="F1877" t="str">
        <f>_xlfn.XLOOKUP(northwind_order_details[[#This Row],[order_id]],northwind_orders[order_id],northwind_orders[ship_country])</f>
        <v>Mexico</v>
      </c>
      <c r="G1877">
        <f>INDEX(northwind_orders[],MATCH(northwind_order_details[[#This Row],[order_id]], northwind_orders[order_id], 0), MATCH("employee_id", northwind_orders[#Headers], 0))</f>
        <v>1</v>
      </c>
      <c r="H1877">
        <f>northwind_order_details[[#This Row],[unit_price]]*northwind_order_details[[#This Row],[quantity]]</f>
        <v>1060</v>
      </c>
      <c r="I1877" s="1">
        <f>northwind_order_details[[#This Row],[purchase amount]]*northwind_order_details[[#This Row],[discount]]</f>
        <v>0</v>
      </c>
      <c r="J1877" s="1">
        <f>northwind_order_details[[#This Row],[purchase amount]]-northwind_order_details[[#This Row],[discount amount]]</f>
        <v>1060</v>
      </c>
      <c r="K1877" s="6" t="str">
        <f>IF(northwind_order_details[[#This Row],[discount amount]]&gt;0,"Yes","No")</f>
        <v>No</v>
      </c>
      <c r="L1877" s="1" t="str">
        <f>IF(northwind_order_details[[#This Row],[Revenue]]&gt;1000,"High",IF(northwind_order_details[[#This Row],[Revenue]]&gt;300,"Medium","Low"))</f>
        <v>High</v>
      </c>
      <c r="M187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8" spans="1:13" x14ac:dyDescent="0.25">
      <c r="A1878">
        <v>10995</v>
      </c>
      <c r="B1878">
        <v>60</v>
      </c>
      <c r="C1878" s="6" t="s">
        <v>28</v>
      </c>
      <c r="D1878">
        <v>4</v>
      </c>
      <c r="E1878" s="6" t="s">
        <v>6</v>
      </c>
      <c r="F1878" t="str">
        <f>_xlfn.XLOOKUP(northwind_order_details[[#This Row],[order_id]],northwind_orders[order_id],northwind_orders[ship_country])</f>
        <v>Mexico</v>
      </c>
      <c r="G1878">
        <f>INDEX(northwind_orders[],MATCH(northwind_order_details[[#This Row],[order_id]], northwind_orders[order_id], 0), MATCH("employee_id", northwind_orders[#Headers], 0))</f>
        <v>1</v>
      </c>
      <c r="H1878">
        <f>northwind_order_details[[#This Row],[unit_price]]*northwind_order_details[[#This Row],[quantity]]</f>
        <v>136</v>
      </c>
      <c r="I1878" s="1">
        <f>northwind_order_details[[#This Row],[purchase amount]]*northwind_order_details[[#This Row],[discount]]</f>
        <v>0</v>
      </c>
      <c r="J1878" s="1">
        <f>northwind_order_details[[#This Row],[purchase amount]]-northwind_order_details[[#This Row],[discount amount]]</f>
        <v>136</v>
      </c>
      <c r="K1878" s="6" t="str">
        <f>IF(northwind_order_details[[#This Row],[discount amount]]&gt;0,"Yes","No")</f>
        <v>No</v>
      </c>
      <c r="L1878" s="1" t="str">
        <f>IF(northwind_order_details[[#This Row],[Revenue]]&gt;1000,"High",IF(northwind_order_details[[#This Row],[Revenue]]&gt;300,"Medium","Low"))</f>
        <v>Low</v>
      </c>
      <c r="M187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79" spans="1:13" x14ac:dyDescent="0.25">
      <c r="A1879">
        <v>10996</v>
      </c>
      <c r="B1879">
        <v>42</v>
      </c>
      <c r="C1879" s="6" t="s">
        <v>5</v>
      </c>
      <c r="D1879">
        <v>40</v>
      </c>
      <c r="E1879" s="6" t="s">
        <v>6</v>
      </c>
      <c r="F1879" t="str">
        <f>_xlfn.XLOOKUP(northwind_order_details[[#This Row],[order_id]],northwind_orders[order_id],northwind_orders[ship_country])</f>
        <v>Germany</v>
      </c>
      <c r="G1879">
        <f>INDEX(northwind_orders[],MATCH(northwind_order_details[[#This Row],[order_id]], northwind_orders[order_id], 0), MATCH("employee_id", northwind_orders[#Headers], 0))</f>
        <v>4</v>
      </c>
      <c r="H1879">
        <f>northwind_order_details[[#This Row],[unit_price]]*northwind_order_details[[#This Row],[quantity]]</f>
        <v>560</v>
      </c>
      <c r="I1879" s="1">
        <f>northwind_order_details[[#This Row],[purchase amount]]*northwind_order_details[[#This Row],[discount]]</f>
        <v>0</v>
      </c>
      <c r="J1879" s="1">
        <f>northwind_order_details[[#This Row],[purchase amount]]-northwind_order_details[[#This Row],[discount amount]]</f>
        <v>560</v>
      </c>
      <c r="K1879" s="6" t="str">
        <f>IF(northwind_order_details[[#This Row],[discount amount]]&gt;0,"Yes","No")</f>
        <v>No</v>
      </c>
      <c r="L1879" s="1" t="str">
        <f>IF(northwind_order_details[[#This Row],[Revenue]]&gt;1000,"High",IF(northwind_order_details[[#This Row],[Revenue]]&gt;300,"Medium","Low"))</f>
        <v>Medium</v>
      </c>
      <c r="M18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0" spans="1:13" x14ac:dyDescent="0.25">
      <c r="A1880">
        <v>10997</v>
      </c>
      <c r="B1880">
        <v>32</v>
      </c>
      <c r="C1880" s="6" t="s">
        <v>18</v>
      </c>
      <c r="D1880">
        <v>50</v>
      </c>
      <c r="E1880" s="6" t="s">
        <v>6</v>
      </c>
      <c r="F1880" t="str">
        <f>_xlfn.XLOOKUP(northwind_order_details[[#This Row],[order_id]],northwind_orders[order_id],northwind_orders[ship_country])</f>
        <v>Venezuela</v>
      </c>
      <c r="G1880">
        <f>INDEX(northwind_orders[],MATCH(northwind_order_details[[#This Row],[order_id]], northwind_orders[order_id], 0), MATCH("employee_id", northwind_orders[#Headers], 0))</f>
        <v>8</v>
      </c>
      <c r="H1880">
        <f>northwind_order_details[[#This Row],[unit_price]]*northwind_order_details[[#This Row],[quantity]]</f>
        <v>1600</v>
      </c>
      <c r="I1880" s="1">
        <f>northwind_order_details[[#This Row],[purchase amount]]*northwind_order_details[[#This Row],[discount]]</f>
        <v>0</v>
      </c>
      <c r="J1880" s="1">
        <f>northwind_order_details[[#This Row],[purchase amount]]-northwind_order_details[[#This Row],[discount amount]]</f>
        <v>1600</v>
      </c>
      <c r="K1880" s="6" t="str">
        <f>IF(northwind_order_details[[#This Row],[discount amount]]&gt;0,"Yes","No")</f>
        <v>No</v>
      </c>
      <c r="L1880" s="1" t="str">
        <f>IF(northwind_order_details[[#This Row],[Revenue]]&gt;1000,"High",IF(northwind_order_details[[#This Row],[Revenue]]&gt;300,"Medium","Low"))</f>
        <v>High</v>
      </c>
      <c r="M18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1" spans="1:13" x14ac:dyDescent="0.25">
      <c r="A1881">
        <v>10997</v>
      </c>
      <c r="B1881">
        <v>46</v>
      </c>
      <c r="C1881" s="6" t="s">
        <v>13</v>
      </c>
      <c r="D1881">
        <v>20</v>
      </c>
      <c r="E1881" s="6">
        <v>0.25</v>
      </c>
      <c r="F1881" t="str">
        <f>_xlfn.XLOOKUP(northwind_order_details[[#This Row],[order_id]],northwind_orders[order_id],northwind_orders[ship_country])</f>
        <v>Venezuela</v>
      </c>
      <c r="G1881">
        <f>INDEX(northwind_orders[],MATCH(northwind_order_details[[#This Row],[order_id]], northwind_orders[order_id], 0), MATCH("employee_id", northwind_orders[#Headers], 0))</f>
        <v>8</v>
      </c>
      <c r="H1881">
        <f>northwind_order_details[[#This Row],[unit_price]]*northwind_order_details[[#This Row],[quantity]]</f>
        <v>240</v>
      </c>
      <c r="I1881" s="1">
        <f>northwind_order_details[[#This Row],[purchase amount]]*northwind_order_details[[#This Row],[discount]]</f>
        <v>60</v>
      </c>
      <c r="J1881" s="1">
        <f>northwind_order_details[[#This Row],[purchase amount]]-northwind_order_details[[#This Row],[discount amount]]</f>
        <v>180</v>
      </c>
      <c r="K1881" s="6" t="str">
        <f>IF(northwind_order_details[[#This Row],[discount amount]]&gt;0,"Yes","No")</f>
        <v>Yes</v>
      </c>
      <c r="L1881" s="1" t="str">
        <f>IF(northwind_order_details[[#This Row],[Revenue]]&gt;1000,"High",IF(northwind_order_details[[#This Row],[Revenue]]&gt;300,"Medium","Low"))</f>
        <v>Low</v>
      </c>
      <c r="M18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2" spans="1:13" x14ac:dyDescent="0.25">
      <c r="A1882">
        <v>10997</v>
      </c>
      <c r="B1882">
        <v>52</v>
      </c>
      <c r="C1882" s="6" t="s">
        <v>32</v>
      </c>
      <c r="D1882">
        <v>20</v>
      </c>
      <c r="E1882" s="6">
        <v>0.25</v>
      </c>
      <c r="F1882" t="str">
        <f>_xlfn.XLOOKUP(northwind_order_details[[#This Row],[order_id]],northwind_orders[order_id],northwind_orders[ship_country])</f>
        <v>Venezuela</v>
      </c>
      <c r="G1882">
        <f>INDEX(northwind_orders[],MATCH(northwind_order_details[[#This Row],[order_id]], northwind_orders[order_id], 0), MATCH("employee_id", northwind_orders[#Headers], 0))</f>
        <v>8</v>
      </c>
      <c r="H1882">
        <f>northwind_order_details[[#This Row],[unit_price]]*northwind_order_details[[#This Row],[quantity]]</f>
        <v>140</v>
      </c>
      <c r="I1882" s="1">
        <f>northwind_order_details[[#This Row],[purchase amount]]*northwind_order_details[[#This Row],[discount]]</f>
        <v>35</v>
      </c>
      <c r="J1882" s="1">
        <f>northwind_order_details[[#This Row],[purchase amount]]-northwind_order_details[[#This Row],[discount amount]]</f>
        <v>105</v>
      </c>
      <c r="K1882" s="6" t="str">
        <f>IF(northwind_order_details[[#This Row],[discount amount]]&gt;0,"Yes","No")</f>
        <v>Yes</v>
      </c>
      <c r="L1882" s="1" t="str">
        <f>IF(northwind_order_details[[#This Row],[Revenue]]&gt;1000,"High",IF(northwind_order_details[[#This Row],[Revenue]]&gt;300,"Medium","Low"))</f>
        <v>Low</v>
      </c>
      <c r="M188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3" spans="1:13" x14ac:dyDescent="0.25">
      <c r="A1883">
        <v>10998</v>
      </c>
      <c r="B1883">
        <v>24</v>
      </c>
      <c r="C1883" s="6">
        <v>4.5</v>
      </c>
      <c r="D1883">
        <v>12</v>
      </c>
      <c r="E1883" s="6" t="s">
        <v>6</v>
      </c>
      <c r="F1883" t="str">
        <f>_xlfn.XLOOKUP(northwind_order_details[[#This Row],[order_id]],northwind_orders[order_id],northwind_orders[ship_country])</f>
        <v>Poland</v>
      </c>
      <c r="G1883">
        <f>INDEX(northwind_orders[],MATCH(northwind_order_details[[#This Row],[order_id]], northwind_orders[order_id], 0), MATCH("employee_id", northwind_orders[#Headers], 0))</f>
        <v>8</v>
      </c>
      <c r="H1883">
        <f>northwind_order_details[[#This Row],[unit_price]]*northwind_order_details[[#This Row],[quantity]]</f>
        <v>54</v>
      </c>
      <c r="I1883" s="1">
        <f>northwind_order_details[[#This Row],[purchase amount]]*northwind_order_details[[#This Row],[discount]]</f>
        <v>0</v>
      </c>
      <c r="J1883" s="1">
        <f>northwind_order_details[[#This Row],[purchase amount]]-northwind_order_details[[#This Row],[discount amount]]</f>
        <v>54</v>
      </c>
      <c r="K1883" s="6" t="str">
        <f>IF(northwind_order_details[[#This Row],[discount amount]]&gt;0,"Yes","No")</f>
        <v>No</v>
      </c>
      <c r="L1883" s="1" t="str">
        <f>IF(northwind_order_details[[#This Row],[Revenue]]&gt;1000,"High",IF(northwind_order_details[[#This Row],[Revenue]]&gt;300,"Medium","Low"))</f>
        <v>Low</v>
      </c>
      <c r="M188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84" spans="1:13" x14ac:dyDescent="0.25">
      <c r="A1884">
        <v>10998</v>
      </c>
      <c r="B1884">
        <v>61</v>
      </c>
      <c r="C1884" s="6">
        <v>28.5</v>
      </c>
      <c r="D1884">
        <v>7</v>
      </c>
      <c r="E1884" s="6" t="s">
        <v>6</v>
      </c>
      <c r="F1884" t="str">
        <f>_xlfn.XLOOKUP(northwind_order_details[[#This Row],[order_id]],northwind_orders[order_id],northwind_orders[ship_country])</f>
        <v>Poland</v>
      </c>
      <c r="G1884">
        <f>INDEX(northwind_orders[],MATCH(northwind_order_details[[#This Row],[order_id]], northwind_orders[order_id], 0), MATCH("employee_id", northwind_orders[#Headers], 0))</f>
        <v>8</v>
      </c>
      <c r="H1884">
        <f>northwind_order_details[[#This Row],[unit_price]]*northwind_order_details[[#This Row],[quantity]]</f>
        <v>199.5</v>
      </c>
      <c r="I1884" s="1">
        <f>northwind_order_details[[#This Row],[purchase amount]]*northwind_order_details[[#This Row],[discount]]</f>
        <v>0</v>
      </c>
      <c r="J1884" s="1">
        <f>northwind_order_details[[#This Row],[purchase amount]]-northwind_order_details[[#This Row],[discount amount]]</f>
        <v>199.5</v>
      </c>
      <c r="K1884" s="6" t="str">
        <f>IF(northwind_order_details[[#This Row],[discount amount]]&gt;0,"Yes","No")</f>
        <v>No</v>
      </c>
      <c r="L1884" s="1" t="str">
        <f>IF(northwind_order_details[[#This Row],[Revenue]]&gt;1000,"High",IF(northwind_order_details[[#This Row],[Revenue]]&gt;300,"Medium","Low"))</f>
        <v>Low</v>
      </c>
      <c r="M188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85" spans="1:13" x14ac:dyDescent="0.25">
      <c r="A1885">
        <v>10998</v>
      </c>
      <c r="B1885">
        <v>74</v>
      </c>
      <c r="C1885" s="6" t="s">
        <v>8</v>
      </c>
      <c r="D1885">
        <v>20</v>
      </c>
      <c r="E1885" s="6" t="s">
        <v>6</v>
      </c>
      <c r="F1885" t="str">
        <f>_xlfn.XLOOKUP(northwind_order_details[[#This Row],[order_id]],northwind_orders[order_id],northwind_orders[ship_country])</f>
        <v>Poland</v>
      </c>
      <c r="G1885">
        <f>INDEX(northwind_orders[],MATCH(northwind_order_details[[#This Row],[order_id]], northwind_orders[order_id], 0), MATCH("employee_id", northwind_orders[#Headers], 0))</f>
        <v>8</v>
      </c>
      <c r="H1885">
        <f>northwind_order_details[[#This Row],[unit_price]]*northwind_order_details[[#This Row],[quantity]]</f>
        <v>200</v>
      </c>
      <c r="I1885" s="1">
        <f>northwind_order_details[[#This Row],[purchase amount]]*northwind_order_details[[#This Row],[discount]]</f>
        <v>0</v>
      </c>
      <c r="J1885" s="1">
        <f>northwind_order_details[[#This Row],[purchase amount]]-northwind_order_details[[#This Row],[discount amount]]</f>
        <v>200</v>
      </c>
      <c r="K1885" s="6" t="str">
        <f>IF(northwind_order_details[[#This Row],[discount amount]]&gt;0,"Yes","No")</f>
        <v>No</v>
      </c>
      <c r="L1885" s="1" t="str">
        <f>IF(northwind_order_details[[#This Row],[Revenue]]&gt;1000,"High",IF(northwind_order_details[[#This Row],[Revenue]]&gt;300,"Medium","Low"))</f>
        <v>Low</v>
      </c>
      <c r="M18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6" spans="1:13" x14ac:dyDescent="0.25">
      <c r="A1886">
        <v>10998</v>
      </c>
      <c r="B1886">
        <v>75</v>
      </c>
      <c r="C1886" s="6">
        <v>7.75</v>
      </c>
      <c r="D1886">
        <v>30</v>
      </c>
      <c r="E1886" s="6" t="s">
        <v>6</v>
      </c>
      <c r="F1886" t="str">
        <f>_xlfn.XLOOKUP(northwind_order_details[[#This Row],[order_id]],northwind_orders[order_id],northwind_orders[ship_country])</f>
        <v>Poland</v>
      </c>
      <c r="G1886">
        <f>INDEX(northwind_orders[],MATCH(northwind_order_details[[#This Row],[order_id]], northwind_orders[order_id], 0), MATCH("employee_id", northwind_orders[#Headers], 0))</f>
        <v>8</v>
      </c>
      <c r="H1886">
        <f>northwind_order_details[[#This Row],[unit_price]]*northwind_order_details[[#This Row],[quantity]]</f>
        <v>232.5</v>
      </c>
      <c r="I1886" s="1">
        <f>northwind_order_details[[#This Row],[purchase amount]]*northwind_order_details[[#This Row],[discount]]</f>
        <v>0</v>
      </c>
      <c r="J1886" s="1">
        <f>northwind_order_details[[#This Row],[purchase amount]]-northwind_order_details[[#This Row],[discount amount]]</f>
        <v>232.5</v>
      </c>
      <c r="K1886" s="6" t="str">
        <f>IF(northwind_order_details[[#This Row],[discount amount]]&gt;0,"Yes","No")</f>
        <v>No</v>
      </c>
      <c r="L1886" s="1" t="str">
        <f>IF(northwind_order_details[[#This Row],[Revenue]]&gt;1000,"High",IF(northwind_order_details[[#This Row],[Revenue]]&gt;300,"Medium","Low"))</f>
        <v>Low</v>
      </c>
      <c r="M18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87" spans="1:13" x14ac:dyDescent="0.25">
      <c r="A1887">
        <v>10999</v>
      </c>
      <c r="B1887">
        <v>41</v>
      </c>
      <c r="C1887" s="6">
        <v>9.65</v>
      </c>
      <c r="D1887">
        <v>20</v>
      </c>
      <c r="E1887" s="6">
        <v>0.05</v>
      </c>
      <c r="F1887" t="str">
        <f>_xlfn.XLOOKUP(northwind_order_details[[#This Row],[order_id]],northwind_orders[order_id],northwind_orders[ship_country])</f>
        <v>Germany</v>
      </c>
      <c r="G1887">
        <f>INDEX(northwind_orders[],MATCH(northwind_order_details[[#This Row],[order_id]], northwind_orders[order_id], 0), MATCH("employee_id", northwind_orders[#Headers], 0))</f>
        <v>6</v>
      </c>
      <c r="H1887">
        <f>northwind_order_details[[#This Row],[unit_price]]*northwind_order_details[[#This Row],[quantity]]</f>
        <v>193</v>
      </c>
      <c r="I1887" s="1">
        <f>northwind_order_details[[#This Row],[purchase amount]]*northwind_order_details[[#This Row],[discount]]</f>
        <v>9.65</v>
      </c>
      <c r="J1887" s="1">
        <f>northwind_order_details[[#This Row],[purchase amount]]-northwind_order_details[[#This Row],[discount amount]]</f>
        <v>183.35</v>
      </c>
      <c r="K1887" s="6" t="str">
        <f>IF(northwind_order_details[[#This Row],[discount amount]]&gt;0,"Yes","No")</f>
        <v>Yes</v>
      </c>
      <c r="L1887" s="1" t="str">
        <f>IF(northwind_order_details[[#This Row],[Revenue]]&gt;1000,"High",IF(northwind_order_details[[#This Row],[Revenue]]&gt;300,"Medium","Low"))</f>
        <v>Low</v>
      </c>
      <c r="M188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88" spans="1:13" x14ac:dyDescent="0.25">
      <c r="A1888">
        <v>10999</v>
      </c>
      <c r="B1888">
        <v>51</v>
      </c>
      <c r="C1888" s="6" t="s">
        <v>39</v>
      </c>
      <c r="D1888">
        <v>15</v>
      </c>
      <c r="E1888" s="6">
        <v>0.05</v>
      </c>
      <c r="F1888" t="str">
        <f>_xlfn.XLOOKUP(northwind_order_details[[#This Row],[order_id]],northwind_orders[order_id],northwind_orders[ship_country])</f>
        <v>Germany</v>
      </c>
      <c r="G1888">
        <f>INDEX(northwind_orders[],MATCH(northwind_order_details[[#This Row],[order_id]], northwind_orders[order_id], 0), MATCH("employee_id", northwind_orders[#Headers], 0))</f>
        <v>6</v>
      </c>
      <c r="H1888">
        <f>northwind_order_details[[#This Row],[unit_price]]*northwind_order_details[[#This Row],[quantity]]</f>
        <v>795</v>
      </c>
      <c r="I1888" s="1">
        <f>northwind_order_details[[#This Row],[purchase amount]]*northwind_order_details[[#This Row],[discount]]</f>
        <v>39.75</v>
      </c>
      <c r="J1888" s="1">
        <f>northwind_order_details[[#This Row],[purchase amount]]-northwind_order_details[[#This Row],[discount amount]]</f>
        <v>755.25</v>
      </c>
      <c r="K1888" s="6" t="str">
        <f>IF(northwind_order_details[[#This Row],[discount amount]]&gt;0,"Yes","No")</f>
        <v>Yes</v>
      </c>
      <c r="L1888" s="1" t="str">
        <f>IF(northwind_order_details[[#This Row],[Revenue]]&gt;1000,"High",IF(northwind_order_details[[#This Row],[Revenue]]&gt;300,"Medium","Low"))</f>
        <v>Medium</v>
      </c>
      <c r="M188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89" spans="1:13" x14ac:dyDescent="0.25">
      <c r="A1889">
        <v>10999</v>
      </c>
      <c r="B1889">
        <v>77</v>
      </c>
      <c r="C1889" s="6" t="s">
        <v>19</v>
      </c>
      <c r="D1889">
        <v>21</v>
      </c>
      <c r="E1889" s="6">
        <v>0.05</v>
      </c>
      <c r="F1889" t="str">
        <f>_xlfn.XLOOKUP(northwind_order_details[[#This Row],[order_id]],northwind_orders[order_id],northwind_orders[ship_country])</f>
        <v>Germany</v>
      </c>
      <c r="G1889">
        <f>INDEX(northwind_orders[],MATCH(northwind_order_details[[#This Row],[order_id]], northwind_orders[order_id], 0), MATCH("employee_id", northwind_orders[#Headers], 0))</f>
        <v>6</v>
      </c>
      <c r="H1889">
        <f>northwind_order_details[[#This Row],[unit_price]]*northwind_order_details[[#This Row],[quantity]]</f>
        <v>273</v>
      </c>
      <c r="I1889" s="1">
        <f>northwind_order_details[[#This Row],[purchase amount]]*northwind_order_details[[#This Row],[discount]]</f>
        <v>13.65</v>
      </c>
      <c r="J1889" s="1">
        <f>northwind_order_details[[#This Row],[purchase amount]]-northwind_order_details[[#This Row],[discount amount]]</f>
        <v>259.35000000000002</v>
      </c>
      <c r="K1889" s="6" t="str">
        <f>IF(northwind_order_details[[#This Row],[discount amount]]&gt;0,"Yes","No")</f>
        <v>Yes</v>
      </c>
      <c r="L1889" s="1" t="str">
        <f>IF(northwind_order_details[[#This Row],[Revenue]]&gt;1000,"High",IF(northwind_order_details[[#This Row],[Revenue]]&gt;300,"Medium","Low"))</f>
        <v>Low</v>
      </c>
      <c r="M18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0" spans="1:13" x14ac:dyDescent="0.25">
      <c r="A1890">
        <v>11000</v>
      </c>
      <c r="B1890">
        <v>4</v>
      </c>
      <c r="C1890" s="6" t="s">
        <v>25</v>
      </c>
      <c r="D1890">
        <v>25</v>
      </c>
      <c r="E1890" s="6">
        <v>0.25</v>
      </c>
      <c r="F1890" t="str">
        <f>_xlfn.XLOOKUP(northwind_order_details[[#This Row],[order_id]],northwind_orders[order_id],northwind_orders[ship_country])</f>
        <v>USA</v>
      </c>
      <c r="G1890">
        <f>INDEX(northwind_orders[],MATCH(northwind_order_details[[#This Row],[order_id]], northwind_orders[order_id], 0), MATCH("employee_id", northwind_orders[#Headers], 0))</f>
        <v>2</v>
      </c>
      <c r="H1890">
        <f>northwind_order_details[[#This Row],[unit_price]]*northwind_order_details[[#This Row],[quantity]]</f>
        <v>550</v>
      </c>
      <c r="I1890" s="1">
        <f>northwind_order_details[[#This Row],[purchase amount]]*northwind_order_details[[#This Row],[discount]]</f>
        <v>137.5</v>
      </c>
      <c r="J1890" s="1">
        <f>northwind_order_details[[#This Row],[purchase amount]]-northwind_order_details[[#This Row],[discount amount]]</f>
        <v>412.5</v>
      </c>
      <c r="K1890" s="6" t="str">
        <f>IF(northwind_order_details[[#This Row],[discount amount]]&gt;0,"Yes","No")</f>
        <v>Yes</v>
      </c>
      <c r="L1890" s="1" t="str">
        <f>IF(northwind_order_details[[#This Row],[Revenue]]&gt;1000,"High",IF(northwind_order_details[[#This Row],[Revenue]]&gt;300,"Medium","Low"))</f>
        <v>Medium</v>
      </c>
      <c r="M189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1" spans="1:13" x14ac:dyDescent="0.25">
      <c r="A1891">
        <v>11000</v>
      </c>
      <c r="B1891">
        <v>24</v>
      </c>
      <c r="C1891" s="6">
        <v>4.5</v>
      </c>
      <c r="D1891">
        <v>30</v>
      </c>
      <c r="E1891" s="6">
        <v>0.25</v>
      </c>
      <c r="F1891" t="str">
        <f>_xlfn.XLOOKUP(northwind_order_details[[#This Row],[order_id]],northwind_orders[order_id],northwind_orders[ship_country])</f>
        <v>USA</v>
      </c>
      <c r="G1891">
        <f>INDEX(northwind_orders[],MATCH(northwind_order_details[[#This Row],[order_id]], northwind_orders[order_id], 0), MATCH("employee_id", northwind_orders[#Headers], 0))</f>
        <v>2</v>
      </c>
      <c r="H1891">
        <f>northwind_order_details[[#This Row],[unit_price]]*northwind_order_details[[#This Row],[quantity]]</f>
        <v>135</v>
      </c>
      <c r="I1891" s="1">
        <f>northwind_order_details[[#This Row],[purchase amount]]*northwind_order_details[[#This Row],[discount]]</f>
        <v>33.75</v>
      </c>
      <c r="J1891" s="1">
        <f>northwind_order_details[[#This Row],[purchase amount]]-northwind_order_details[[#This Row],[discount amount]]</f>
        <v>101.25</v>
      </c>
      <c r="K1891" s="6" t="str">
        <f>IF(northwind_order_details[[#This Row],[discount amount]]&gt;0,"Yes","No")</f>
        <v>Yes</v>
      </c>
      <c r="L1891" s="1" t="str">
        <f>IF(northwind_order_details[[#This Row],[Revenue]]&gt;1000,"High",IF(northwind_order_details[[#This Row],[Revenue]]&gt;300,"Medium","Low"))</f>
        <v>Low</v>
      </c>
      <c r="M18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892" spans="1:13" x14ac:dyDescent="0.25">
      <c r="A1892">
        <v>11000</v>
      </c>
      <c r="B1892">
        <v>77</v>
      </c>
      <c r="C1892" s="6" t="s">
        <v>19</v>
      </c>
      <c r="D1892">
        <v>30</v>
      </c>
      <c r="E1892" s="6" t="s">
        <v>6</v>
      </c>
      <c r="F1892" t="str">
        <f>_xlfn.XLOOKUP(northwind_order_details[[#This Row],[order_id]],northwind_orders[order_id],northwind_orders[ship_country])</f>
        <v>USA</v>
      </c>
      <c r="G1892">
        <f>INDEX(northwind_orders[],MATCH(northwind_order_details[[#This Row],[order_id]], northwind_orders[order_id], 0), MATCH("employee_id", northwind_orders[#Headers], 0))</f>
        <v>2</v>
      </c>
      <c r="H1892">
        <f>northwind_order_details[[#This Row],[unit_price]]*northwind_order_details[[#This Row],[quantity]]</f>
        <v>390</v>
      </c>
      <c r="I1892" s="1">
        <f>northwind_order_details[[#This Row],[purchase amount]]*northwind_order_details[[#This Row],[discount]]</f>
        <v>0</v>
      </c>
      <c r="J1892" s="1">
        <f>northwind_order_details[[#This Row],[purchase amount]]-northwind_order_details[[#This Row],[discount amount]]</f>
        <v>390</v>
      </c>
      <c r="K1892" s="6" t="str">
        <f>IF(northwind_order_details[[#This Row],[discount amount]]&gt;0,"Yes","No")</f>
        <v>No</v>
      </c>
      <c r="L1892" s="1" t="str">
        <f>IF(northwind_order_details[[#This Row],[Revenue]]&gt;1000,"High",IF(northwind_order_details[[#This Row],[Revenue]]&gt;300,"Medium","Low"))</f>
        <v>Medium</v>
      </c>
      <c r="M189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3" spans="1:13" x14ac:dyDescent="0.25">
      <c r="A1893">
        <v>11001</v>
      </c>
      <c r="B1893">
        <v>7</v>
      </c>
      <c r="C1893" s="6" t="s">
        <v>26</v>
      </c>
      <c r="D1893">
        <v>60</v>
      </c>
      <c r="E1893" s="6" t="s">
        <v>6</v>
      </c>
      <c r="F1893" t="str">
        <f>_xlfn.XLOOKUP(northwind_order_details[[#This Row],[order_id]],northwind_orders[order_id],northwind_orders[ship_country])</f>
        <v>Sweden</v>
      </c>
      <c r="G1893">
        <f>INDEX(northwind_orders[],MATCH(northwind_order_details[[#This Row],[order_id]], northwind_orders[order_id], 0), MATCH("employee_id", northwind_orders[#Headers], 0))</f>
        <v>2</v>
      </c>
      <c r="H1893">
        <f>northwind_order_details[[#This Row],[unit_price]]*northwind_order_details[[#This Row],[quantity]]</f>
        <v>1800</v>
      </c>
      <c r="I1893" s="1">
        <f>northwind_order_details[[#This Row],[purchase amount]]*northwind_order_details[[#This Row],[discount]]</f>
        <v>0</v>
      </c>
      <c r="J1893" s="1">
        <f>northwind_order_details[[#This Row],[purchase amount]]-northwind_order_details[[#This Row],[discount amount]]</f>
        <v>1800</v>
      </c>
      <c r="K1893" s="6" t="str">
        <f>IF(northwind_order_details[[#This Row],[discount amount]]&gt;0,"Yes","No")</f>
        <v>No</v>
      </c>
      <c r="L1893" s="1" t="str">
        <f>IF(northwind_order_details[[#This Row],[Revenue]]&gt;1000,"High",IF(northwind_order_details[[#This Row],[Revenue]]&gt;300,"Medium","Low"))</f>
        <v>High</v>
      </c>
      <c r="M18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4" spans="1:13" x14ac:dyDescent="0.25">
      <c r="A1894">
        <v>11001</v>
      </c>
      <c r="B1894">
        <v>22</v>
      </c>
      <c r="C1894" s="6" t="s">
        <v>37</v>
      </c>
      <c r="D1894">
        <v>25</v>
      </c>
      <c r="E1894" s="6" t="s">
        <v>6</v>
      </c>
      <c r="F1894" t="str">
        <f>_xlfn.XLOOKUP(northwind_order_details[[#This Row],[order_id]],northwind_orders[order_id],northwind_orders[ship_country])</f>
        <v>Sweden</v>
      </c>
      <c r="G1894">
        <f>INDEX(northwind_orders[],MATCH(northwind_order_details[[#This Row],[order_id]], northwind_orders[order_id], 0), MATCH("employee_id", northwind_orders[#Headers], 0))</f>
        <v>2</v>
      </c>
      <c r="H1894">
        <f>northwind_order_details[[#This Row],[unit_price]]*northwind_order_details[[#This Row],[quantity]]</f>
        <v>525</v>
      </c>
      <c r="I1894" s="1">
        <f>northwind_order_details[[#This Row],[purchase amount]]*northwind_order_details[[#This Row],[discount]]</f>
        <v>0</v>
      </c>
      <c r="J1894" s="1">
        <f>northwind_order_details[[#This Row],[purchase amount]]-northwind_order_details[[#This Row],[discount amount]]</f>
        <v>525</v>
      </c>
      <c r="K1894" s="6" t="str">
        <f>IF(northwind_order_details[[#This Row],[discount amount]]&gt;0,"Yes","No")</f>
        <v>No</v>
      </c>
      <c r="L1894" s="1" t="str">
        <f>IF(northwind_order_details[[#This Row],[Revenue]]&gt;1000,"High",IF(northwind_order_details[[#This Row],[Revenue]]&gt;300,"Medium","Low"))</f>
        <v>Medium</v>
      </c>
      <c r="M189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5" spans="1:13" x14ac:dyDescent="0.25">
      <c r="A1895">
        <v>11001</v>
      </c>
      <c r="B1895">
        <v>46</v>
      </c>
      <c r="C1895" s="6" t="s">
        <v>13</v>
      </c>
      <c r="D1895">
        <v>25</v>
      </c>
      <c r="E1895" s="6" t="s">
        <v>6</v>
      </c>
      <c r="F1895" t="str">
        <f>_xlfn.XLOOKUP(northwind_order_details[[#This Row],[order_id]],northwind_orders[order_id],northwind_orders[ship_country])</f>
        <v>Sweden</v>
      </c>
      <c r="G1895">
        <f>INDEX(northwind_orders[],MATCH(northwind_order_details[[#This Row],[order_id]], northwind_orders[order_id], 0), MATCH("employee_id", northwind_orders[#Headers], 0))</f>
        <v>2</v>
      </c>
      <c r="H1895">
        <f>northwind_order_details[[#This Row],[unit_price]]*northwind_order_details[[#This Row],[quantity]]</f>
        <v>300</v>
      </c>
      <c r="I1895" s="1">
        <f>northwind_order_details[[#This Row],[purchase amount]]*northwind_order_details[[#This Row],[discount]]</f>
        <v>0</v>
      </c>
      <c r="J1895" s="1">
        <f>northwind_order_details[[#This Row],[purchase amount]]-northwind_order_details[[#This Row],[discount amount]]</f>
        <v>300</v>
      </c>
      <c r="K1895" s="6" t="str">
        <f>IF(northwind_order_details[[#This Row],[discount amount]]&gt;0,"Yes","No")</f>
        <v>No</v>
      </c>
      <c r="L1895" s="1" t="str">
        <f>IF(northwind_order_details[[#This Row],[Revenue]]&gt;1000,"High",IF(northwind_order_details[[#This Row],[Revenue]]&gt;300,"Medium","Low"))</f>
        <v>Low</v>
      </c>
      <c r="M18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6" spans="1:13" x14ac:dyDescent="0.25">
      <c r="A1896">
        <v>11001</v>
      </c>
      <c r="B1896">
        <v>55</v>
      </c>
      <c r="C1896" s="6" t="s">
        <v>14</v>
      </c>
      <c r="D1896">
        <v>6</v>
      </c>
      <c r="E1896" s="6" t="s">
        <v>6</v>
      </c>
      <c r="F1896" t="str">
        <f>_xlfn.XLOOKUP(northwind_order_details[[#This Row],[order_id]],northwind_orders[order_id],northwind_orders[ship_country])</f>
        <v>Sweden</v>
      </c>
      <c r="G1896">
        <f>INDEX(northwind_orders[],MATCH(northwind_order_details[[#This Row],[order_id]], northwind_orders[order_id], 0), MATCH("employee_id", northwind_orders[#Headers], 0))</f>
        <v>2</v>
      </c>
      <c r="H1896">
        <f>northwind_order_details[[#This Row],[unit_price]]*northwind_order_details[[#This Row],[quantity]]</f>
        <v>144</v>
      </c>
      <c r="I1896" s="1">
        <f>northwind_order_details[[#This Row],[purchase amount]]*northwind_order_details[[#This Row],[discount]]</f>
        <v>0</v>
      </c>
      <c r="J1896" s="1">
        <f>northwind_order_details[[#This Row],[purchase amount]]-northwind_order_details[[#This Row],[discount amount]]</f>
        <v>144</v>
      </c>
      <c r="K1896" s="6" t="str">
        <f>IF(northwind_order_details[[#This Row],[discount amount]]&gt;0,"Yes","No")</f>
        <v>No</v>
      </c>
      <c r="L1896" s="1" t="str">
        <f>IF(northwind_order_details[[#This Row],[Revenue]]&gt;1000,"High",IF(northwind_order_details[[#This Row],[Revenue]]&gt;300,"Medium","Low"))</f>
        <v>Low</v>
      </c>
      <c r="M18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7" spans="1:13" x14ac:dyDescent="0.25">
      <c r="A1897">
        <v>11002</v>
      </c>
      <c r="B1897">
        <v>13</v>
      </c>
      <c r="C1897" s="6" t="s">
        <v>23</v>
      </c>
      <c r="D1897">
        <v>56</v>
      </c>
      <c r="E1897" s="6" t="s">
        <v>6</v>
      </c>
      <c r="F1897" t="str">
        <f>_xlfn.XLOOKUP(northwind_order_details[[#This Row],[order_id]],northwind_orders[order_id],northwind_orders[ship_country])</f>
        <v>USA</v>
      </c>
      <c r="G1897">
        <f>INDEX(northwind_orders[],MATCH(northwind_order_details[[#This Row],[order_id]], northwind_orders[order_id], 0), MATCH("employee_id", northwind_orders[#Headers], 0))</f>
        <v>4</v>
      </c>
      <c r="H1897">
        <f>northwind_order_details[[#This Row],[unit_price]]*northwind_order_details[[#This Row],[quantity]]</f>
        <v>336</v>
      </c>
      <c r="I1897" s="1">
        <f>northwind_order_details[[#This Row],[purchase amount]]*northwind_order_details[[#This Row],[discount]]</f>
        <v>0</v>
      </c>
      <c r="J1897" s="1">
        <f>northwind_order_details[[#This Row],[purchase amount]]-northwind_order_details[[#This Row],[discount amount]]</f>
        <v>336</v>
      </c>
      <c r="K1897" s="6" t="str">
        <f>IF(northwind_order_details[[#This Row],[discount amount]]&gt;0,"Yes","No")</f>
        <v>No</v>
      </c>
      <c r="L1897" s="1" t="str">
        <f>IF(northwind_order_details[[#This Row],[Revenue]]&gt;1000,"High",IF(northwind_order_details[[#This Row],[Revenue]]&gt;300,"Medium","Low"))</f>
        <v>Medium</v>
      </c>
      <c r="M18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8" spans="1:13" x14ac:dyDescent="0.25">
      <c r="A1898">
        <v>11002</v>
      </c>
      <c r="B1898">
        <v>35</v>
      </c>
      <c r="C1898" s="6" t="s">
        <v>24</v>
      </c>
      <c r="D1898">
        <v>15</v>
      </c>
      <c r="E1898" s="6">
        <v>0.15</v>
      </c>
      <c r="F1898" t="str">
        <f>_xlfn.XLOOKUP(northwind_order_details[[#This Row],[order_id]],northwind_orders[order_id],northwind_orders[ship_country])</f>
        <v>USA</v>
      </c>
      <c r="G1898">
        <f>INDEX(northwind_orders[],MATCH(northwind_order_details[[#This Row],[order_id]], northwind_orders[order_id], 0), MATCH("employee_id", northwind_orders[#Headers], 0))</f>
        <v>4</v>
      </c>
      <c r="H1898">
        <f>northwind_order_details[[#This Row],[unit_price]]*northwind_order_details[[#This Row],[quantity]]</f>
        <v>270</v>
      </c>
      <c r="I1898" s="1">
        <f>northwind_order_details[[#This Row],[purchase amount]]*northwind_order_details[[#This Row],[discount]]</f>
        <v>40.5</v>
      </c>
      <c r="J1898" s="1">
        <f>northwind_order_details[[#This Row],[purchase amount]]-northwind_order_details[[#This Row],[discount amount]]</f>
        <v>229.5</v>
      </c>
      <c r="K1898" s="6" t="str">
        <f>IF(northwind_order_details[[#This Row],[discount amount]]&gt;0,"Yes","No")</f>
        <v>Yes</v>
      </c>
      <c r="L1898" s="1" t="str">
        <f>IF(northwind_order_details[[#This Row],[Revenue]]&gt;1000,"High",IF(northwind_order_details[[#This Row],[Revenue]]&gt;300,"Medium","Low"))</f>
        <v>Low</v>
      </c>
      <c r="M18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899" spans="1:13" x14ac:dyDescent="0.25">
      <c r="A1899">
        <v>11002</v>
      </c>
      <c r="B1899">
        <v>42</v>
      </c>
      <c r="C1899" s="6" t="s">
        <v>5</v>
      </c>
      <c r="D1899">
        <v>24</v>
      </c>
      <c r="E1899" s="6">
        <v>0.15</v>
      </c>
      <c r="F1899" t="str">
        <f>_xlfn.XLOOKUP(northwind_order_details[[#This Row],[order_id]],northwind_orders[order_id],northwind_orders[ship_country])</f>
        <v>USA</v>
      </c>
      <c r="G1899">
        <f>INDEX(northwind_orders[],MATCH(northwind_order_details[[#This Row],[order_id]], northwind_orders[order_id], 0), MATCH("employee_id", northwind_orders[#Headers], 0))</f>
        <v>4</v>
      </c>
      <c r="H1899">
        <f>northwind_order_details[[#This Row],[unit_price]]*northwind_order_details[[#This Row],[quantity]]</f>
        <v>336</v>
      </c>
      <c r="I1899" s="1">
        <f>northwind_order_details[[#This Row],[purchase amount]]*northwind_order_details[[#This Row],[discount]]</f>
        <v>50.4</v>
      </c>
      <c r="J1899" s="1">
        <f>northwind_order_details[[#This Row],[purchase amount]]-northwind_order_details[[#This Row],[discount amount]]</f>
        <v>285.60000000000002</v>
      </c>
      <c r="K1899" s="6" t="str">
        <f>IF(northwind_order_details[[#This Row],[discount amount]]&gt;0,"Yes","No")</f>
        <v>Yes</v>
      </c>
      <c r="L1899" s="1" t="str">
        <f>IF(northwind_order_details[[#This Row],[Revenue]]&gt;1000,"High",IF(northwind_order_details[[#This Row],[Revenue]]&gt;300,"Medium","Low"))</f>
        <v>Low</v>
      </c>
      <c r="M189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0" spans="1:13" x14ac:dyDescent="0.25">
      <c r="A1900">
        <v>11002</v>
      </c>
      <c r="B1900">
        <v>55</v>
      </c>
      <c r="C1900" s="6" t="s">
        <v>14</v>
      </c>
      <c r="D1900">
        <v>40</v>
      </c>
      <c r="E1900" s="6" t="s">
        <v>6</v>
      </c>
      <c r="F1900" t="str">
        <f>_xlfn.XLOOKUP(northwind_order_details[[#This Row],[order_id]],northwind_orders[order_id],northwind_orders[ship_country])</f>
        <v>USA</v>
      </c>
      <c r="G1900">
        <f>INDEX(northwind_orders[],MATCH(northwind_order_details[[#This Row],[order_id]], northwind_orders[order_id], 0), MATCH("employee_id", northwind_orders[#Headers], 0))</f>
        <v>4</v>
      </c>
      <c r="H1900">
        <f>northwind_order_details[[#This Row],[unit_price]]*northwind_order_details[[#This Row],[quantity]]</f>
        <v>960</v>
      </c>
      <c r="I1900" s="1">
        <f>northwind_order_details[[#This Row],[purchase amount]]*northwind_order_details[[#This Row],[discount]]</f>
        <v>0</v>
      </c>
      <c r="J1900" s="1">
        <f>northwind_order_details[[#This Row],[purchase amount]]-northwind_order_details[[#This Row],[discount amount]]</f>
        <v>960</v>
      </c>
      <c r="K1900" s="6" t="str">
        <f>IF(northwind_order_details[[#This Row],[discount amount]]&gt;0,"Yes","No")</f>
        <v>No</v>
      </c>
      <c r="L1900" s="1" t="str">
        <f>IF(northwind_order_details[[#This Row],[Revenue]]&gt;1000,"High",IF(northwind_order_details[[#This Row],[Revenue]]&gt;300,"Medium","Low"))</f>
        <v>Medium</v>
      </c>
      <c r="M190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1" spans="1:13" x14ac:dyDescent="0.25">
      <c r="A1901">
        <v>11003</v>
      </c>
      <c r="B1901">
        <v>1</v>
      </c>
      <c r="C1901" s="6" t="s">
        <v>24</v>
      </c>
      <c r="D1901">
        <v>4</v>
      </c>
      <c r="E1901" s="6" t="s">
        <v>6</v>
      </c>
      <c r="F1901" t="str">
        <f>_xlfn.XLOOKUP(northwind_order_details[[#This Row],[order_id]],northwind_orders[order_id],northwind_orders[ship_country])</f>
        <v>USA</v>
      </c>
      <c r="G1901">
        <f>INDEX(northwind_orders[],MATCH(northwind_order_details[[#This Row],[order_id]], northwind_orders[order_id], 0), MATCH("employee_id", northwind_orders[#Headers], 0))</f>
        <v>3</v>
      </c>
      <c r="H1901">
        <f>northwind_order_details[[#This Row],[unit_price]]*northwind_order_details[[#This Row],[quantity]]</f>
        <v>72</v>
      </c>
      <c r="I1901" s="1">
        <f>northwind_order_details[[#This Row],[purchase amount]]*northwind_order_details[[#This Row],[discount]]</f>
        <v>0</v>
      </c>
      <c r="J1901" s="1">
        <f>northwind_order_details[[#This Row],[purchase amount]]-northwind_order_details[[#This Row],[discount amount]]</f>
        <v>72</v>
      </c>
      <c r="K1901" s="6" t="str">
        <f>IF(northwind_order_details[[#This Row],[discount amount]]&gt;0,"Yes","No")</f>
        <v>No</v>
      </c>
      <c r="L1901" s="1" t="str">
        <f>IF(northwind_order_details[[#This Row],[Revenue]]&gt;1000,"High",IF(northwind_order_details[[#This Row],[Revenue]]&gt;300,"Medium","Low"))</f>
        <v>Low</v>
      </c>
      <c r="M19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2" spans="1:13" x14ac:dyDescent="0.25">
      <c r="A1902">
        <v>11003</v>
      </c>
      <c r="B1902">
        <v>40</v>
      </c>
      <c r="C1902" s="6">
        <v>18.399999999999999</v>
      </c>
      <c r="D1902">
        <v>10</v>
      </c>
      <c r="E1902" s="6" t="s">
        <v>6</v>
      </c>
      <c r="F1902" t="str">
        <f>_xlfn.XLOOKUP(northwind_order_details[[#This Row],[order_id]],northwind_orders[order_id],northwind_orders[ship_country])</f>
        <v>USA</v>
      </c>
      <c r="G1902">
        <f>INDEX(northwind_orders[],MATCH(northwind_order_details[[#This Row],[order_id]], northwind_orders[order_id], 0), MATCH("employee_id", northwind_orders[#Headers], 0))</f>
        <v>3</v>
      </c>
      <c r="H1902">
        <f>northwind_order_details[[#This Row],[unit_price]]*northwind_order_details[[#This Row],[quantity]]</f>
        <v>184</v>
      </c>
      <c r="I1902" s="1">
        <f>northwind_order_details[[#This Row],[purchase amount]]*northwind_order_details[[#This Row],[discount]]</f>
        <v>0</v>
      </c>
      <c r="J1902" s="1">
        <f>northwind_order_details[[#This Row],[purchase amount]]-northwind_order_details[[#This Row],[discount amount]]</f>
        <v>184</v>
      </c>
      <c r="K1902" s="6" t="str">
        <f>IF(northwind_order_details[[#This Row],[discount amount]]&gt;0,"Yes","No")</f>
        <v>No</v>
      </c>
      <c r="L1902" s="1" t="str">
        <f>IF(northwind_order_details[[#This Row],[Revenue]]&gt;1000,"High",IF(northwind_order_details[[#This Row],[Revenue]]&gt;300,"Medium","Low"))</f>
        <v>Low</v>
      </c>
      <c r="M190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03" spans="1:13" x14ac:dyDescent="0.25">
      <c r="A1903">
        <v>11003</v>
      </c>
      <c r="B1903">
        <v>52</v>
      </c>
      <c r="C1903" s="6" t="s">
        <v>32</v>
      </c>
      <c r="D1903">
        <v>10</v>
      </c>
      <c r="E1903" s="6" t="s">
        <v>6</v>
      </c>
      <c r="F1903" t="str">
        <f>_xlfn.XLOOKUP(northwind_order_details[[#This Row],[order_id]],northwind_orders[order_id],northwind_orders[ship_country])</f>
        <v>USA</v>
      </c>
      <c r="G1903">
        <f>INDEX(northwind_orders[],MATCH(northwind_order_details[[#This Row],[order_id]], northwind_orders[order_id], 0), MATCH("employee_id", northwind_orders[#Headers], 0))</f>
        <v>3</v>
      </c>
      <c r="H1903">
        <f>northwind_order_details[[#This Row],[unit_price]]*northwind_order_details[[#This Row],[quantity]]</f>
        <v>70</v>
      </c>
      <c r="I1903" s="1">
        <f>northwind_order_details[[#This Row],[purchase amount]]*northwind_order_details[[#This Row],[discount]]</f>
        <v>0</v>
      </c>
      <c r="J1903" s="1">
        <f>northwind_order_details[[#This Row],[purchase amount]]-northwind_order_details[[#This Row],[discount amount]]</f>
        <v>70</v>
      </c>
      <c r="K1903" s="6" t="str">
        <f>IF(northwind_order_details[[#This Row],[discount amount]]&gt;0,"Yes","No")</f>
        <v>No</v>
      </c>
      <c r="L1903" s="1" t="str">
        <f>IF(northwind_order_details[[#This Row],[Revenue]]&gt;1000,"High",IF(northwind_order_details[[#This Row],[Revenue]]&gt;300,"Medium","Low"))</f>
        <v>Low</v>
      </c>
      <c r="M19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4" spans="1:13" x14ac:dyDescent="0.25">
      <c r="A1904">
        <v>11004</v>
      </c>
      <c r="B1904">
        <v>26</v>
      </c>
      <c r="C1904" s="6">
        <v>31.23</v>
      </c>
      <c r="D1904">
        <v>6</v>
      </c>
      <c r="E1904" s="6" t="s">
        <v>6</v>
      </c>
      <c r="F1904" t="str">
        <f>_xlfn.XLOOKUP(northwind_order_details[[#This Row],[order_id]],northwind_orders[order_id],northwind_orders[ship_country])</f>
        <v>Belgium</v>
      </c>
      <c r="G1904">
        <f>INDEX(northwind_orders[],MATCH(northwind_order_details[[#This Row],[order_id]], northwind_orders[order_id], 0), MATCH("employee_id", northwind_orders[#Headers], 0))</f>
        <v>3</v>
      </c>
      <c r="H1904">
        <f>northwind_order_details[[#This Row],[unit_price]]*northwind_order_details[[#This Row],[quantity]]</f>
        <v>187.38</v>
      </c>
      <c r="I1904" s="1">
        <f>northwind_order_details[[#This Row],[purchase amount]]*northwind_order_details[[#This Row],[discount]]</f>
        <v>0</v>
      </c>
      <c r="J1904" s="1">
        <f>northwind_order_details[[#This Row],[purchase amount]]-northwind_order_details[[#This Row],[discount amount]]</f>
        <v>187.38</v>
      </c>
      <c r="K1904" s="6" t="str">
        <f>IF(northwind_order_details[[#This Row],[discount amount]]&gt;0,"Yes","No")</f>
        <v>No</v>
      </c>
      <c r="L1904" s="1" t="str">
        <f>IF(northwind_order_details[[#This Row],[Revenue]]&gt;1000,"High",IF(northwind_order_details[[#This Row],[Revenue]]&gt;300,"Medium","Low"))</f>
        <v>Low</v>
      </c>
      <c r="M190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05" spans="1:13" x14ac:dyDescent="0.25">
      <c r="A1905">
        <v>11004</v>
      </c>
      <c r="B1905">
        <v>76</v>
      </c>
      <c r="C1905" s="6" t="s">
        <v>24</v>
      </c>
      <c r="D1905">
        <v>6</v>
      </c>
      <c r="E1905" s="6" t="s">
        <v>6</v>
      </c>
      <c r="F1905" t="str">
        <f>_xlfn.XLOOKUP(northwind_order_details[[#This Row],[order_id]],northwind_orders[order_id],northwind_orders[ship_country])</f>
        <v>Belgium</v>
      </c>
      <c r="G1905">
        <f>INDEX(northwind_orders[],MATCH(northwind_order_details[[#This Row],[order_id]], northwind_orders[order_id], 0), MATCH("employee_id", northwind_orders[#Headers], 0))</f>
        <v>3</v>
      </c>
      <c r="H1905">
        <f>northwind_order_details[[#This Row],[unit_price]]*northwind_order_details[[#This Row],[quantity]]</f>
        <v>108</v>
      </c>
      <c r="I1905" s="1">
        <f>northwind_order_details[[#This Row],[purchase amount]]*northwind_order_details[[#This Row],[discount]]</f>
        <v>0</v>
      </c>
      <c r="J1905" s="1">
        <f>northwind_order_details[[#This Row],[purchase amount]]-northwind_order_details[[#This Row],[discount amount]]</f>
        <v>108</v>
      </c>
      <c r="K1905" s="6" t="str">
        <f>IF(northwind_order_details[[#This Row],[discount amount]]&gt;0,"Yes","No")</f>
        <v>No</v>
      </c>
      <c r="L1905" s="1" t="str">
        <f>IF(northwind_order_details[[#This Row],[Revenue]]&gt;1000,"High",IF(northwind_order_details[[#This Row],[Revenue]]&gt;300,"Medium","Low"))</f>
        <v>Low</v>
      </c>
      <c r="M190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6" spans="1:13" x14ac:dyDescent="0.25">
      <c r="A1906">
        <v>11005</v>
      </c>
      <c r="B1906">
        <v>1</v>
      </c>
      <c r="C1906" s="6" t="s">
        <v>24</v>
      </c>
      <c r="D1906">
        <v>2</v>
      </c>
      <c r="E1906" s="6" t="s">
        <v>6</v>
      </c>
      <c r="F1906" t="str">
        <f>_xlfn.XLOOKUP(northwind_order_details[[#This Row],[order_id]],northwind_orders[order_id],northwind_orders[ship_country])</f>
        <v>Finland</v>
      </c>
      <c r="G1906">
        <f>INDEX(northwind_orders[],MATCH(northwind_order_details[[#This Row],[order_id]], northwind_orders[order_id], 0), MATCH("employee_id", northwind_orders[#Headers], 0))</f>
        <v>2</v>
      </c>
      <c r="H1906">
        <f>northwind_order_details[[#This Row],[unit_price]]*northwind_order_details[[#This Row],[quantity]]</f>
        <v>36</v>
      </c>
      <c r="I1906" s="1">
        <f>northwind_order_details[[#This Row],[purchase amount]]*northwind_order_details[[#This Row],[discount]]</f>
        <v>0</v>
      </c>
      <c r="J1906" s="1">
        <f>northwind_order_details[[#This Row],[purchase amount]]-northwind_order_details[[#This Row],[discount amount]]</f>
        <v>36</v>
      </c>
      <c r="K1906" s="6" t="str">
        <f>IF(northwind_order_details[[#This Row],[discount amount]]&gt;0,"Yes","No")</f>
        <v>No</v>
      </c>
      <c r="L1906" s="1" t="str">
        <f>IF(northwind_order_details[[#This Row],[Revenue]]&gt;1000,"High",IF(northwind_order_details[[#This Row],[Revenue]]&gt;300,"Medium","Low"))</f>
        <v>Low</v>
      </c>
      <c r="M190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7" spans="1:13" x14ac:dyDescent="0.25">
      <c r="A1907">
        <v>11005</v>
      </c>
      <c r="B1907">
        <v>59</v>
      </c>
      <c r="C1907" s="6" t="s">
        <v>33</v>
      </c>
      <c r="D1907">
        <v>10</v>
      </c>
      <c r="E1907" s="6" t="s">
        <v>6</v>
      </c>
      <c r="F1907" t="str">
        <f>_xlfn.XLOOKUP(northwind_order_details[[#This Row],[order_id]],northwind_orders[order_id],northwind_orders[ship_country])</f>
        <v>Finland</v>
      </c>
      <c r="G1907">
        <f>INDEX(northwind_orders[],MATCH(northwind_order_details[[#This Row],[order_id]], northwind_orders[order_id], 0), MATCH("employee_id", northwind_orders[#Headers], 0))</f>
        <v>2</v>
      </c>
      <c r="H1907">
        <f>northwind_order_details[[#This Row],[unit_price]]*northwind_order_details[[#This Row],[quantity]]</f>
        <v>550</v>
      </c>
      <c r="I1907" s="1">
        <f>northwind_order_details[[#This Row],[purchase amount]]*northwind_order_details[[#This Row],[discount]]</f>
        <v>0</v>
      </c>
      <c r="J1907" s="1">
        <f>northwind_order_details[[#This Row],[purchase amount]]-northwind_order_details[[#This Row],[discount amount]]</f>
        <v>550</v>
      </c>
      <c r="K1907" s="6" t="str">
        <f>IF(northwind_order_details[[#This Row],[discount amount]]&gt;0,"Yes","No")</f>
        <v>No</v>
      </c>
      <c r="L1907" s="1" t="str">
        <f>IF(northwind_order_details[[#This Row],[Revenue]]&gt;1000,"High",IF(northwind_order_details[[#This Row],[Revenue]]&gt;300,"Medium","Low"))</f>
        <v>Medium</v>
      </c>
      <c r="M19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8" spans="1:13" x14ac:dyDescent="0.25">
      <c r="A1908">
        <v>11006</v>
      </c>
      <c r="B1908">
        <v>1</v>
      </c>
      <c r="C1908" s="6" t="s">
        <v>24</v>
      </c>
      <c r="D1908">
        <v>8</v>
      </c>
      <c r="E1908" s="6" t="s">
        <v>6</v>
      </c>
      <c r="F1908" t="str">
        <f>_xlfn.XLOOKUP(northwind_order_details[[#This Row],[order_id]],northwind_orders[order_id],northwind_orders[ship_country])</f>
        <v>USA</v>
      </c>
      <c r="G1908">
        <f>INDEX(northwind_orders[],MATCH(northwind_order_details[[#This Row],[order_id]], northwind_orders[order_id], 0), MATCH("employee_id", northwind_orders[#Headers], 0))</f>
        <v>3</v>
      </c>
      <c r="H1908">
        <f>northwind_order_details[[#This Row],[unit_price]]*northwind_order_details[[#This Row],[quantity]]</f>
        <v>144</v>
      </c>
      <c r="I1908" s="1">
        <f>northwind_order_details[[#This Row],[purchase amount]]*northwind_order_details[[#This Row],[discount]]</f>
        <v>0</v>
      </c>
      <c r="J1908" s="1">
        <f>northwind_order_details[[#This Row],[purchase amount]]-northwind_order_details[[#This Row],[discount amount]]</f>
        <v>144</v>
      </c>
      <c r="K1908" s="6" t="str">
        <f>IF(northwind_order_details[[#This Row],[discount amount]]&gt;0,"Yes","No")</f>
        <v>No</v>
      </c>
      <c r="L1908" s="1" t="str">
        <f>IF(northwind_order_details[[#This Row],[Revenue]]&gt;1000,"High",IF(northwind_order_details[[#This Row],[Revenue]]&gt;300,"Medium","Low"))</f>
        <v>Low</v>
      </c>
      <c r="M190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09" spans="1:13" x14ac:dyDescent="0.25">
      <c r="A1909">
        <v>11006</v>
      </c>
      <c r="B1909">
        <v>29</v>
      </c>
      <c r="C1909" s="6">
        <v>123.79</v>
      </c>
      <c r="D1909">
        <v>2</v>
      </c>
      <c r="E1909" s="6">
        <v>0.25</v>
      </c>
      <c r="F1909" t="str">
        <f>_xlfn.XLOOKUP(northwind_order_details[[#This Row],[order_id]],northwind_orders[order_id],northwind_orders[ship_country])</f>
        <v>USA</v>
      </c>
      <c r="G1909">
        <f>INDEX(northwind_orders[],MATCH(northwind_order_details[[#This Row],[order_id]], northwind_orders[order_id], 0), MATCH("employee_id", northwind_orders[#Headers], 0))</f>
        <v>3</v>
      </c>
      <c r="H1909">
        <f>northwind_order_details[[#This Row],[unit_price]]*northwind_order_details[[#This Row],[quantity]]</f>
        <v>247.58</v>
      </c>
      <c r="I1909" s="1">
        <f>northwind_order_details[[#This Row],[purchase amount]]*northwind_order_details[[#This Row],[discount]]</f>
        <v>61.895000000000003</v>
      </c>
      <c r="J1909" s="1">
        <f>northwind_order_details[[#This Row],[purchase amount]]-northwind_order_details[[#This Row],[discount amount]]</f>
        <v>185.685</v>
      </c>
      <c r="K1909" s="6" t="str">
        <f>IF(northwind_order_details[[#This Row],[discount amount]]&gt;0,"Yes","No")</f>
        <v>Yes</v>
      </c>
      <c r="L1909" s="1" t="str">
        <f>IF(northwind_order_details[[#This Row],[Revenue]]&gt;1000,"High",IF(northwind_order_details[[#This Row],[Revenue]]&gt;300,"Medium","Low"))</f>
        <v>Low</v>
      </c>
      <c r="M190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10" spans="1:13" x14ac:dyDescent="0.25">
      <c r="A1910">
        <v>11007</v>
      </c>
      <c r="B1910">
        <v>8</v>
      </c>
      <c r="C1910" s="6" t="s">
        <v>27</v>
      </c>
      <c r="D1910">
        <v>30</v>
      </c>
      <c r="E1910" s="6" t="s">
        <v>6</v>
      </c>
      <c r="F1910" t="str">
        <f>_xlfn.XLOOKUP(northwind_order_details[[#This Row],[order_id]],northwind_orders[order_id],northwind_orders[ship_country])</f>
        <v>Portugal</v>
      </c>
      <c r="G1910">
        <f>INDEX(northwind_orders[],MATCH(northwind_order_details[[#This Row],[order_id]], northwind_orders[order_id], 0), MATCH("employee_id", northwind_orders[#Headers], 0))</f>
        <v>8</v>
      </c>
      <c r="H1910">
        <f>northwind_order_details[[#This Row],[unit_price]]*northwind_order_details[[#This Row],[quantity]]</f>
        <v>1200</v>
      </c>
      <c r="I1910" s="1">
        <f>northwind_order_details[[#This Row],[purchase amount]]*northwind_order_details[[#This Row],[discount]]</f>
        <v>0</v>
      </c>
      <c r="J1910" s="1">
        <f>northwind_order_details[[#This Row],[purchase amount]]-northwind_order_details[[#This Row],[discount amount]]</f>
        <v>1200</v>
      </c>
      <c r="K1910" s="6" t="str">
        <f>IF(northwind_order_details[[#This Row],[discount amount]]&gt;0,"Yes","No")</f>
        <v>No</v>
      </c>
      <c r="L1910" s="1" t="str">
        <f>IF(northwind_order_details[[#This Row],[Revenue]]&gt;1000,"High",IF(northwind_order_details[[#This Row],[Revenue]]&gt;300,"Medium","Low"))</f>
        <v>High</v>
      </c>
      <c r="M19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11" spans="1:13" x14ac:dyDescent="0.25">
      <c r="A1911">
        <v>11007</v>
      </c>
      <c r="B1911">
        <v>29</v>
      </c>
      <c r="C1911" s="6">
        <v>123.79</v>
      </c>
      <c r="D1911">
        <v>10</v>
      </c>
      <c r="E1911" s="6" t="s">
        <v>6</v>
      </c>
      <c r="F1911" t="str">
        <f>_xlfn.XLOOKUP(northwind_order_details[[#This Row],[order_id]],northwind_orders[order_id],northwind_orders[ship_country])</f>
        <v>Portugal</v>
      </c>
      <c r="G1911">
        <f>INDEX(northwind_orders[],MATCH(northwind_order_details[[#This Row],[order_id]], northwind_orders[order_id], 0), MATCH("employee_id", northwind_orders[#Headers], 0))</f>
        <v>8</v>
      </c>
      <c r="H1911">
        <f>northwind_order_details[[#This Row],[unit_price]]*northwind_order_details[[#This Row],[quantity]]</f>
        <v>1237.9000000000001</v>
      </c>
      <c r="I1911" s="1">
        <f>northwind_order_details[[#This Row],[purchase amount]]*northwind_order_details[[#This Row],[discount]]</f>
        <v>0</v>
      </c>
      <c r="J1911" s="1">
        <f>northwind_order_details[[#This Row],[purchase amount]]-northwind_order_details[[#This Row],[discount amount]]</f>
        <v>1237.9000000000001</v>
      </c>
      <c r="K1911" s="6" t="str">
        <f>IF(northwind_order_details[[#This Row],[discount amount]]&gt;0,"Yes","No")</f>
        <v>No</v>
      </c>
      <c r="L1911" s="1" t="str">
        <f>IF(northwind_order_details[[#This Row],[Revenue]]&gt;1000,"High",IF(northwind_order_details[[#This Row],[Revenue]]&gt;300,"Medium","Low"))</f>
        <v>High</v>
      </c>
      <c r="M191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12" spans="1:13" x14ac:dyDescent="0.25">
      <c r="A1912">
        <v>11007</v>
      </c>
      <c r="B1912">
        <v>42</v>
      </c>
      <c r="C1912" s="6" t="s">
        <v>5</v>
      </c>
      <c r="D1912">
        <v>14</v>
      </c>
      <c r="E1912" s="6" t="s">
        <v>6</v>
      </c>
      <c r="F1912" t="str">
        <f>_xlfn.XLOOKUP(northwind_order_details[[#This Row],[order_id]],northwind_orders[order_id],northwind_orders[ship_country])</f>
        <v>Portugal</v>
      </c>
      <c r="G1912">
        <f>INDEX(northwind_orders[],MATCH(northwind_order_details[[#This Row],[order_id]], northwind_orders[order_id], 0), MATCH("employee_id", northwind_orders[#Headers], 0))</f>
        <v>8</v>
      </c>
      <c r="H1912">
        <f>northwind_order_details[[#This Row],[unit_price]]*northwind_order_details[[#This Row],[quantity]]</f>
        <v>196</v>
      </c>
      <c r="I1912" s="1">
        <f>northwind_order_details[[#This Row],[purchase amount]]*northwind_order_details[[#This Row],[discount]]</f>
        <v>0</v>
      </c>
      <c r="J1912" s="1">
        <f>northwind_order_details[[#This Row],[purchase amount]]-northwind_order_details[[#This Row],[discount amount]]</f>
        <v>196</v>
      </c>
      <c r="K1912" s="6" t="str">
        <f>IF(northwind_order_details[[#This Row],[discount amount]]&gt;0,"Yes","No")</f>
        <v>No</v>
      </c>
      <c r="L1912" s="1" t="str">
        <f>IF(northwind_order_details[[#This Row],[Revenue]]&gt;1000,"High",IF(northwind_order_details[[#This Row],[Revenue]]&gt;300,"Medium","Low"))</f>
        <v>Low</v>
      </c>
      <c r="M191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13" spans="1:13" x14ac:dyDescent="0.25">
      <c r="A1913">
        <v>11009</v>
      </c>
      <c r="B1913">
        <v>24</v>
      </c>
      <c r="C1913" s="6">
        <v>4.5</v>
      </c>
      <c r="D1913">
        <v>12</v>
      </c>
      <c r="E1913" s="6" t="s">
        <v>6</v>
      </c>
      <c r="F1913" t="str">
        <f>_xlfn.XLOOKUP(northwind_order_details[[#This Row],[order_id]],northwind_orders[order_id],northwind_orders[ship_country])</f>
        <v>Spain</v>
      </c>
      <c r="G1913">
        <f>INDEX(northwind_orders[],MATCH(northwind_order_details[[#This Row],[order_id]], northwind_orders[order_id], 0), MATCH("employee_id", northwind_orders[#Headers], 0))</f>
        <v>2</v>
      </c>
      <c r="H1913">
        <f>northwind_order_details[[#This Row],[unit_price]]*northwind_order_details[[#This Row],[quantity]]</f>
        <v>54</v>
      </c>
      <c r="I1913" s="1">
        <f>northwind_order_details[[#This Row],[purchase amount]]*northwind_order_details[[#This Row],[discount]]</f>
        <v>0</v>
      </c>
      <c r="J1913" s="1">
        <f>northwind_order_details[[#This Row],[purchase amount]]-northwind_order_details[[#This Row],[discount amount]]</f>
        <v>54</v>
      </c>
      <c r="K1913" s="6" t="str">
        <f>IF(northwind_order_details[[#This Row],[discount amount]]&gt;0,"Yes","No")</f>
        <v>No</v>
      </c>
      <c r="L1913" s="1" t="str">
        <f>IF(northwind_order_details[[#This Row],[Revenue]]&gt;1000,"High",IF(northwind_order_details[[#This Row],[Revenue]]&gt;300,"Medium","Low"))</f>
        <v>Low</v>
      </c>
      <c r="M191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14" spans="1:13" x14ac:dyDescent="0.25">
      <c r="A1914">
        <v>11009</v>
      </c>
      <c r="B1914">
        <v>36</v>
      </c>
      <c r="C1914" s="6" t="s">
        <v>20</v>
      </c>
      <c r="D1914">
        <v>18</v>
      </c>
      <c r="E1914" s="6">
        <v>0.25</v>
      </c>
      <c r="F1914" t="str">
        <f>_xlfn.XLOOKUP(northwind_order_details[[#This Row],[order_id]],northwind_orders[order_id],northwind_orders[ship_country])</f>
        <v>Spain</v>
      </c>
      <c r="G1914">
        <f>INDEX(northwind_orders[],MATCH(northwind_order_details[[#This Row],[order_id]], northwind_orders[order_id], 0), MATCH("employee_id", northwind_orders[#Headers], 0))</f>
        <v>2</v>
      </c>
      <c r="H1914">
        <f>northwind_order_details[[#This Row],[unit_price]]*northwind_order_details[[#This Row],[quantity]]</f>
        <v>342</v>
      </c>
      <c r="I1914" s="1">
        <f>northwind_order_details[[#This Row],[purchase amount]]*northwind_order_details[[#This Row],[discount]]</f>
        <v>85.5</v>
      </c>
      <c r="J1914" s="1">
        <f>northwind_order_details[[#This Row],[purchase amount]]-northwind_order_details[[#This Row],[discount amount]]</f>
        <v>256.5</v>
      </c>
      <c r="K1914" s="6" t="str">
        <f>IF(northwind_order_details[[#This Row],[discount amount]]&gt;0,"Yes","No")</f>
        <v>Yes</v>
      </c>
      <c r="L1914" s="1" t="str">
        <f>IF(northwind_order_details[[#This Row],[Revenue]]&gt;1000,"High",IF(northwind_order_details[[#This Row],[Revenue]]&gt;300,"Medium","Low"))</f>
        <v>Low</v>
      </c>
      <c r="M19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15" spans="1:13" x14ac:dyDescent="0.25">
      <c r="A1915">
        <v>11009</v>
      </c>
      <c r="B1915">
        <v>60</v>
      </c>
      <c r="C1915" s="6" t="s">
        <v>28</v>
      </c>
      <c r="D1915">
        <v>9</v>
      </c>
      <c r="E1915" s="6" t="s">
        <v>6</v>
      </c>
      <c r="F1915" t="str">
        <f>_xlfn.XLOOKUP(northwind_order_details[[#This Row],[order_id]],northwind_orders[order_id],northwind_orders[ship_country])</f>
        <v>Spain</v>
      </c>
      <c r="G1915">
        <f>INDEX(northwind_orders[],MATCH(northwind_order_details[[#This Row],[order_id]], northwind_orders[order_id], 0), MATCH("employee_id", northwind_orders[#Headers], 0))</f>
        <v>2</v>
      </c>
      <c r="H1915">
        <f>northwind_order_details[[#This Row],[unit_price]]*northwind_order_details[[#This Row],[quantity]]</f>
        <v>306</v>
      </c>
      <c r="I1915" s="1">
        <f>northwind_order_details[[#This Row],[purchase amount]]*northwind_order_details[[#This Row],[discount]]</f>
        <v>0</v>
      </c>
      <c r="J1915" s="1">
        <f>northwind_order_details[[#This Row],[purchase amount]]-northwind_order_details[[#This Row],[discount amount]]</f>
        <v>306</v>
      </c>
      <c r="K1915" s="6" t="str">
        <f>IF(northwind_order_details[[#This Row],[discount amount]]&gt;0,"Yes","No")</f>
        <v>No</v>
      </c>
      <c r="L1915" s="1" t="str">
        <f>IF(northwind_order_details[[#This Row],[Revenue]]&gt;1000,"High",IF(northwind_order_details[[#This Row],[Revenue]]&gt;300,"Medium","Low"))</f>
        <v>Medium</v>
      </c>
      <c r="M19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16" spans="1:13" x14ac:dyDescent="0.25">
      <c r="A1916">
        <v>11010</v>
      </c>
      <c r="B1916">
        <v>7</v>
      </c>
      <c r="C1916" s="6" t="s">
        <v>26</v>
      </c>
      <c r="D1916">
        <v>20</v>
      </c>
      <c r="E1916" s="6" t="s">
        <v>6</v>
      </c>
      <c r="F1916" t="str">
        <f>_xlfn.XLOOKUP(northwind_order_details[[#This Row],[order_id]],northwind_orders[order_id],northwind_orders[ship_country])</f>
        <v>Italy</v>
      </c>
      <c r="G1916">
        <f>INDEX(northwind_orders[],MATCH(northwind_order_details[[#This Row],[order_id]], northwind_orders[order_id], 0), MATCH("employee_id", northwind_orders[#Headers], 0))</f>
        <v>2</v>
      </c>
      <c r="H1916">
        <f>northwind_order_details[[#This Row],[unit_price]]*northwind_order_details[[#This Row],[quantity]]</f>
        <v>600</v>
      </c>
      <c r="I1916" s="1">
        <f>northwind_order_details[[#This Row],[purchase amount]]*northwind_order_details[[#This Row],[discount]]</f>
        <v>0</v>
      </c>
      <c r="J1916" s="1">
        <f>northwind_order_details[[#This Row],[purchase amount]]-northwind_order_details[[#This Row],[discount amount]]</f>
        <v>600</v>
      </c>
      <c r="K1916" s="6" t="str">
        <f>IF(northwind_order_details[[#This Row],[discount amount]]&gt;0,"Yes","No")</f>
        <v>No</v>
      </c>
      <c r="L1916" s="1" t="str">
        <f>IF(northwind_order_details[[#This Row],[Revenue]]&gt;1000,"High",IF(northwind_order_details[[#This Row],[Revenue]]&gt;300,"Medium","Low"))</f>
        <v>Medium</v>
      </c>
      <c r="M19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17" spans="1:13" x14ac:dyDescent="0.25">
      <c r="A1917">
        <v>11010</v>
      </c>
      <c r="B1917">
        <v>24</v>
      </c>
      <c r="C1917" s="6">
        <v>4.5</v>
      </c>
      <c r="D1917">
        <v>10</v>
      </c>
      <c r="E1917" s="6" t="s">
        <v>6</v>
      </c>
      <c r="F1917" t="str">
        <f>_xlfn.XLOOKUP(northwind_order_details[[#This Row],[order_id]],northwind_orders[order_id],northwind_orders[ship_country])</f>
        <v>Italy</v>
      </c>
      <c r="G1917">
        <f>INDEX(northwind_orders[],MATCH(northwind_order_details[[#This Row],[order_id]], northwind_orders[order_id], 0), MATCH("employee_id", northwind_orders[#Headers], 0))</f>
        <v>2</v>
      </c>
      <c r="H1917">
        <f>northwind_order_details[[#This Row],[unit_price]]*northwind_order_details[[#This Row],[quantity]]</f>
        <v>45</v>
      </c>
      <c r="I1917" s="1">
        <f>northwind_order_details[[#This Row],[purchase amount]]*northwind_order_details[[#This Row],[discount]]</f>
        <v>0</v>
      </c>
      <c r="J1917" s="1">
        <f>northwind_order_details[[#This Row],[purchase amount]]-northwind_order_details[[#This Row],[discount amount]]</f>
        <v>45</v>
      </c>
      <c r="K1917" s="6" t="str">
        <f>IF(northwind_order_details[[#This Row],[discount amount]]&gt;0,"Yes","No")</f>
        <v>No</v>
      </c>
      <c r="L1917" s="1" t="str">
        <f>IF(northwind_order_details[[#This Row],[Revenue]]&gt;1000,"High",IF(northwind_order_details[[#This Row],[Revenue]]&gt;300,"Medium","Low"))</f>
        <v>Low</v>
      </c>
      <c r="M191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18" spans="1:13" x14ac:dyDescent="0.25">
      <c r="A1918">
        <v>11011</v>
      </c>
      <c r="B1918">
        <v>58</v>
      </c>
      <c r="C1918" s="6">
        <v>13.25</v>
      </c>
      <c r="D1918">
        <v>40</v>
      </c>
      <c r="E1918" s="6">
        <v>0.05</v>
      </c>
      <c r="F1918" t="str">
        <f>_xlfn.XLOOKUP(northwind_order_details[[#This Row],[order_id]],northwind_orders[order_id],northwind_orders[ship_country])</f>
        <v>Germany</v>
      </c>
      <c r="G1918">
        <f>INDEX(northwind_orders[],MATCH(northwind_order_details[[#This Row],[order_id]], northwind_orders[order_id], 0), MATCH("employee_id", northwind_orders[#Headers], 0))</f>
        <v>3</v>
      </c>
      <c r="H1918">
        <f>northwind_order_details[[#This Row],[unit_price]]*northwind_order_details[[#This Row],[quantity]]</f>
        <v>530</v>
      </c>
      <c r="I1918" s="1">
        <f>northwind_order_details[[#This Row],[purchase amount]]*northwind_order_details[[#This Row],[discount]]</f>
        <v>26.5</v>
      </c>
      <c r="J1918" s="1">
        <f>northwind_order_details[[#This Row],[purchase amount]]-northwind_order_details[[#This Row],[discount amount]]</f>
        <v>503.5</v>
      </c>
      <c r="K1918" s="6" t="str">
        <f>IF(northwind_order_details[[#This Row],[discount amount]]&gt;0,"Yes","No")</f>
        <v>Yes</v>
      </c>
      <c r="L1918" s="1" t="str">
        <f>IF(northwind_order_details[[#This Row],[Revenue]]&gt;1000,"High",IF(northwind_order_details[[#This Row],[Revenue]]&gt;300,"Medium","Low"))</f>
        <v>Medium</v>
      </c>
      <c r="M191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19" spans="1:13" x14ac:dyDescent="0.25">
      <c r="A1919">
        <v>11011</v>
      </c>
      <c r="B1919">
        <v>71</v>
      </c>
      <c r="C1919" s="6">
        <v>21.5</v>
      </c>
      <c r="D1919">
        <v>20</v>
      </c>
      <c r="E1919" s="6" t="s">
        <v>6</v>
      </c>
      <c r="F1919" t="str">
        <f>_xlfn.XLOOKUP(northwind_order_details[[#This Row],[order_id]],northwind_orders[order_id],northwind_orders[ship_country])</f>
        <v>Germany</v>
      </c>
      <c r="G1919">
        <f>INDEX(northwind_orders[],MATCH(northwind_order_details[[#This Row],[order_id]], northwind_orders[order_id], 0), MATCH("employee_id", northwind_orders[#Headers], 0))</f>
        <v>3</v>
      </c>
      <c r="H1919">
        <f>northwind_order_details[[#This Row],[unit_price]]*northwind_order_details[[#This Row],[quantity]]</f>
        <v>430</v>
      </c>
      <c r="I1919" s="1">
        <f>northwind_order_details[[#This Row],[purchase amount]]*northwind_order_details[[#This Row],[discount]]</f>
        <v>0</v>
      </c>
      <c r="J1919" s="1">
        <f>northwind_order_details[[#This Row],[purchase amount]]-northwind_order_details[[#This Row],[discount amount]]</f>
        <v>430</v>
      </c>
      <c r="K1919" s="6" t="str">
        <f>IF(northwind_order_details[[#This Row],[discount amount]]&gt;0,"Yes","No")</f>
        <v>No</v>
      </c>
      <c r="L1919" s="1" t="str">
        <f>IF(northwind_order_details[[#This Row],[Revenue]]&gt;1000,"High",IF(northwind_order_details[[#This Row],[Revenue]]&gt;300,"Medium","Low"))</f>
        <v>Medium</v>
      </c>
      <c r="M191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0" spans="1:13" x14ac:dyDescent="0.25">
      <c r="A1920">
        <v>11012</v>
      </c>
      <c r="B1920">
        <v>19</v>
      </c>
      <c r="C1920" s="6">
        <v>9.1999999999999993</v>
      </c>
      <c r="D1920">
        <v>50</v>
      </c>
      <c r="E1920" s="6">
        <v>0.05</v>
      </c>
      <c r="F1920" t="str">
        <f>_xlfn.XLOOKUP(northwind_order_details[[#This Row],[order_id]],northwind_orders[order_id],northwind_orders[ship_country])</f>
        <v>Germany</v>
      </c>
      <c r="G1920">
        <f>INDEX(northwind_orders[],MATCH(northwind_order_details[[#This Row],[order_id]], northwind_orders[order_id], 0), MATCH("employee_id", northwind_orders[#Headers], 0))</f>
        <v>1</v>
      </c>
      <c r="H1920">
        <f>northwind_order_details[[#This Row],[unit_price]]*northwind_order_details[[#This Row],[quantity]]</f>
        <v>459.99999999999994</v>
      </c>
      <c r="I1920" s="1">
        <f>northwind_order_details[[#This Row],[purchase amount]]*northwind_order_details[[#This Row],[discount]]</f>
        <v>23</v>
      </c>
      <c r="J1920" s="1">
        <f>northwind_order_details[[#This Row],[purchase amount]]-northwind_order_details[[#This Row],[discount amount]]</f>
        <v>436.99999999999994</v>
      </c>
      <c r="K1920" s="6" t="str">
        <f>IF(northwind_order_details[[#This Row],[discount amount]]&gt;0,"Yes","No")</f>
        <v>Yes</v>
      </c>
      <c r="L1920" s="1" t="str">
        <f>IF(northwind_order_details[[#This Row],[Revenue]]&gt;1000,"High",IF(northwind_order_details[[#This Row],[Revenue]]&gt;300,"Medium","Low"))</f>
        <v>Medium</v>
      </c>
      <c r="M19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1" spans="1:13" x14ac:dyDescent="0.25">
      <c r="A1921">
        <v>11012</v>
      </c>
      <c r="B1921">
        <v>60</v>
      </c>
      <c r="C1921" s="6" t="s">
        <v>28</v>
      </c>
      <c r="D1921">
        <v>36</v>
      </c>
      <c r="E1921" s="6">
        <v>0.05</v>
      </c>
      <c r="F1921" t="str">
        <f>_xlfn.XLOOKUP(northwind_order_details[[#This Row],[order_id]],northwind_orders[order_id],northwind_orders[ship_country])</f>
        <v>Germany</v>
      </c>
      <c r="G1921">
        <f>INDEX(northwind_orders[],MATCH(northwind_order_details[[#This Row],[order_id]], northwind_orders[order_id], 0), MATCH("employee_id", northwind_orders[#Headers], 0))</f>
        <v>1</v>
      </c>
      <c r="H1921">
        <f>northwind_order_details[[#This Row],[unit_price]]*northwind_order_details[[#This Row],[quantity]]</f>
        <v>1224</v>
      </c>
      <c r="I1921" s="1">
        <f>northwind_order_details[[#This Row],[purchase amount]]*northwind_order_details[[#This Row],[discount]]</f>
        <v>61.2</v>
      </c>
      <c r="J1921" s="1">
        <f>northwind_order_details[[#This Row],[purchase amount]]-northwind_order_details[[#This Row],[discount amount]]</f>
        <v>1162.8</v>
      </c>
      <c r="K1921" s="6" t="str">
        <f>IF(northwind_order_details[[#This Row],[discount amount]]&gt;0,"Yes","No")</f>
        <v>Yes</v>
      </c>
      <c r="L1921" s="1" t="str">
        <f>IF(northwind_order_details[[#This Row],[Revenue]]&gt;1000,"High",IF(northwind_order_details[[#This Row],[Revenue]]&gt;300,"Medium","Low"))</f>
        <v>High</v>
      </c>
      <c r="M192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22" spans="1:13" x14ac:dyDescent="0.25">
      <c r="A1922">
        <v>11012</v>
      </c>
      <c r="B1922">
        <v>71</v>
      </c>
      <c r="C1922" s="6">
        <v>21.5</v>
      </c>
      <c r="D1922">
        <v>60</v>
      </c>
      <c r="E1922" s="6">
        <v>0.05</v>
      </c>
      <c r="F1922" t="str">
        <f>_xlfn.XLOOKUP(northwind_order_details[[#This Row],[order_id]],northwind_orders[order_id],northwind_orders[ship_country])</f>
        <v>Germany</v>
      </c>
      <c r="G1922">
        <f>INDEX(northwind_orders[],MATCH(northwind_order_details[[#This Row],[order_id]], northwind_orders[order_id], 0), MATCH("employee_id", northwind_orders[#Headers], 0))</f>
        <v>1</v>
      </c>
      <c r="H1922">
        <f>northwind_order_details[[#This Row],[unit_price]]*northwind_order_details[[#This Row],[quantity]]</f>
        <v>1290</v>
      </c>
      <c r="I1922" s="1">
        <f>northwind_order_details[[#This Row],[purchase amount]]*northwind_order_details[[#This Row],[discount]]</f>
        <v>64.5</v>
      </c>
      <c r="J1922" s="1">
        <f>northwind_order_details[[#This Row],[purchase amount]]-northwind_order_details[[#This Row],[discount amount]]</f>
        <v>1225.5</v>
      </c>
      <c r="K1922" s="6" t="str">
        <f>IF(northwind_order_details[[#This Row],[discount amount]]&gt;0,"Yes","No")</f>
        <v>Yes</v>
      </c>
      <c r="L1922" s="1" t="str">
        <f>IF(northwind_order_details[[#This Row],[Revenue]]&gt;1000,"High",IF(northwind_order_details[[#This Row],[Revenue]]&gt;300,"Medium","Low"))</f>
        <v>High</v>
      </c>
      <c r="M192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3" spans="1:13" x14ac:dyDescent="0.25">
      <c r="A1923">
        <v>11013</v>
      </c>
      <c r="B1923">
        <v>23</v>
      </c>
      <c r="C1923" s="6" t="s">
        <v>40</v>
      </c>
      <c r="D1923">
        <v>10</v>
      </c>
      <c r="E1923" s="6" t="s">
        <v>6</v>
      </c>
      <c r="F1923" t="str">
        <f>_xlfn.XLOOKUP(northwind_order_details[[#This Row],[order_id]],northwind_orders[order_id],northwind_orders[ship_country])</f>
        <v>Spain</v>
      </c>
      <c r="G1923">
        <f>INDEX(northwind_orders[],MATCH(northwind_order_details[[#This Row],[order_id]], northwind_orders[order_id], 0), MATCH("employee_id", northwind_orders[#Headers], 0))</f>
        <v>2</v>
      </c>
      <c r="H1923">
        <f>northwind_order_details[[#This Row],[unit_price]]*northwind_order_details[[#This Row],[quantity]]</f>
        <v>90</v>
      </c>
      <c r="I1923" s="1">
        <f>northwind_order_details[[#This Row],[purchase amount]]*northwind_order_details[[#This Row],[discount]]</f>
        <v>0</v>
      </c>
      <c r="J1923" s="1">
        <f>northwind_order_details[[#This Row],[purchase amount]]-northwind_order_details[[#This Row],[discount amount]]</f>
        <v>90</v>
      </c>
      <c r="K1923" s="6" t="str">
        <f>IF(northwind_order_details[[#This Row],[discount amount]]&gt;0,"Yes","No")</f>
        <v>No</v>
      </c>
      <c r="L1923" s="1" t="str">
        <f>IF(northwind_order_details[[#This Row],[Revenue]]&gt;1000,"High",IF(northwind_order_details[[#This Row],[Revenue]]&gt;300,"Medium","Low"))</f>
        <v>Low</v>
      </c>
      <c r="M192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24" spans="1:13" x14ac:dyDescent="0.25">
      <c r="A1924">
        <v>11013</v>
      </c>
      <c r="B1924">
        <v>42</v>
      </c>
      <c r="C1924" s="6" t="s">
        <v>5</v>
      </c>
      <c r="D1924">
        <v>4</v>
      </c>
      <c r="E1924" s="6" t="s">
        <v>6</v>
      </c>
      <c r="F1924" t="str">
        <f>_xlfn.XLOOKUP(northwind_order_details[[#This Row],[order_id]],northwind_orders[order_id],northwind_orders[ship_country])</f>
        <v>Spain</v>
      </c>
      <c r="G1924">
        <f>INDEX(northwind_orders[],MATCH(northwind_order_details[[#This Row],[order_id]], northwind_orders[order_id], 0), MATCH("employee_id", northwind_orders[#Headers], 0))</f>
        <v>2</v>
      </c>
      <c r="H1924">
        <f>northwind_order_details[[#This Row],[unit_price]]*northwind_order_details[[#This Row],[quantity]]</f>
        <v>56</v>
      </c>
      <c r="I1924" s="1">
        <f>northwind_order_details[[#This Row],[purchase amount]]*northwind_order_details[[#This Row],[discount]]</f>
        <v>0</v>
      </c>
      <c r="J1924" s="1">
        <f>northwind_order_details[[#This Row],[purchase amount]]-northwind_order_details[[#This Row],[discount amount]]</f>
        <v>56</v>
      </c>
      <c r="K1924" s="6" t="str">
        <f>IF(northwind_order_details[[#This Row],[discount amount]]&gt;0,"Yes","No")</f>
        <v>No</v>
      </c>
      <c r="L1924" s="1" t="str">
        <f>IF(northwind_order_details[[#This Row],[Revenue]]&gt;1000,"High",IF(northwind_order_details[[#This Row],[Revenue]]&gt;300,"Medium","Low"))</f>
        <v>Low</v>
      </c>
      <c r="M192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25" spans="1:13" x14ac:dyDescent="0.25">
      <c r="A1925">
        <v>11013</v>
      </c>
      <c r="B1925">
        <v>45</v>
      </c>
      <c r="C1925" s="6">
        <v>9.5</v>
      </c>
      <c r="D1925">
        <v>20</v>
      </c>
      <c r="E1925" s="6" t="s">
        <v>6</v>
      </c>
      <c r="F1925" t="str">
        <f>_xlfn.XLOOKUP(northwind_order_details[[#This Row],[order_id]],northwind_orders[order_id],northwind_orders[ship_country])</f>
        <v>Spain</v>
      </c>
      <c r="G1925">
        <f>INDEX(northwind_orders[],MATCH(northwind_order_details[[#This Row],[order_id]], northwind_orders[order_id], 0), MATCH("employee_id", northwind_orders[#Headers], 0))</f>
        <v>2</v>
      </c>
      <c r="H1925">
        <f>northwind_order_details[[#This Row],[unit_price]]*northwind_order_details[[#This Row],[quantity]]</f>
        <v>190</v>
      </c>
      <c r="I1925" s="1">
        <f>northwind_order_details[[#This Row],[purchase amount]]*northwind_order_details[[#This Row],[discount]]</f>
        <v>0</v>
      </c>
      <c r="J1925" s="1">
        <f>northwind_order_details[[#This Row],[purchase amount]]-northwind_order_details[[#This Row],[discount amount]]</f>
        <v>190</v>
      </c>
      <c r="K1925" s="6" t="str">
        <f>IF(northwind_order_details[[#This Row],[discount amount]]&gt;0,"Yes","No")</f>
        <v>No</v>
      </c>
      <c r="L1925" s="1" t="str">
        <f>IF(northwind_order_details[[#This Row],[Revenue]]&gt;1000,"High",IF(northwind_order_details[[#This Row],[Revenue]]&gt;300,"Medium","Low"))</f>
        <v>Low</v>
      </c>
      <c r="M19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6" spans="1:13" x14ac:dyDescent="0.25">
      <c r="A1926">
        <v>11013</v>
      </c>
      <c r="B1926">
        <v>68</v>
      </c>
      <c r="C1926" s="6">
        <v>12.5</v>
      </c>
      <c r="D1926">
        <v>2</v>
      </c>
      <c r="E1926" s="6" t="s">
        <v>6</v>
      </c>
      <c r="F1926" t="str">
        <f>_xlfn.XLOOKUP(northwind_order_details[[#This Row],[order_id]],northwind_orders[order_id],northwind_orders[ship_country])</f>
        <v>Spain</v>
      </c>
      <c r="G1926">
        <f>INDEX(northwind_orders[],MATCH(northwind_order_details[[#This Row],[order_id]], northwind_orders[order_id], 0), MATCH("employee_id", northwind_orders[#Headers], 0))</f>
        <v>2</v>
      </c>
      <c r="H1926">
        <f>northwind_order_details[[#This Row],[unit_price]]*northwind_order_details[[#This Row],[quantity]]</f>
        <v>25</v>
      </c>
      <c r="I1926" s="1">
        <f>northwind_order_details[[#This Row],[purchase amount]]*northwind_order_details[[#This Row],[discount]]</f>
        <v>0</v>
      </c>
      <c r="J1926" s="1">
        <f>northwind_order_details[[#This Row],[purchase amount]]-northwind_order_details[[#This Row],[discount amount]]</f>
        <v>25</v>
      </c>
      <c r="K1926" s="6" t="str">
        <f>IF(northwind_order_details[[#This Row],[discount amount]]&gt;0,"Yes","No")</f>
        <v>No</v>
      </c>
      <c r="L1926" s="1" t="str">
        <f>IF(northwind_order_details[[#This Row],[Revenue]]&gt;1000,"High",IF(northwind_order_details[[#This Row],[Revenue]]&gt;300,"Medium","Low"))</f>
        <v>Low</v>
      </c>
      <c r="M192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7" spans="1:13" x14ac:dyDescent="0.25">
      <c r="A1927">
        <v>11014</v>
      </c>
      <c r="B1927">
        <v>41</v>
      </c>
      <c r="C1927" s="6">
        <v>9.65</v>
      </c>
      <c r="D1927">
        <v>28</v>
      </c>
      <c r="E1927" s="6">
        <v>0.1</v>
      </c>
      <c r="F1927" t="str">
        <f>_xlfn.XLOOKUP(northwind_order_details[[#This Row],[order_id]],northwind_orders[order_id],northwind_orders[ship_country])</f>
        <v>Venezuela</v>
      </c>
      <c r="G1927">
        <f>INDEX(northwind_orders[],MATCH(northwind_order_details[[#This Row],[order_id]], northwind_orders[order_id], 0), MATCH("employee_id", northwind_orders[#Headers], 0))</f>
        <v>2</v>
      </c>
      <c r="H1927">
        <f>northwind_order_details[[#This Row],[unit_price]]*northwind_order_details[[#This Row],[quantity]]</f>
        <v>270.2</v>
      </c>
      <c r="I1927" s="1">
        <f>northwind_order_details[[#This Row],[purchase amount]]*northwind_order_details[[#This Row],[discount]]</f>
        <v>27.02</v>
      </c>
      <c r="J1927" s="1">
        <f>northwind_order_details[[#This Row],[purchase amount]]-northwind_order_details[[#This Row],[discount amount]]</f>
        <v>243.17999999999998</v>
      </c>
      <c r="K1927" s="6" t="str">
        <f>IF(northwind_order_details[[#This Row],[discount amount]]&gt;0,"Yes","No")</f>
        <v>Yes</v>
      </c>
      <c r="L1927" s="1" t="str">
        <f>IF(northwind_order_details[[#This Row],[Revenue]]&gt;1000,"High",IF(northwind_order_details[[#This Row],[Revenue]]&gt;300,"Medium","Low"))</f>
        <v>Low</v>
      </c>
      <c r="M19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8" spans="1:13" x14ac:dyDescent="0.25">
      <c r="A1928">
        <v>11015</v>
      </c>
      <c r="B1928">
        <v>30</v>
      </c>
      <c r="C1928" s="6">
        <v>25.89</v>
      </c>
      <c r="D1928">
        <v>15</v>
      </c>
      <c r="E1928" s="6" t="s">
        <v>6</v>
      </c>
      <c r="F1928" t="str">
        <f>_xlfn.XLOOKUP(northwind_order_details[[#This Row],[order_id]],northwind_orders[order_id],northwind_orders[ship_country])</f>
        <v>Norway</v>
      </c>
      <c r="G1928">
        <f>INDEX(northwind_orders[],MATCH(northwind_order_details[[#This Row],[order_id]], northwind_orders[order_id], 0), MATCH("employee_id", northwind_orders[#Headers], 0))</f>
        <v>2</v>
      </c>
      <c r="H1928">
        <f>northwind_order_details[[#This Row],[unit_price]]*northwind_order_details[[#This Row],[quantity]]</f>
        <v>388.35</v>
      </c>
      <c r="I1928" s="1">
        <f>northwind_order_details[[#This Row],[purchase amount]]*northwind_order_details[[#This Row],[discount]]</f>
        <v>0</v>
      </c>
      <c r="J1928" s="1">
        <f>northwind_order_details[[#This Row],[purchase amount]]-northwind_order_details[[#This Row],[discount amount]]</f>
        <v>388.35</v>
      </c>
      <c r="K1928" s="6" t="str">
        <f>IF(northwind_order_details[[#This Row],[discount amount]]&gt;0,"Yes","No")</f>
        <v>No</v>
      </c>
      <c r="L1928" s="1" t="str">
        <f>IF(northwind_order_details[[#This Row],[Revenue]]&gt;1000,"High",IF(northwind_order_details[[#This Row],[Revenue]]&gt;300,"Medium","Low"))</f>
        <v>Medium</v>
      </c>
      <c r="M192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29" spans="1:13" x14ac:dyDescent="0.25">
      <c r="A1929">
        <v>11015</v>
      </c>
      <c r="B1929">
        <v>77</v>
      </c>
      <c r="C1929" s="6" t="s">
        <v>19</v>
      </c>
      <c r="D1929">
        <v>18</v>
      </c>
      <c r="E1929" s="6" t="s">
        <v>6</v>
      </c>
      <c r="F1929" t="str">
        <f>_xlfn.XLOOKUP(northwind_order_details[[#This Row],[order_id]],northwind_orders[order_id],northwind_orders[ship_country])</f>
        <v>Norway</v>
      </c>
      <c r="G1929">
        <f>INDEX(northwind_orders[],MATCH(northwind_order_details[[#This Row],[order_id]], northwind_orders[order_id], 0), MATCH("employee_id", northwind_orders[#Headers], 0))</f>
        <v>2</v>
      </c>
      <c r="H1929">
        <f>northwind_order_details[[#This Row],[unit_price]]*northwind_order_details[[#This Row],[quantity]]</f>
        <v>234</v>
      </c>
      <c r="I1929" s="1">
        <f>northwind_order_details[[#This Row],[purchase amount]]*northwind_order_details[[#This Row],[discount]]</f>
        <v>0</v>
      </c>
      <c r="J1929" s="1">
        <f>northwind_order_details[[#This Row],[purchase amount]]-northwind_order_details[[#This Row],[discount amount]]</f>
        <v>234</v>
      </c>
      <c r="K1929" s="6" t="str">
        <f>IF(northwind_order_details[[#This Row],[discount amount]]&gt;0,"Yes","No")</f>
        <v>No</v>
      </c>
      <c r="L1929" s="1" t="str">
        <f>IF(northwind_order_details[[#This Row],[Revenue]]&gt;1000,"High",IF(northwind_order_details[[#This Row],[Revenue]]&gt;300,"Medium","Low"))</f>
        <v>Low</v>
      </c>
      <c r="M192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0" spans="1:13" x14ac:dyDescent="0.25">
      <c r="A1930">
        <v>11016</v>
      </c>
      <c r="B1930">
        <v>31</v>
      </c>
      <c r="C1930" s="6">
        <v>12.5</v>
      </c>
      <c r="D1930">
        <v>15</v>
      </c>
      <c r="E1930" s="6" t="s">
        <v>6</v>
      </c>
      <c r="F1930" t="str">
        <f>_xlfn.XLOOKUP(northwind_order_details[[#This Row],[order_id]],northwind_orders[order_id],northwind_orders[ship_country])</f>
        <v>UK</v>
      </c>
      <c r="G1930">
        <f>INDEX(northwind_orders[],MATCH(northwind_order_details[[#This Row],[order_id]], northwind_orders[order_id], 0), MATCH("employee_id", northwind_orders[#Headers], 0))</f>
        <v>9</v>
      </c>
      <c r="H1930">
        <f>northwind_order_details[[#This Row],[unit_price]]*northwind_order_details[[#This Row],[quantity]]</f>
        <v>187.5</v>
      </c>
      <c r="I1930" s="1">
        <f>northwind_order_details[[#This Row],[purchase amount]]*northwind_order_details[[#This Row],[discount]]</f>
        <v>0</v>
      </c>
      <c r="J1930" s="1">
        <f>northwind_order_details[[#This Row],[purchase amount]]-northwind_order_details[[#This Row],[discount amount]]</f>
        <v>187.5</v>
      </c>
      <c r="K1930" s="6" t="str">
        <f>IF(northwind_order_details[[#This Row],[discount amount]]&gt;0,"Yes","No")</f>
        <v>No</v>
      </c>
      <c r="L1930" s="1" t="str">
        <f>IF(northwind_order_details[[#This Row],[Revenue]]&gt;1000,"High",IF(northwind_order_details[[#This Row],[Revenue]]&gt;300,"Medium","Low"))</f>
        <v>Low</v>
      </c>
      <c r="M193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31" spans="1:13" x14ac:dyDescent="0.25">
      <c r="A1931">
        <v>11016</v>
      </c>
      <c r="B1931">
        <v>36</v>
      </c>
      <c r="C1931" s="6" t="s">
        <v>20</v>
      </c>
      <c r="D1931">
        <v>16</v>
      </c>
      <c r="E1931" s="6" t="s">
        <v>6</v>
      </c>
      <c r="F1931" t="str">
        <f>_xlfn.XLOOKUP(northwind_order_details[[#This Row],[order_id]],northwind_orders[order_id],northwind_orders[ship_country])</f>
        <v>UK</v>
      </c>
      <c r="G1931">
        <f>INDEX(northwind_orders[],MATCH(northwind_order_details[[#This Row],[order_id]], northwind_orders[order_id], 0), MATCH("employee_id", northwind_orders[#Headers], 0))</f>
        <v>9</v>
      </c>
      <c r="H1931">
        <f>northwind_order_details[[#This Row],[unit_price]]*northwind_order_details[[#This Row],[quantity]]</f>
        <v>304</v>
      </c>
      <c r="I1931" s="1">
        <f>northwind_order_details[[#This Row],[purchase amount]]*northwind_order_details[[#This Row],[discount]]</f>
        <v>0</v>
      </c>
      <c r="J1931" s="1">
        <f>northwind_order_details[[#This Row],[purchase amount]]-northwind_order_details[[#This Row],[discount amount]]</f>
        <v>304</v>
      </c>
      <c r="K1931" s="6" t="str">
        <f>IF(northwind_order_details[[#This Row],[discount amount]]&gt;0,"Yes","No")</f>
        <v>No</v>
      </c>
      <c r="L1931" s="1" t="str">
        <f>IF(northwind_order_details[[#This Row],[Revenue]]&gt;1000,"High",IF(northwind_order_details[[#This Row],[Revenue]]&gt;300,"Medium","Low"))</f>
        <v>Medium</v>
      </c>
      <c r="M193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2" spans="1:13" x14ac:dyDescent="0.25">
      <c r="A1932">
        <v>11017</v>
      </c>
      <c r="B1932">
        <v>3</v>
      </c>
      <c r="C1932" s="6" t="s">
        <v>8</v>
      </c>
      <c r="D1932">
        <v>25</v>
      </c>
      <c r="E1932" s="6" t="s">
        <v>6</v>
      </c>
      <c r="F1932" t="str">
        <f>_xlfn.XLOOKUP(northwind_order_details[[#This Row],[order_id]],northwind_orders[order_id],northwind_orders[ship_country])</f>
        <v>Austria</v>
      </c>
      <c r="G1932">
        <f>INDEX(northwind_orders[],MATCH(northwind_order_details[[#This Row],[order_id]], northwind_orders[order_id], 0), MATCH("employee_id", northwind_orders[#Headers], 0))</f>
        <v>9</v>
      </c>
      <c r="H1932">
        <f>northwind_order_details[[#This Row],[unit_price]]*northwind_order_details[[#This Row],[quantity]]</f>
        <v>250</v>
      </c>
      <c r="I1932" s="1">
        <f>northwind_order_details[[#This Row],[purchase amount]]*northwind_order_details[[#This Row],[discount]]</f>
        <v>0</v>
      </c>
      <c r="J1932" s="1">
        <f>northwind_order_details[[#This Row],[purchase amount]]-northwind_order_details[[#This Row],[discount amount]]</f>
        <v>250</v>
      </c>
      <c r="K1932" s="6" t="str">
        <f>IF(northwind_order_details[[#This Row],[discount amount]]&gt;0,"Yes","No")</f>
        <v>No</v>
      </c>
      <c r="L1932" s="1" t="str">
        <f>IF(northwind_order_details[[#This Row],[Revenue]]&gt;1000,"High",IF(northwind_order_details[[#This Row],[Revenue]]&gt;300,"Medium","Low"))</f>
        <v>Low</v>
      </c>
      <c r="M193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3" spans="1:13" x14ac:dyDescent="0.25">
      <c r="A1933">
        <v>11017</v>
      </c>
      <c r="B1933">
        <v>59</v>
      </c>
      <c r="C1933" s="6" t="s">
        <v>33</v>
      </c>
      <c r="D1933">
        <v>110</v>
      </c>
      <c r="E1933" s="6" t="s">
        <v>6</v>
      </c>
      <c r="F1933" t="str">
        <f>_xlfn.XLOOKUP(northwind_order_details[[#This Row],[order_id]],northwind_orders[order_id],northwind_orders[ship_country])</f>
        <v>Austria</v>
      </c>
      <c r="G1933">
        <f>INDEX(northwind_orders[],MATCH(northwind_order_details[[#This Row],[order_id]], northwind_orders[order_id], 0), MATCH("employee_id", northwind_orders[#Headers], 0))</f>
        <v>9</v>
      </c>
      <c r="H1933">
        <f>northwind_order_details[[#This Row],[unit_price]]*northwind_order_details[[#This Row],[quantity]]</f>
        <v>6050</v>
      </c>
      <c r="I1933" s="1">
        <f>northwind_order_details[[#This Row],[purchase amount]]*northwind_order_details[[#This Row],[discount]]</f>
        <v>0</v>
      </c>
      <c r="J1933" s="1">
        <f>northwind_order_details[[#This Row],[purchase amount]]-northwind_order_details[[#This Row],[discount amount]]</f>
        <v>6050</v>
      </c>
      <c r="K1933" s="6" t="str">
        <f>IF(northwind_order_details[[#This Row],[discount amount]]&gt;0,"Yes","No")</f>
        <v>No</v>
      </c>
      <c r="L1933" s="1" t="str">
        <f>IF(northwind_order_details[[#This Row],[Revenue]]&gt;1000,"High",IF(northwind_order_details[[#This Row],[Revenue]]&gt;300,"Medium","Low"))</f>
        <v>High</v>
      </c>
      <c r="M193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4" spans="1:13" x14ac:dyDescent="0.25">
      <c r="A1934">
        <v>11017</v>
      </c>
      <c r="B1934">
        <v>70</v>
      </c>
      <c r="C1934" s="6" t="s">
        <v>21</v>
      </c>
      <c r="D1934">
        <v>30</v>
      </c>
      <c r="E1934" s="6" t="s">
        <v>6</v>
      </c>
      <c r="F1934" t="str">
        <f>_xlfn.XLOOKUP(northwind_order_details[[#This Row],[order_id]],northwind_orders[order_id],northwind_orders[ship_country])</f>
        <v>Austria</v>
      </c>
      <c r="G1934">
        <f>INDEX(northwind_orders[],MATCH(northwind_order_details[[#This Row],[order_id]], northwind_orders[order_id], 0), MATCH("employee_id", northwind_orders[#Headers], 0))</f>
        <v>9</v>
      </c>
      <c r="H1934">
        <f>northwind_order_details[[#This Row],[unit_price]]*northwind_order_details[[#This Row],[quantity]]</f>
        <v>450</v>
      </c>
      <c r="I1934" s="1">
        <f>northwind_order_details[[#This Row],[purchase amount]]*northwind_order_details[[#This Row],[discount]]</f>
        <v>0</v>
      </c>
      <c r="J1934" s="1">
        <f>northwind_order_details[[#This Row],[purchase amount]]-northwind_order_details[[#This Row],[discount amount]]</f>
        <v>450</v>
      </c>
      <c r="K1934" s="6" t="str">
        <f>IF(northwind_order_details[[#This Row],[discount amount]]&gt;0,"Yes","No")</f>
        <v>No</v>
      </c>
      <c r="L1934" s="1" t="str">
        <f>IF(northwind_order_details[[#This Row],[Revenue]]&gt;1000,"High",IF(northwind_order_details[[#This Row],[Revenue]]&gt;300,"Medium","Low"))</f>
        <v>Medium</v>
      </c>
      <c r="M193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5" spans="1:13" x14ac:dyDescent="0.25">
      <c r="A1935">
        <v>11018</v>
      </c>
      <c r="B1935">
        <v>12</v>
      </c>
      <c r="C1935" s="6" t="s">
        <v>30</v>
      </c>
      <c r="D1935">
        <v>20</v>
      </c>
      <c r="E1935" s="6" t="s">
        <v>6</v>
      </c>
      <c r="F1935" t="str">
        <f>_xlfn.XLOOKUP(northwind_order_details[[#This Row],[order_id]],northwind_orders[order_id],northwind_orders[ship_country])</f>
        <v>USA</v>
      </c>
      <c r="G1935">
        <f>INDEX(northwind_orders[],MATCH(northwind_order_details[[#This Row],[order_id]], northwind_orders[order_id], 0), MATCH("employee_id", northwind_orders[#Headers], 0))</f>
        <v>4</v>
      </c>
      <c r="H1935">
        <f>northwind_order_details[[#This Row],[unit_price]]*northwind_order_details[[#This Row],[quantity]]</f>
        <v>760</v>
      </c>
      <c r="I1935" s="1">
        <f>northwind_order_details[[#This Row],[purchase amount]]*northwind_order_details[[#This Row],[discount]]</f>
        <v>0</v>
      </c>
      <c r="J1935" s="1">
        <f>northwind_order_details[[#This Row],[purchase amount]]-northwind_order_details[[#This Row],[discount amount]]</f>
        <v>760</v>
      </c>
      <c r="K1935" s="6" t="str">
        <f>IF(northwind_order_details[[#This Row],[discount amount]]&gt;0,"Yes","No")</f>
        <v>No</v>
      </c>
      <c r="L1935" s="1" t="str">
        <f>IF(northwind_order_details[[#This Row],[Revenue]]&gt;1000,"High",IF(northwind_order_details[[#This Row],[Revenue]]&gt;300,"Medium","Low"))</f>
        <v>Medium</v>
      </c>
      <c r="M193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6" spans="1:13" x14ac:dyDescent="0.25">
      <c r="A1936">
        <v>11018</v>
      </c>
      <c r="B1936">
        <v>18</v>
      </c>
      <c r="C1936" s="6">
        <v>62.5</v>
      </c>
      <c r="D1936">
        <v>10</v>
      </c>
      <c r="E1936" s="6" t="s">
        <v>6</v>
      </c>
      <c r="F1936" t="str">
        <f>_xlfn.XLOOKUP(northwind_order_details[[#This Row],[order_id]],northwind_orders[order_id],northwind_orders[ship_country])</f>
        <v>USA</v>
      </c>
      <c r="G1936">
        <f>INDEX(northwind_orders[],MATCH(northwind_order_details[[#This Row],[order_id]], northwind_orders[order_id], 0), MATCH("employee_id", northwind_orders[#Headers], 0))</f>
        <v>4</v>
      </c>
      <c r="H1936">
        <f>northwind_order_details[[#This Row],[unit_price]]*northwind_order_details[[#This Row],[quantity]]</f>
        <v>625</v>
      </c>
      <c r="I1936" s="1">
        <f>northwind_order_details[[#This Row],[purchase amount]]*northwind_order_details[[#This Row],[discount]]</f>
        <v>0</v>
      </c>
      <c r="J1936" s="1">
        <f>northwind_order_details[[#This Row],[purchase amount]]-northwind_order_details[[#This Row],[discount amount]]</f>
        <v>625</v>
      </c>
      <c r="K1936" s="6" t="str">
        <f>IF(northwind_order_details[[#This Row],[discount amount]]&gt;0,"Yes","No")</f>
        <v>No</v>
      </c>
      <c r="L1936" s="1" t="str">
        <f>IF(northwind_order_details[[#This Row],[Revenue]]&gt;1000,"High",IF(northwind_order_details[[#This Row],[Revenue]]&gt;300,"Medium","Low"))</f>
        <v>Medium</v>
      </c>
      <c r="M193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37" spans="1:13" x14ac:dyDescent="0.25">
      <c r="A1937">
        <v>11018</v>
      </c>
      <c r="B1937">
        <v>56</v>
      </c>
      <c r="C1937" s="6" t="s">
        <v>30</v>
      </c>
      <c r="D1937">
        <v>5</v>
      </c>
      <c r="E1937" s="6" t="s">
        <v>6</v>
      </c>
      <c r="F1937" t="str">
        <f>_xlfn.XLOOKUP(northwind_order_details[[#This Row],[order_id]],northwind_orders[order_id],northwind_orders[ship_country])</f>
        <v>USA</v>
      </c>
      <c r="G1937">
        <f>INDEX(northwind_orders[],MATCH(northwind_order_details[[#This Row],[order_id]], northwind_orders[order_id], 0), MATCH("employee_id", northwind_orders[#Headers], 0))</f>
        <v>4</v>
      </c>
      <c r="H1937">
        <f>northwind_order_details[[#This Row],[unit_price]]*northwind_order_details[[#This Row],[quantity]]</f>
        <v>190</v>
      </c>
      <c r="I1937" s="1">
        <f>northwind_order_details[[#This Row],[purchase amount]]*northwind_order_details[[#This Row],[discount]]</f>
        <v>0</v>
      </c>
      <c r="J1937" s="1">
        <f>northwind_order_details[[#This Row],[purchase amount]]-northwind_order_details[[#This Row],[discount amount]]</f>
        <v>190</v>
      </c>
      <c r="K1937" s="6" t="str">
        <f>IF(northwind_order_details[[#This Row],[discount amount]]&gt;0,"Yes","No")</f>
        <v>No</v>
      </c>
      <c r="L1937" s="1" t="str">
        <f>IF(northwind_order_details[[#This Row],[Revenue]]&gt;1000,"High",IF(northwind_order_details[[#This Row],[Revenue]]&gt;300,"Medium","Low"))</f>
        <v>Low</v>
      </c>
      <c r="M193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8" spans="1:13" x14ac:dyDescent="0.25">
      <c r="A1938">
        <v>11020</v>
      </c>
      <c r="B1938">
        <v>10</v>
      </c>
      <c r="C1938" s="6" t="s">
        <v>34</v>
      </c>
      <c r="D1938">
        <v>24</v>
      </c>
      <c r="E1938" s="6">
        <v>0.15</v>
      </c>
      <c r="F1938" t="str">
        <f>_xlfn.XLOOKUP(northwind_order_details[[#This Row],[order_id]],northwind_orders[order_id],northwind_orders[ship_country])</f>
        <v>Germany</v>
      </c>
      <c r="G1938">
        <f>INDEX(northwind_orders[],MATCH(northwind_order_details[[#This Row],[order_id]], northwind_orders[order_id], 0), MATCH("employee_id", northwind_orders[#Headers], 0))</f>
        <v>2</v>
      </c>
      <c r="H1938">
        <f>northwind_order_details[[#This Row],[unit_price]]*northwind_order_details[[#This Row],[quantity]]</f>
        <v>744</v>
      </c>
      <c r="I1938" s="1">
        <f>northwind_order_details[[#This Row],[purchase amount]]*northwind_order_details[[#This Row],[discount]]</f>
        <v>111.6</v>
      </c>
      <c r="J1938" s="1">
        <f>northwind_order_details[[#This Row],[purchase amount]]-northwind_order_details[[#This Row],[discount amount]]</f>
        <v>632.4</v>
      </c>
      <c r="K1938" s="6" t="str">
        <f>IF(northwind_order_details[[#This Row],[discount amount]]&gt;0,"Yes","No")</f>
        <v>Yes</v>
      </c>
      <c r="L1938" s="1" t="str">
        <f>IF(northwind_order_details[[#This Row],[Revenue]]&gt;1000,"High",IF(northwind_order_details[[#This Row],[Revenue]]&gt;300,"Medium","Low"))</f>
        <v>Medium</v>
      </c>
      <c r="M193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39" spans="1:13" x14ac:dyDescent="0.25">
      <c r="A1939">
        <v>11021</v>
      </c>
      <c r="B1939">
        <v>2</v>
      </c>
      <c r="C1939" s="6" t="s">
        <v>20</v>
      </c>
      <c r="D1939">
        <v>11</v>
      </c>
      <c r="E1939" s="6">
        <v>0.25</v>
      </c>
      <c r="F1939" t="str">
        <f>_xlfn.XLOOKUP(northwind_order_details[[#This Row],[order_id]],northwind_orders[order_id],northwind_orders[ship_country])</f>
        <v>Germany</v>
      </c>
      <c r="G1939">
        <f>INDEX(northwind_orders[],MATCH(northwind_order_details[[#This Row],[order_id]], northwind_orders[order_id], 0), MATCH("employee_id", northwind_orders[#Headers], 0))</f>
        <v>3</v>
      </c>
      <c r="H1939">
        <f>northwind_order_details[[#This Row],[unit_price]]*northwind_order_details[[#This Row],[quantity]]</f>
        <v>209</v>
      </c>
      <c r="I1939" s="1">
        <f>northwind_order_details[[#This Row],[purchase amount]]*northwind_order_details[[#This Row],[discount]]</f>
        <v>52.25</v>
      </c>
      <c r="J1939" s="1">
        <f>northwind_order_details[[#This Row],[purchase amount]]-northwind_order_details[[#This Row],[discount amount]]</f>
        <v>156.75</v>
      </c>
      <c r="K1939" s="6" t="str">
        <f>IF(northwind_order_details[[#This Row],[discount amount]]&gt;0,"Yes","No")</f>
        <v>Yes</v>
      </c>
      <c r="L1939" s="1" t="str">
        <f>IF(northwind_order_details[[#This Row],[Revenue]]&gt;1000,"High",IF(northwind_order_details[[#This Row],[Revenue]]&gt;300,"Medium","Low"))</f>
        <v>Low</v>
      </c>
      <c r="M193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0" spans="1:13" x14ac:dyDescent="0.25">
      <c r="A1940">
        <v>11021</v>
      </c>
      <c r="B1940">
        <v>20</v>
      </c>
      <c r="C1940" s="6" t="s">
        <v>29</v>
      </c>
      <c r="D1940">
        <v>15</v>
      </c>
      <c r="E1940" s="6" t="s">
        <v>6</v>
      </c>
      <c r="F1940" t="str">
        <f>_xlfn.XLOOKUP(northwind_order_details[[#This Row],[order_id]],northwind_orders[order_id],northwind_orders[ship_country])</f>
        <v>Germany</v>
      </c>
      <c r="G1940">
        <f>INDEX(northwind_orders[],MATCH(northwind_order_details[[#This Row],[order_id]], northwind_orders[order_id], 0), MATCH("employee_id", northwind_orders[#Headers], 0))</f>
        <v>3</v>
      </c>
      <c r="H1940">
        <f>northwind_order_details[[#This Row],[unit_price]]*northwind_order_details[[#This Row],[quantity]]</f>
        <v>1215</v>
      </c>
      <c r="I1940" s="1">
        <f>northwind_order_details[[#This Row],[purchase amount]]*northwind_order_details[[#This Row],[discount]]</f>
        <v>0</v>
      </c>
      <c r="J1940" s="1">
        <f>northwind_order_details[[#This Row],[purchase amount]]-northwind_order_details[[#This Row],[discount amount]]</f>
        <v>1215</v>
      </c>
      <c r="K1940" s="6" t="str">
        <f>IF(northwind_order_details[[#This Row],[discount amount]]&gt;0,"Yes","No")</f>
        <v>No</v>
      </c>
      <c r="L1940" s="1" t="str">
        <f>IF(northwind_order_details[[#This Row],[Revenue]]&gt;1000,"High",IF(northwind_order_details[[#This Row],[Revenue]]&gt;300,"Medium","Low"))</f>
        <v>High</v>
      </c>
      <c r="M194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1" spans="1:13" x14ac:dyDescent="0.25">
      <c r="A1941">
        <v>11021</v>
      </c>
      <c r="B1941">
        <v>26</v>
      </c>
      <c r="C1941" s="6">
        <v>31.23</v>
      </c>
      <c r="D1941">
        <v>63</v>
      </c>
      <c r="E1941" s="6" t="s">
        <v>6</v>
      </c>
      <c r="F1941" t="str">
        <f>_xlfn.XLOOKUP(northwind_order_details[[#This Row],[order_id]],northwind_orders[order_id],northwind_orders[ship_country])</f>
        <v>Germany</v>
      </c>
      <c r="G1941">
        <f>INDEX(northwind_orders[],MATCH(northwind_order_details[[#This Row],[order_id]], northwind_orders[order_id], 0), MATCH("employee_id", northwind_orders[#Headers], 0))</f>
        <v>3</v>
      </c>
      <c r="H1941">
        <f>northwind_order_details[[#This Row],[unit_price]]*northwind_order_details[[#This Row],[quantity]]</f>
        <v>1967.49</v>
      </c>
      <c r="I1941" s="1">
        <f>northwind_order_details[[#This Row],[purchase amount]]*northwind_order_details[[#This Row],[discount]]</f>
        <v>0</v>
      </c>
      <c r="J1941" s="1">
        <f>northwind_order_details[[#This Row],[purchase amount]]-northwind_order_details[[#This Row],[discount amount]]</f>
        <v>1967.49</v>
      </c>
      <c r="K1941" s="6" t="str">
        <f>IF(northwind_order_details[[#This Row],[discount amount]]&gt;0,"Yes","No")</f>
        <v>No</v>
      </c>
      <c r="L1941" s="1" t="str">
        <f>IF(northwind_order_details[[#This Row],[Revenue]]&gt;1000,"High",IF(northwind_order_details[[#This Row],[Revenue]]&gt;300,"Medium","Low"))</f>
        <v>High</v>
      </c>
      <c r="M194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42" spans="1:13" x14ac:dyDescent="0.25">
      <c r="A1942">
        <v>11021</v>
      </c>
      <c r="B1942">
        <v>51</v>
      </c>
      <c r="C1942" s="6" t="s">
        <v>39</v>
      </c>
      <c r="D1942">
        <v>44</v>
      </c>
      <c r="E1942" s="6">
        <v>0.25</v>
      </c>
      <c r="F1942" t="str">
        <f>_xlfn.XLOOKUP(northwind_order_details[[#This Row],[order_id]],northwind_orders[order_id],northwind_orders[ship_country])</f>
        <v>Germany</v>
      </c>
      <c r="G1942">
        <f>INDEX(northwind_orders[],MATCH(northwind_order_details[[#This Row],[order_id]], northwind_orders[order_id], 0), MATCH("employee_id", northwind_orders[#Headers], 0))</f>
        <v>3</v>
      </c>
      <c r="H1942">
        <f>northwind_order_details[[#This Row],[unit_price]]*northwind_order_details[[#This Row],[quantity]]</f>
        <v>2332</v>
      </c>
      <c r="I1942" s="1">
        <f>northwind_order_details[[#This Row],[purchase amount]]*northwind_order_details[[#This Row],[discount]]</f>
        <v>583</v>
      </c>
      <c r="J1942" s="1">
        <f>northwind_order_details[[#This Row],[purchase amount]]-northwind_order_details[[#This Row],[discount amount]]</f>
        <v>1749</v>
      </c>
      <c r="K1942" s="6" t="str">
        <f>IF(northwind_order_details[[#This Row],[discount amount]]&gt;0,"Yes","No")</f>
        <v>Yes</v>
      </c>
      <c r="L1942" s="1" t="str">
        <f>IF(northwind_order_details[[#This Row],[Revenue]]&gt;1000,"High",IF(northwind_order_details[[#This Row],[Revenue]]&gt;300,"Medium","Low"))</f>
        <v>High</v>
      </c>
      <c r="M194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3" spans="1:13" x14ac:dyDescent="0.25">
      <c r="A1943">
        <v>11021</v>
      </c>
      <c r="B1943">
        <v>72</v>
      </c>
      <c r="C1943" s="6">
        <v>34.799999999999997</v>
      </c>
      <c r="D1943">
        <v>35</v>
      </c>
      <c r="E1943" s="6" t="s">
        <v>6</v>
      </c>
      <c r="F1943" t="str">
        <f>_xlfn.XLOOKUP(northwind_order_details[[#This Row],[order_id]],northwind_orders[order_id],northwind_orders[ship_country])</f>
        <v>Germany</v>
      </c>
      <c r="G1943">
        <f>INDEX(northwind_orders[],MATCH(northwind_order_details[[#This Row],[order_id]], northwind_orders[order_id], 0), MATCH("employee_id", northwind_orders[#Headers], 0))</f>
        <v>3</v>
      </c>
      <c r="H1943">
        <f>northwind_order_details[[#This Row],[unit_price]]*northwind_order_details[[#This Row],[quantity]]</f>
        <v>1218</v>
      </c>
      <c r="I1943" s="1">
        <f>northwind_order_details[[#This Row],[purchase amount]]*northwind_order_details[[#This Row],[discount]]</f>
        <v>0</v>
      </c>
      <c r="J1943" s="1">
        <f>northwind_order_details[[#This Row],[purchase amount]]-northwind_order_details[[#This Row],[discount amount]]</f>
        <v>1218</v>
      </c>
      <c r="K1943" s="6" t="str">
        <f>IF(northwind_order_details[[#This Row],[discount amount]]&gt;0,"Yes","No")</f>
        <v>No</v>
      </c>
      <c r="L1943" s="1" t="str">
        <f>IF(northwind_order_details[[#This Row],[Revenue]]&gt;1000,"High",IF(northwind_order_details[[#This Row],[Revenue]]&gt;300,"Medium","Low"))</f>
        <v>High</v>
      </c>
      <c r="M194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44" spans="1:13" x14ac:dyDescent="0.25">
      <c r="A1944">
        <v>11022</v>
      </c>
      <c r="B1944">
        <v>19</v>
      </c>
      <c r="C1944" s="6">
        <v>9.1999999999999993</v>
      </c>
      <c r="D1944">
        <v>35</v>
      </c>
      <c r="E1944" s="6" t="s">
        <v>6</v>
      </c>
      <c r="F1944" t="str">
        <f>_xlfn.XLOOKUP(northwind_order_details[[#This Row],[order_id]],northwind_orders[order_id],northwind_orders[ship_country])</f>
        <v>Brazil</v>
      </c>
      <c r="G1944">
        <f>INDEX(northwind_orders[],MATCH(northwind_order_details[[#This Row],[order_id]], northwind_orders[order_id], 0), MATCH("employee_id", northwind_orders[#Headers], 0))</f>
        <v>9</v>
      </c>
      <c r="H1944">
        <f>northwind_order_details[[#This Row],[unit_price]]*northwind_order_details[[#This Row],[quantity]]</f>
        <v>322</v>
      </c>
      <c r="I1944" s="1">
        <f>northwind_order_details[[#This Row],[purchase amount]]*northwind_order_details[[#This Row],[discount]]</f>
        <v>0</v>
      </c>
      <c r="J1944" s="1">
        <f>northwind_order_details[[#This Row],[purchase amount]]-northwind_order_details[[#This Row],[discount amount]]</f>
        <v>322</v>
      </c>
      <c r="K1944" s="6" t="str">
        <f>IF(northwind_order_details[[#This Row],[discount amount]]&gt;0,"Yes","No")</f>
        <v>No</v>
      </c>
      <c r="L1944" s="1" t="str">
        <f>IF(northwind_order_details[[#This Row],[Revenue]]&gt;1000,"High",IF(northwind_order_details[[#This Row],[Revenue]]&gt;300,"Medium","Low"))</f>
        <v>Medium</v>
      </c>
      <c r="M194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45" spans="1:13" x14ac:dyDescent="0.25">
      <c r="A1945">
        <v>11022</v>
      </c>
      <c r="B1945">
        <v>69</v>
      </c>
      <c r="C1945" s="6" t="s">
        <v>38</v>
      </c>
      <c r="D1945">
        <v>30</v>
      </c>
      <c r="E1945" s="6" t="s">
        <v>6</v>
      </c>
      <c r="F1945" t="str">
        <f>_xlfn.XLOOKUP(northwind_order_details[[#This Row],[order_id]],northwind_orders[order_id],northwind_orders[ship_country])</f>
        <v>Brazil</v>
      </c>
      <c r="G1945">
        <f>INDEX(northwind_orders[],MATCH(northwind_order_details[[#This Row],[order_id]], northwind_orders[order_id], 0), MATCH("employee_id", northwind_orders[#Headers], 0))</f>
        <v>9</v>
      </c>
      <c r="H1945">
        <f>northwind_order_details[[#This Row],[unit_price]]*northwind_order_details[[#This Row],[quantity]]</f>
        <v>1080</v>
      </c>
      <c r="I1945" s="1">
        <f>northwind_order_details[[#This Row],[purchase amount]]*northwind_order_details[[#This Row],[discount]]</f>
        <v>0</v>
      </c>
      <c r="J1945" s="1">
        <f>northwind_order_details[[#This Row],[purchase amount]]-northwind_order_details[[#This Row],[discount amount]]</f>
        <v>1080</v>
      </c>
      <c r="K1945" s="6" t="str">
        <f>IF(northwind_order_details[[#This Row],[discount amount]]&gt;0,"Yes","No")</f>
        <v>No</v>
      </c>
      <c r="L1945" s="1" t="str">
        <f>IF(northwind_order_details[[#This Row],[Revenue]]&gt;1000,"High",IF(northwind_order_details[[#This Row],[Revenue]]&gt;300,"Medium","Low"))</f>
        <v>High</v>
      </c>
      <c r="M194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6" spans="1:13" x14ac:dyDescent="0.25">
      <c r="A1946">
        <v>11023</v>
      </c>
      <c r="B1946">
        <v>7</v>
      </c>
      <c r="C1946" s="6" t="s">
        <v>26</v>
      </c>
      <c r="D1946">
        <v>4</v>
      </c>
      <c r="E1946" s="6" t="s">
        <v>6</v>
      </c>
      <c r="F1946" t="str">
        <f>_xlfn.XLOOKUP(northwind_order_details[[#This Row],[order_id]],northwind_orders[order_id],northwind_orders[ship_country])</f>
        <v>UK</v>
      </c>
      <c r="G1946">
        <f>INDEX(northwind_orders[],MATCH(northwind_order_details[[#This Row],[order_id]], northwind_orders[order_id], 0), MATCH("employee_id", northwind_orders[#Headers], 0))</f>
        <v>1</v>
      </c>
      <c r="H1946">
        <f>northwind_order_details[[#This Row],[unit_price]]*northwind_order_details[[#This Row],[quantity]]</f>
        <v>120</v>
      </c>
      <c r="I1946" s="1">
        <f>northwind_order_details[[#This Row],[purchase amount]]*northwind_order_details[[#This Row],[discount]]</f>
        <v>0</v>
      </c>
      <c r="J1946" s="1">
        <f>northwind_order_details[[#This Row],[purchase amount]]-northwind_order_details[[#This Row],[discount amount]]</f>
        <v>120</v>
      </c>
      <c r="K1946" s="6" t="str">
        <f>IF(northwind_order_details[[#This Row],[discount amount]]&gt;0,"Yes","No")</f>
        <v>No</v>
      </c>
      <c r="L1946" s="1" t="str">
        <f>IF(northwind_order_details[[#This Row],[Revenue]]&gt;1000,"High",IF(northwind_order_details[[#This Row],[Revenue]]&gt;300,"Medium","Low"))</f>
        <v>Low</v>
      </c>
      <c r="M194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7" spans="1:13" x14ac:dyDescent="0.25">
      <c r="A1947">
        <v>11023</v>
      </c>
      <c r="B1947">
        <v>43</v>
      </c>
      <c r="C1947" s="6" t="s">
        <v>22</v>
      </c>
      <c r="D1947">
        <v>30</v>
      </c>
      <c r="E1947" s="6" t="s">
        <v>6</v>
      </c>
      <c r="F1947" t="str">
        <f>_xlfn.XLOOKUP(northwind_order_details[[#This Row],[order_id]],northwind_orders[order_id],northwind_orders[ship_country])</f>
        <v>UK</v>
      </c>
      <c r="G1947">
        <f>INDEX(northwind_orders[],MATCH(northwind_order_details[[#This Row],[order_id]], northwind_orders[order_id], 0), MATCH("employee_id", northwind_orders[#Headers], 0))</f>
        <v>1</v>
      </c>
      <c r="H1947">
        <f>northwind_order_details[[#This Row],[unit_price]]*northwind_order_details[[#This Row],[quantity]]</f>
        <v>1380</v>
      </c>
      <c r="I1947" s="1">
        <f>northwind_order_details[[#This Row],[purchase amount]]*northwind_order_details[[#This Row],[discount]]</f>
        <v>0</v>
      </c>
      <c r="J1947" s="1">
        <f>northwind_order_details[[#This Row],[purchase amount]]-northwind_order_details[[#This Row],[discount amount]]</f>
        <v>1380</v>
      </c>
      <c r="K1947" s="6" t="str">
        <f>IF(northwind_order_details[[#This Row],[discount amount]]&gt;0,"Yes","No")</f>
        <v>No</v>
      </c>
      <c r="L1947" s="1" t="str">
        <f>IF(northwind_order_details[[#This Row],[Revenue]]&gt;1000,"High",IF(northwind_order_details[[#This Row],[Revenue]]&gt;300,"Medium","Low"))</f>
        <v>High</v>
      </c>
      <c r="M194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48" spans="1:13" x14ac:dyDescent="0.25">
      <c r="A1948">
        <v>11024</v>
      </c>
      <c r="B1948">
        <v>26</v>
      </c>
      <c r="C1948" s="6">
        <v>31.23</v>
      </c>
      <c r="D1948">
        <v>12</v>
      </c>
      <c r="E1948" s="6" t="s">
        <v>6</v>
      </c>
      <c r="F1948" t="str">
        <f>_xlfn.XLOOKUP(northwind_order_details[[#This Row],[order_id]],northwind_orders[order_id],northwind_orders[ship_country])</f>
        <v>UK</v>
      </c>
      <c r="G1948">
        <f>INDEX(northwind_orders[],MATCH(northwind_order_details[[#This Row],[order_id]], northwind_orders[order_id], 0), MATCH("employee_id", northwind_orders[#Headers], 0))</f>
        <v>4</v>
      </c>
      <c r="H1948">
        <f>northwind_order_details[[#This Row],[unit_price]]*northwind_order_details[[#This Row],[quantity]]</f>
        <v>374.76</v>
      </c>
      <c r="I1948" s="1">
        <f>northwind_order_details[[#This Row],[purchase amount]]*northwind_order_details[[#This Row],[discount]]</f>
        <v>0</v>
      </c>
      <c r="J1948" s="1">
        <f>northwind_order_details[[#This Row],[purchase amount]]-northwind_order_details[[#This Row],[discount amount]]</f>
        <v>374.76</v>
      </c>
      <c r="K1948" s="6" t="str">
        <f>IF(northwind_order_details[[#This Row],[discount amount]]&gt;0,"Yes","No")</f>
        <v>No</v>
      </c>
      <c r="L1948" s="1" t="str">
        <f>IF(northwind_order_details[[#This Row],[Revenue]]&gt;1000,"High",IF(northwind_order_details[[#This Row],[Revenue]]&gt;300,"Medium","Low"))</f>
        <v>Medium</v>
      </c>
      <c r="M194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49" spans="1:13" x14ac:dyDescent="0.25">
      <c r="A1949">
        <v>11024</v>
      </c>
      <c r="B1949">
        <v>33</v>
      </c>
      <c r="C1949" s="6">
        <v>2.5</v>
      </c>
      <c r="D1949">
        <v>30</v>
      </c>
      <c r="E1949" s="6" t="s">
        <v>6</v>
      </c>
      <c r="F1949" t="str">
        <f>_xlfn.XLOOKUP(northwind_order_details[[#This Row],[order_id]],northwind_orders[order_id],northwind_orders[ship_country])</f>
        <v>UK</v>
      </c>
      <c r="G1949">
        <f>INDEX(northwind_orders[],MATCH(northwind_order_details[[#This Row],[order_id]], northwind_orders[order_id], 0), MATCH("employee_id", northwind_orders[#Headers], 0))</f>
        <v>4</v>
      </c>
      <c r="H1949">
        <f>northwind_order_details[[#This Row],[unit_price]]*northwind_order_details[[#This Row],[quantity]]</f>
        <v>75</v>
      </c>
      <c r="I1949" s="1">
        <f>northwind_order_details[[#This Row],[purchase amount]]*northwind_order_details[[#This Row],[discount]]</f>
        <v>0</v>
      </c>
      <c r="J1949" s="1">
        <f>northwind_order_details[[#This Row],[purchase amount]]-northwind_order_details[[#This Row],[discount amount]]</f>
        <v>75</v>
      </c>
      <c r="K1949" s="6" t="str">
        <f>IF(northwind_order_details[[#This Row],[discount amount]]&gt;0,"Yes","No")</f>
        <v>No</v>
      </c>
      <c r="L1949" s="1" t="str">
        <f>IF(northwind_order_details[[#This Row],[Revenue]]&gt;1000,"High",IF(northwind_order_details[[#This Row],[Revenue]]&gt;300,"Medium","Low"))</f>
        <v>Low</v>
      </c>
      <c r="M194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50" spans="1:13" x14ac:dyDescent="0.25">
      <c r="A1950">
        <v>11024</v>
      </c>
      <c r="B1950">
        <v>65</v>
      </c>
      <c r="C1950" s="6">
        <v>21.05</v>
      </c>
      <c r="D1950">
        <v>21</v>
      </c>
      <c r="E1950" s="6" t="s">
        <v>6</v>
      </c>
      <c r="F1950" t="str">
        <f>_xlfn.XLOOKUP(northwind_order_details[[#This Row],[order_id]],northwind_orders[order_id],northwind_orders[ship_country])</f>
        <v>UK</v>
      </c>
      <c r="G1950">
        <f>INDEX(northwind_orders[],MATCH(northwind_order_details[[#This Row],[order_id]], northwind_orders[order_id], 0), MATCH("employee_id", northwind_orders[#Headers], 0))</f>
        <v>4</v>
      </c>
      <c r="H1950">
        <f>northwind_order_details[[#This Row],[unit_price]]*northwind_order_details[[#This Row],[quantity]]</f>
        <v>442.05</v>
      </c>
      <c r="I1950" s="1">
        <f>northwind_order_details[[#This Row],[purchase amount]]*northwind_order_details[[#This Row],[discount]]</f>
        <v>0</v>
      </c>
      <c r="J1950" s="1">
        <f>northwind_order_details[[#This Row],[purchase amount]]-northwind_order_details[[#This Row],[discount amount]]</f>
        <v>442.05</v>
      </c>
      <c r="K1950" s="6" t="str">
        <f>IF(northwind_order_details[[#This Row],[discount amount]]&gt;0,"Yes","No")</f>
        <v>No</v>
      </c>
      <c r="L1950" s="1" t="str">
        <f>IF(northwind_order_details[[#This Row],[Revenue]]&gt;1000,"High",IF(northwind_order_details[[#This Row],[Revenue]]&gt;300,"Medium","Low"))</f>
        <v>Medium</v>
      </c>
      <c r="M195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51" spans="1:13" x14ac:dyDescent="0.25">
      <c r="A1951">
        <v>11024</v>
      </c>
      <c r="B1951">
        <v>71</v>
      </c>
      <c r="C1951" s="6">
        <v>21.5</v>
      </c>
      <c r="D1951">
        <v>50</v>
      </c>
      <c r="E1951" s="6" t="s">
        <v>6</v>
      </c>
      <c r="F1951" t="str">
        <f>_xlfn.XLOOKUP(northwind_order_details[[#This Row],[order_id]],northwind_orders[order_id],northwind_orders[ship_country])</f>
        <v>UK</v>
      </c>
      <c r="G1951">
        <f>INDEX(northwind_orders[],MATCH(northwind_order_details[[#This Row],[order_id]], northwind_orders[order_id], 0), MATCH("employee_id", northwind_orders[#Headers], 0))</f>
        <v>4</v>
      </c>
      <c r="H1951">
        <f>northwind_order_details[[#This Row],[unit_price]]*northwind_order_details[[#This Row],[quantity]]</f>
        <v>1075</v>
      </c>
      <c r="I1951" s="1">
        <f>northwind_order_details[[#This Row],[purchase amount]]*northwind_order_details[[#This Row],[discount]]</f>
        <v>0</v>
      </c>
      <c r="J1951" s="1">
        <f>northwind_order_details[[#This Row],[purchase amount]]-northwind_order_details[[#This Row],[discount amount]]</f>
        <v>1075</v>
      </c>
      <c r="K1951" s="6" t="str">
        <f>IF(northwind_order_details[[#This Row],[discount amount]]&gt;0,"Yes","No")</f>
        <v>No</v>
      </c>
      <c r="L1951" s="1" t="str">
        <f>IF(northwind_order_details[[#This Row],[Revenue]]&gt;1000,"High",IF(northwind_order_details[[#This Row],[Revenue]]&gt;300,"Medium","Low"))</f>
        <v>High</v>
      </c>
      <c r="M195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52" spans="1:13" x14ac:dyDescent="0.25">
      <c r="A1952">
        <v>11025</v>
      </c>
      <c r="B1952">
        <v>1</v>
      </c>
      <c r="C1952" s="6" t="s">
        <v>24</v>
      </c>
      <c r="D1952">
        <v>10</v>
      </c>
      <c r="E1952" s="6">
        <v>0.1</v>
      </c>
      <c r="F1952" t="str">
        <f>_xlfn.XLOOKUP(northwind_order_details[[#This Row],[order_id]],northwind_orders[order_id],northwind_orders[ship_country])</f>
        <v>Finland</v>
      </c>
      <c r="G1952">
        <f>INDEX(northwind_orders[],MATCH(northwind_order_details[[#This Row],[order_id]], northwind_orders[order_id], 0), MATCH("employee_id", northwind_orders[#Headers], 0))</f>
        <v>6</v>
      </c>
      <c r="H1952">
        <f>northwind_order_details[[#This Row],[unit_price]]*northwind_order_details[[#This Row],[quantity]]</f>
        <v>180</v>
      </c>
      <c r="I1952" s="1">
        <f>northwind_order_details[[#This Row],[purchase amount]]*northwind_order_details[[#This Row],[discount]]</f>
        <v>18</v>
      </c>
      <c r="J1952" s="1">
        <f>northwind_order_details[[#This Row],[purchase amount]]-northwind_order_details[[#This Row],[discount amount]]</f>
        <v>162</v>
      </c>
      <c r="K1952" s="6" t="str">
        <f>IF(northwind_order_details[[#This Row],[discount amount]]&gt;0,"Yes","No")</f>
        <v>Yes</v>
      </c>
      <c r="L1952" s="1" t="str">
        <f>IF(northwind_order_details[[#This Row],[Revenue]]&gt;1000,"High",IF(northwind_order_details[[#This Row],[Revenue]]&gt;300,"Medium","Low"))</f>
        <v>Low</v>
      </c>
      <c r="M195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53" spans="1:13" x14ac:dyDescent="0.25">
      <c r="A1953">
        <v>11025</v>
      </c>
      <c r="B1953">
        <v>13</v>
      </c>
      <c r="C1953" s="6" t="s">
        <v>23</v>
      </c>
      <c r="D1953">
        <v>20</v>
      </c>
      <c r="E1953" s="6">
        <v>0.1</v>
      </c>
      <c r="F1953" t="str">
        <f>_xlfn.XLOOKUP(northwind_order_details[[#This Row],[order_id]],northwind_orders[order_id],northwind_orders[ship_country])</f>
        <v>Finland</v>
      </c>
      <c r="G1953">
        <f>INDEX(northwind_orders[],MATCH(northwind_order_details[[#This Row],[order_id]], northwind_orders[order_id], 0), MATCH("employee_id", northwind_orders[#Headers], 0))</f>
        <v>6</v>
      </c>
      <c r="H1953">
        <f>northwind_order_details[[#This Row],[unit_price]]*northwind_order_details[[#This Row],[quantity]]</f>
        <v>120</v>
      </c>
      <c r="I1953" s="1">
        <f>northwind_order_details[[#This Row],[purchase amount]]*northwind_order_details[[#This Row],[discount]]</f>
        <v>12</v>
      </c>
      <c r="J1953" s="1">
        <f>northwind_order_details[[#This Row],[purchase amount]]-northwind_order_details[[#This Row],[discount amount]]</f>
        <v>108</v>
      </c>
      <c r="K1953" s="6" t="str">
        <f>IF(northwind_order_details[[#This Row],[discount amount]]&gt;0,"Yes","No")</f>
        <v>Yes</v>
      </c>
      <c r="L1953" s="1" t="str">
        <f>IF(northwind_order_details[[#This Row],[Revenue]]&gt;1000,"High",IF(northwind_order_details[[#This Row],[Revenue]]&gt;300,"Medium","Low"))</f>
        <v>Low</v>
      </c>
      <c r="M195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54" spans="1:13" x14ac:dyDescent="0.25">
      <c r="A1954">
        <v>11026</v>
      </c>
      <c r="B1954">
        <v>18</v>
      </c>
      <c r="C1954" s="6">
        <v>62.5</v>
      </c>
      <c r="D1954">
        <v>8</v>
      </c>
      <c r="E1954" s="6" t="s">
        <v>6</v>
      </c>
      <c r="F1954" t="str">
        <f>_xlfn.XLOOKUP(northwind_order_details[[#This Row],[order_id]],northwind_orders[order_id],northwind_orders[ship_country])</f>
        <v>Italy</v>
      </c>
      <c r="G1954">
        <f>INDEX(northwind_orders[],MATCH(northwind_order_details[[#This Row],[order_id]], northwind_orders[order_id], 0), MATCH("employee_id", northwind_orders[#Headers], 0))</f>
        <v>4</v>
      </c>
      <c r="H1954">
        <f>northwind_order_details[[#This Row],[unit_price]]*northwind_order_details[[#This Row],[quantity]]</f>
        <v>500</v>
      </c>
      <c r="I1954" s="1">
        <f>northwind_order_details[[#This Row],[purchase amount]]*northwind_order_details[[#This Row],[discount]]</f>
        <v>0</v>
      </c>
      <c r="J1954" s="1">
        <f>northwind_order_details[[#This Row],[purchase amount]]-northwind_order_details[[#This Row],[discount amount]]</f>
        <v>500</v>
      </c>
      <c r="K1954" s="6" t="str">
        <f>IF(northwind_order_details[[#This Row],[discount amount]]&gt;0,"Yes","No")</f>
        <v>No</v>
      </c>
      <c r="L1954" s="1" t="str">
        <f>IF(northwind_order_details[[#This Row],[Revenue]]&gt;1000,"High",IF(northwind_order_details[[#This Row],[Revenue]]&gt;300,"Medium","Low"))</f>
        <v>Medium</v>
      </c>
      <c r="M195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55" spans="1:13" x14ac:dyDescent="0.25">
      <c r="A1955">
        <v>11026</v>
      </c>
      <c r="B1955">
        <v>51</v>
      </c>
      <c r="C1955" s="6" t="s">
        <v>39</v>
      </c>
      <c r="D1955">
        <v>10</v>
      </c>
      <c r="E1955" s="6" t="s">
        <v>6</v>
      </c>
      <c r="F1955" t="str">
        <f>_xlfn.XLOOKUP(northwind_order_details[[#This Row],[order_id]],northwind_orders[order_id],northwind_orders[ship_country])</f>
        <v>Italy</v>
      </c>
      <c r="G1955">
        <f>INDEX(northwind_orders[],MATCH(northwind_order_details[[#This Row],[order_id]], northwind_orders[order_id], 0), MATCH("employee_id", northwind_orders[#Headers], 0))</f>
        <v>4</v>
      </c>
      <c r="H1955">
        <f>northwind_order_details[[#This Row],[unit_price]]*northwind_order_details[[#This Row],[quantity]]</f>
        <v>530</v>
      </c>
      <c r="I1955" s="1">
        <f>northwind_order_details[[#This Row],[purchase amount]]*northwind_order_details[[#This Row],[discount]]</f>
        <v>0</v>
      </c>
      <c r="J1955" s="1">
        <f>northwind_order_details[[#This Row],[purchase amount]]-northwind_order_details[[#This Row],[discount amount]]</f>
        <v>530</v>
      </c>
      <c r="K1955" s="6" t="str">
        <f>IF(northwind_order_details[[#This Row],[discount amount]]&gt;0,"Yes","No")</f>
        <v>No</v>
      </c>
      <c r="L1955" s="1" t="str">
        <f>IF(northwind_order_details[[#This Row],[Revenue]]&gt;1000,"High",IF(northwind_order_details[[#This Row],[Revenue]]&gt;300,"Medium","Low"))</f>
        <v>Medium</v>
      </c>
      <c r="M195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56" spans="1:13" x14ac:dyDescent="0.25">
      <c r="A1956">
        <v>11027</v>
      </c>
      <c r="B1956">
        <v>24</v>
      </c>
      <c r="C1956" s="6">
        <v>4.5</v>
      </c>
      <c r="D1956">
        <v>30</v>
      </c>
      <c r="E1956" s="6">
        <v>0.25</v>
      </c>
      <c r="F1956" t="str">
        <f>_xlfn.XLOOKUP(northwind_order_details[[#This Row],[order_id]],northwind_orders[order_id],northwind_orders[ship_country])</f>
        <v>Canada</v>
      </c>
      <c r="G1956">
        <f>INDEX(northwind_orders[],MATCH(northwind_order_details[[#This Row],[order_id]], northwind_orders[order_id], 0), MATCH("employee_id", northwind_orders[#Headers], 0))</f>
        <v>1</v>
      </c>
      <c r="H1956">
        <f>northwind_order_details[[#This Row],[unit_price]]*northwind_order_details[[#This Row],[quantity]]</f>
        <v>135</v>
      </c>
      <c r="I1956" s="1">
        <f>northwind_order_details[[#This Row],[purchase amount]]*northwind_order_details[[#This Row],[discount]]</f>
        <v>33.75</v>
      </c>
      <c r="J1956" s="1">
        <f>northwind_order_details[[#This Row],[purchase amount]]-northwind_order_details[[#This Row],[discount amount]]</f>
        <v>101.25</v>
      </c>
      <c r="K1956" s="6" t="str">
        <f>IF(northwind_order_details[[#This Row],[discount amount]]&gt;0,"Yes","No")</f>
        <v>Yes</v>
      </c>
      <c r="L1956" s="1" t="str">
        <f>IF(northwind_order_details[[#This Row],[Revenue]]&gt;1000,"High",IF(northwind_order_details[[#This Row],[Revenue]]&gt;300,"Medium","Low"))</f>
        <v>Low</v>
      </c>
      <c r="M195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57" spans="1:13" x14ac:dyDescent="0.25">
      <c r="A1957">
        <v>11027</v>
      </c>
      <c r="B1957">
        <v>62</v>
      </c>
      <c r="C1957" s="6">
        <v>49.3</v>
      </c>
      <c r="D1957">
        <v>21</v>
      </c>
      <c r="E1957" s="6">
        <v>0.25</v>
      </c>
      <c r="F1957" t="str">
        <f>_xlfn.XLOOKUP(northwind_order_details[[#This Row],[order_id]],northwind_orders[order_id],northwind_orders[ship_country])</f>
        <v>Canada</v>
      </c>
      <c r="G1957">
        <f>INDEX(northwind_orders[],MATCH(northwind_order_details[[#This Row],[order_id]], northwind_orders[order_id], 0), MATCH("employee_id", northwind_orders[#Headers], 0))</f>
        <v>1</v>
      </c>
      <c r="H1957">
        <f>northwind_order_details[[#This Row],[unit_price]]*northwind_order_details[[#This Row],[quantity]]</f>
        <v>1035.3</v>
      </c>
      <c r="I1957" s="1">
        <f>northwind_order_details[[#This Row],[purchase amount]]*northwind_order_details[[#This Row],[discount]]</f>
        <v>258.82499999999999</v>
      </c>
      <c r="J1957" s="1">
        <f>northwind_order_details[[#This Row],[purchase amount]]-northwind_order_details[[#This Row],[discount amount]]</f>
        <v>776.47499999999991</v>
      </c>
      <c r="K1957" s="6" t="str">
        <f>IF(northwind_order_details[[#This Row],[discount amount]]&gt;0,"Yes","No")</f>
        <v>Yes</v>
      </c>
      <c r="L1957" s="1" t="str">
        <f>IF(northwind_order_details[[#This Row],[Revenue]]&gt;1000,"High",IF(northwind_order_details[[#This Row],[Revenue]]&gt;300,"Medium","Low"))</f>
        <v>Medium</v>
      </c>
      <c r="M195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58" spans="1:13" x14ac:dyDescent="0.25">
      <c r="A1958">
        <v>11028</v>
      </c>
      <c r="B1958">
        <v>55</v>
      </c>
      <c r="C1958" s="6" t="s">
        <v>14</v>
      </c>
      <c r="D1958">
        <v>35</v>
      </c>
      <c r="E1958" s="6" t="s">
        <v>6</v>
      </c>
      <c r="F1958" t="str">
        <f>_xlfn.XLOOKUP(northwind_order_details[[#This Row],[order_id]],northwind_orders[order_id],northwind_orders[ship_country])</f>
        <v>Germany</v>
      </c>
      <c r="G1958">
        <f>INDEX(northwind_orders[],MATCH(northwind_order_details[[#This Row],[order_id]], northwind_orders[order_id], 0), MATCH("employee_id", northwind_orders[#Headers], 0))</f>
        <v>2</v>
      </c>
      <c r="H1958">
        <f>northwind_order_details[[#This Row],[unit_price]]*northwind_order_details[[#This Row],[quantity]]</f>
        <v>840</v>
      </c>
      <c r="I1958" s="1">
        <f>northwind_order_details[[#This Row],[purchase amount]]*northwind_order_details[[#This Row],[discount]]</f>
        <v>0</v>
      </c>
      <c r="J1958" s="1">
        <f>northwind_order_details[[#This Row],[purchase amount]]-northwind_order_details[[#This Row],[discount amount]]</f>
        <v>840</v>
      </c>
      <c r="K1958" s="6" t="str">
        <f>IF(northwind_order_details[[#This Row],[discount amount]]&gt;0,"Yes","No")</f>
        <v>No</v>
      </c>
      <c r="L1958" s="1" t="str">
        <f>IF(northwind_order_details[[#This Row],[Revenue]]&gt;1000,"High",IF(northwind_order_details[[#This Row],[Revenue]]&gt;300,"Medium","Low"))</f>
        <v>Medium</v>
      </c>
      <c r="M195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59" spans="1:13" x14ac:dyDescent="0.25">
      <c r="A1959">
        <v>11028</v>
      </c>
      <c r="B1959">
        <v>59</v>
      </c>
      <c r="C1959" s="6" t="s">
        <v>33</v>
      </c>
      <c r="D1959">
        <v>24</v>
      </c>
      <c r="E1959" s="6" t="s">
        <v>6</v>
      </c>
      <c r="F1959" t="str">
        <f>_xlfn.XLOOKUP(northwind_order_details[[#This Row],[order_id]],northwind_orders[order_id],northwind_orders[ship_country])</f>
        <v>Germany</v>
      </c>
      <c r="G1959">
        <f>INDEX(northwind_orders[],MATCH(northwind_order_details[[#This Row],[order_id]], northwind_orders[order_id], 0), MATCH("employee_id", northwind_orders[#Headers], 0))</f>
        <v>2</v>
      </c>
      <c r="H1959">
        <f>northwind_order_details[[#This Row],[unit_price]]*northwind_order_details[[#This Row],[quantity]]</f>
        <v>1320</v>
      </c>
      <c r="I1959" s="1">
        <f>northwind_order_details[[#This Row],[purchase amount]]*northwind_order_details[[#This Row],[discount]]</f>
        <v>0</v>
      </c>
      <c r="J1959" s="1">
        <f>northwind_order_details[[#This Row],[purchase amount]]-northwind_order_details[[#This Row],[discount amount]]</f>
        <v>1320</v>
      </c>
      <c r="K1959" s="6" t="str">
        <f>IF(northwind_order_details[[#This Row],[discount amount]]&gt;0,"Yes","No")</f>
        <v>No</v>
      </c>
      <c r="L1959" s="1" t="str">
        <f>IF(northwind_order_details[[#This Row],[Revenue]]&gt;1000,"High",IF(northwind_order_details[[#This Row],[Revenue]]&gt;300,"Medium","Low"))</f>
        <v>High</v>
      </c>
      <c r="M195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0" spans="1:13" x14ac:dyDescent="0.25">
      <c r="A1960">
        <v>11029</v>
      </c>
      <c r="B1960">
        <v>56</v>
      </c>
      <c r="C1960" s="6" t="s">
        <v>30</v>
      </c>
      <c r="D1960">
        <v>20</v>
      </c>
      <c r="E1960" s="6" t="s">
        <v>6</v>
      </c>
      <c r="F1960" t="str">
        <f>_xlfn.XLOOKUP(northwind_order_details[[#This Row],[order_id]],northwind_orders[order_id],northwind_orders[ship_country])</f>
        <v>Switzerland</v>
      </c>
      <c r="G1960">
        <f>INDEX(northwind_orders[],MATCH(northwind_order_details[[#This Row],[order_id]], northwind_orders[order_id], 0), MATCH("employee_id", northwind_orders[#Headers], 0))</f>
        <v>4</v>
      </c>
      <c r="H1960">
        <f>northwind_order_details[[#This Row],[unit_price]]*northwind_order_details[[#This Row],[quantity]]</f>
        <v>760</v>
      </c>
      <c r="I1960" s="1">
        <f>northwind_order_details[[#This Row],[purchase amount]]*northwind_order_details[[#This Row],[discount]]</f>
        <v>0</v>
      </c>
      <c r="J1960" s="1">
        <f>northwind_order_details[[#This Row],[purchase amount]]-northwind_order_details[[#This Row],[discount amount]]</f>
        <v>760</v>
      </c>
      <c r="K1960" s="6" t="str">
        <f>IF(northwind_order_details[[#This Row],[discount amount]]&gt;0,"Yes","No")</f>
        <v>No</v>
      </c>
      <c r="L1960" s="1" t="str">
        <f>IF(northwind_order_details[[#This Row],[Revenue]]&gt;1000,"High",IF(northwind_order_details[[#This Row],[Revenue]]&gt;300,"Medium","Low"))</f>
        <v>Medium</v>
      </c>
      <c r="M196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1" spans="1:13" x14ac:dyDescent="0.25">
      <c r="A1961">
        <v>11029</v>
      </c>
      <c r="B1961">
        <v>63</v>
      </c>
      <c r="C1961" s="6">
        <v>43.9</v>
      </c>
      <c r="D1961">
        <v>12</v>
      </c>
      <c r="E1961" s="6" t="s">
        <v>6</v>
      </c>
      <c r="F1961" t="str">
        <f>_xlfn.XLOOKUP(northwind_order_details[[#This Row],[order_id]],northwind_orders[order_id],northwind_orders[ship_country])</f>
        <v>Switzerland</v>
      </c>
      <c r="G1961">
        <f>INDEX(northwind_orders[],MATCH(northwind_order_details[[#This Row],[order_id]], northwind_orders[order_id], 0), MATCH("employee_id", northwind_orders[#Headers], 0))</f>
        <v>4</v>
      </c>
      <c r="H1961">
        <f>northwind_order_details[[#This Row],[unit_price]]*northwind_order_details[[#This Row],[quantity]]</f>
        <v>526.79999999999995</v>
      </c>
      <c r="I1961" s="1">
        <f>northwind_order_details[[#This Row],[purchase amount]]*northwind_order_details[[#This Row],[discount]]</f>
        <v>0</v>
      </c>
      <c r="J1961" s="1">
        <f>northwind_order_details[[#This Row],[purchase amount]]-northwind_order_details[[#This Row],[discount amount]]</f>
        <v>526.79999999999995</v>
      </c>
      <c r="K1961" s="6" t="str">
        <f>IF(northwind_order_details[[#This Row],[discount amount]]&gt;0,"Yes","No")</f>
        <v>No</v>
      </c>
      <c r="L1961" s="1" t="str">
        <f>IF(northwind_order_details[[#This Row],[Revenue]]&gt;1000,"High",IF(northwind_order_details[[#This Row],[Revenue]]&gt;300,"Medium","Low"))</f>
        <v>Medium</v>
      </c>
      <c r="M196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62" spans="1:13" x14ac:dyDescent="0.25">
      <c r="A1962">
        <v>11030</v>
      </c>
      <c r="B1962">
        <v>2</v>
      </c>
      <c r="C1962" s="6" t="s">
        <v>20</v>
      </c>
      <c r="D1962">
        <v>100</v>
      </c>
      <c r="E1962" s="6">
        <v>0.25</v>
      </c>
      <c r="F1962" t="str">
        <f>_xlfn.XLOOKUP(northwind_order_details[[#This Row],[order_id]],northwind_orders[order_id],northwind_orders[ship_country])</f>
        <v>USA</v>
      </c>
      <c r="G1962">
        <f>INDEX(northwind_orders[],MATCH(northwind_order_details[[#This Row],[order_id]], northwind_orders[order_id], 0), MATCH("employee_id", northwind_orders[#Headers], 0))</f>
        <v>7</v>
      </c>
      <c r="H1962">
        <f>northwind_order_details[[#This Row],[unit_price]]*northwind_order_details[[#This Row],[quantity]]</f>
        <v>1900</v>
      </c>
      <c r="I1962" s="1">
        <f>northwind_order_details[[#This Row],[purchase amount]]*northwind_order_details[[#This Row],[discount]]</f>
        <v>475</v>
      </c>
      <c r="J1962" s="1">
        <f>northwind_order_details[[#This Row],[purchase amount]]-northwind_order_details[[#This Row],[discount amount]]</f>
        <v>1425</v>
      </c>
      <c r="K1962" s="6" t="str">
        <f>IF(northwind_order_details[[#This Row],[discount amount]]&gt;0,"Yes","No")</f>
        <v>Yes</v>
      </c>
      <c r="L1962" s="1" t="str">
        <f>IF(northwind_order_details[[#This Row],[Revenue]]&gt;1000,"High",IF(northwind_order_details[[#This Row],[Revenue]]&gt;300,"Medium","Low"))</f>
        <v>High</v>
      </c>
      <c r="M196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3" spans="1:13" x14ac:dyDescent="0.25">
      <c r="A1963">
        <v>11030</v>
      </c>
      <c r="B1963">
        <v>5</v>
      </c>
      <c r="C1963" s="6">
        <v>21.35</v>
      </c>
      <c r="D1963">
        <v>70</v>
      </c>
      <c r="E1963" s="6" t="s">
        <v>6</v>
      </c>
      <c r="F1963" t="str">
        <f>_xlfn.XLOOKUP(northwind_order_details[[#This Row],[order_id]],northwind_orders[order_id],northwind_orders[ship_country])</f>
        <v>USA</v>
      </c>
      <c r="G1963">
        <f>INDEX(northwind_orders[],MATCH(northwind_order_details[[#This Row],[order_id]], northwind_orders[order_id], 0), MATCH("employee_id", northwind_orders[#Headers], 0))</f>
        <v>7</v>
      </c>
      <c r="H1963">
        <f>northwind_order_details[[#This Row],[unit_price]]*northwind_order_details[[#This Row],[quantity]]</f>
        <v>1494.5</v>
      </c>
      <c r="I1963" s="1">
        <f>northwind_order_details[[#This Row],[purchase amount]]*northwind_order_details[[#This Row],[discount]]</f>
        <v>0</v>
      </c>
      <c r="J1963" s="1">
        <f>northwind_order_details[[#This Row],[purchase amount]]-northwind_order_details[[#This Row],[discount amount]]</f>
        <v>1494.5</v>
      </c>
      <c r="K1963" s="6" t="str">
        <f>IF(northwind_order_details[[#This Row],[discount amount]]&gt;0,"Yes","No")</f>
        <v>No</v>
      </c>
      <c r="L1963" s="1" t="str">
        <f>IF(northwind_order_details[[#This Row],[Revenue]]&gt;1000,"High",IF(northwind_order_details[[#This Row],[Revenue]]&gt;300,"Medium","Low"))</f>
        <v>High</v>
      </c>
      <c r="M196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64" spans="1:13" x14ac:dyDescent="0.25">
      <c r="A1964">
        <v>11030</v>
      </c>
      <c r="B1964">
        <v>29</v>
      </c>
      <c r="C1964" s="6">
        <v>123.79</v>
      </c>
      <c r="D1964">
        <v>60</v>
      </c>
      <c r="E1964" s="6">
        <v>0.25</v>
      </c>
      <c r="F1964" t="str">
        <f>_xlfn.XLOOKUP(northwind_order_details[[#This Row],[order_id]],northwind_orders[order_id],northwind_orders[ship_country])</f>
        <v>USA</v>
      </c>
      <c r="G1964">
        <f>INDEX(northwind_orders[],MATCH(northwind_order_details[[#This Row],[order_id]], northwind_orders[order_id], 0), MATCH("employee_id", northwind_orders[#Headers], 0))</f>
        <v>7</v>
      </c>
      <c r="H1964">
        <f>northwind_order_details[[#This Row],[unit_price]]*northwind_order_details[[#This Row],[quantity]]</f>
        <v>7427.4000000000005</v>
      </c>
      <c r="I1964" s="1">
        <f>northwind_order_details[[#This Row],[purchase amount]]*northwind_order_details[[#This Row],[discount]]</f>
        <v>1856.8500000000001</v>
      </c>
      <c r="J1964" s="1">
        <f>northwind_order_details[[#This Row],[purchase amount]]-northwind_order_details[[#This Row],[discount amount]]</f>
        <v>5570.55</v>
      </c>
      <c r="K1964" s="6" t="str">
        <f>IF(northwind_order_details[[#This Row],[discount amount]]&gt;0,"Yes","No")</f>
        <v>Yes</v>
      </c>
      <c r="L1964" s="1" t="str">
        <f>IF(northwind_order_details[[#This Row],[Revenue]]&gt;1000,"High",IF(northwind_order_details[[#This Row],[Revenue]]&gt;300,"Medium","Low"))</f>
        <v>High</v>
      </c>
      <c r="M196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65" spans="1:13" x14ac:dyDescent="0.25">
      <c r="A1965">
        <v>11030</v>
      </c>
      <c r="B1965">
        <v>59</v>
      </c>
      <c r="C1965" s="6" t="s">
        <v>33</v>
      </c>
      <c r="D1965">
        <v>100</v>
      </c>
      <c r="E1965" s="6">
        <v>0.25</v>
      </c>
      <c r="F1965" t="str">
        <f>_xlfn.XLOOKUP(northwind_order_details[[#This Row],[order_id]],northwind_orders[order_id],northwind_orders[ship_country])</f>
        <v>USA</v>
      </c>
      <c r="G1965">
        <f>INDEX(northwind_orders[],MATCH(northwind_order_details[[#This Row],[order_id]], northwind_orders[order_id], 0), MATCH("employee_id", northwind_orders[#Headers], 0))</f>
        <v>7</v>
      </c>
      <c r="H1965">
        <f>northwind_order_details[[#This Row],[unit_price]]*northwind_order_details[[#This Row],[quantity]]</f>
        <v>5500</v>
      </c>
      <c r="I1965" s="1">
        <f>northwind_order_details[[#This Row],[purchase amount]]*northwind_order_details[[#This Row],[discount]]</f>
        <v>1375</v>
      </c>
      <c r="J1965" s="1">
        <f>northwind_order_details[[#This Row],[purchase amount]]-northwind_order_details[[#This Row],[discount amount]]</f>
        <v>4125</v>
      </c>
      <c r="K1965" s="6" t="str">
        <f>IF(northwind_order_details[[#This Row],[discount amount]]&gt;0,"Yes","No")</f>
        <v>Yes</v>
      </c>
      <c r="L1965" s="1" t="str">
        <f>IF(northwind_order_details[[#This Row],[Revenue]]&gt;1000,"High",IF(northwind_order_details[[#This Row],[Revenue]]&gt;300,"Medium","Low"))</f>
        <v>High</v>
      </c>
      <c r="M196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6" spans="1:13" x14ac:dyDescent="0.25">
      <c r="A1966">
        <v>11031</v>
      </c>
      <c r="B1966">
        <v>1</v>
      </c>
      <c r="C1966" s="6" t="s">
        <v>24</v>
      </c>
      <c r="D1966">
        <v>45</v>
      </c>
      <c r="E1966" s="6" t="s">
        <v>6</v>
      </c>
      <c r="F1966" t="str">
        <f>_xlfn.XLOOKUP(northwind_order_details[[#This Row],[order_id]],northwind_orders[order_id],northwind_orders[ship_country])</f>
        <v>USA</v>
      </c>
      <c r="G1966">
        <f>INDEX(northwind_orders[],MATCH(northwind_order_details[[#This Row],[order_id]], northwind_orders[order_id], 0), MATCH("employee_id", northwind_orders[#Headers], 0))</f>
        <v>6</v>
      </c>
      <c r="H1966">
        <f>northwind_order_details[[#This Row],[unit_price]]*northwind_order_details[[#This Row],[quantity]]</f>
        <v>810</v>
      </c>
      <c r="I1966" s="1">
        <f>northwind_order_details[[#This Row],[purchase amount]]*northwind_order_details[[#This Row],[discount]]</f>
        <v>0</v>
      </c>
      <c r="J1966" s="1">
        <f>northwind_order_details[[#This Row],[purchase amount]]-northwind_order_details[[#This Row],[discount amount]]</f>
        <v>810</v>
      </c>
      <c r="K1966" s="6" t="str">
        <f>IF(northwind_order_details[[#This Row],[discount amount]]&gt;0,"Yes","No")</f>
        <v>No</v>
      </c>
      <c r="L1966" s="1" t="str">
        <f>IF(northwind_order_details[[#This Row],[Revenue]]&gt;1000,"High",IF(northwind_order_details[[#This Row],[Revenue]]&gt;300,"Medium","Low"))</f>
        <v>Medium</v>
      </c>
      <c r="M196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7" spans="1:13" x14ac:dyDescent="0.25">
      <c r="A1967">
        <v>11031</v>
      </c>
      <c r="B1967">
        <v>13</v>
      </c>
      <c r="C1967" s="6" t="s">
        <v>23</v>
      </c>
      <c r="D1967">
        <v>80</v>
      </c>
      <c r="E1967" s="6" t="s">
        <v>6</v>
      </c>
      <c r="F1967" t="str">
        <f>_xlfn.XLOOKUP(northwind_order_details[[#This Row],[order_id]],northwind_orders[order_id],northwind_orders[ship_country])</f>
        <v>USA</v>
      </c>
      <c r="G1967">
        <f>INDEX(northwind_orders[],MATCH(northwind_order_details[[#This Row],[order_id]], northwind_orders[order_id], 0), MATCH("employee_id", northwind_orders[#Headers], 0))</f>
        <v>6</v>
      </c>
      <c r="H1967">
        <f>northwind_order_details[[#This Row],[unit_price]]*northwind_order_details[[#This Row],[quantity]]</f>
        <v>480</v>
      </c>
      <c r="I1967" s="1">
        <f>northwind_order_details[[#This Row],[purchase amount]]*northwind_order_details[[#This Row],[discount]]</f>
        <v>0</v>
      </c>
      <c r="J1967" s="1">
        <f>northwind_order_details[[#This Row],[purchase amount]]-northwind_order_details[[#This Row],[discount amount]]</f>
        <v>480</v>
      </c>
      <c r="K1967" s="6" t="str">
        <f>IF(northwind_order_details[[#This Row],[discount amount]]&gt;0,"Yes","No")</f>
        <v>No</v>
      </c>
      <c r="L1967" s="1" t="str">
        <f>IF(northwind_order_details[[#This Row],[Revenue]]&gt;1000,"High",IF(northwind_order_details[[#This Row],[Revenue]]&gt;300,"Medium","Low"))</f>
        <v>Medium</v>
      </c>
      <c r="M196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68" spans="1:13" x14ac:dyDescent="0.25">
      <c r="A1968">
        <v>11031</v>
      </c>
      <c r="B1968">
        <v>24</v>
      </c>
      <c r="C1968" s="6">
        <v>4.5</v>
      </c>
      <c r="D1968">
        <v>21</v>
      </c>
      <c r="E1968" s="6" t="s">
        <v>6</v>
      </c>
      <c r="F1968" t="str">
        <f>_xlfn.XLOOKUP(northwind_order_details[[#This Row],[order_id]],northwind_orders[order_id],northwind_orders[ship_country])</f>
        <v>USA</v>
      </c>
      <c r="G1968">
        <f>INDEX(northwind_orders[],MATCH(northwind_order_details[[#This Row],[order_id]], northwind_orders[order_id], 0), MATCH("employee_id", northwind_orders[#Headers], 0))</f>
        <v>6</v>
      </c>
      <c r="H1968">
        <f>northwind_order_details[[#This Row],[unit_price]]*northwind_order_details[[#This Row],[quantity]]</f>
        <v>94.5</v>
      </c>
      <c r="I1968" s="1">
        <f>northwind_order_details[[#This Row],[purchase amount]]*northwind_order_details[[#This Row],[discount]]</f>
        <v>0</v>
      </c>
      <c r="J1968" s="1">
        <f>northwind_order_details[[#This Row],[purchase amount]]-northwind_order_details[[#This Row],[discount amount]]</f>
        <v>94.5</v>
      </c>
      <c r="K1968" s="6" t="str">
        <f>IF(northwind_order_details[[#This Row],[discount amount]]&gt;0,"Yes","No")</f>
        <v>No</v>
      </c>
      <c r="L1968" s="1" t="str">
        <f>IF(northwind_order_details[[#This Row],[Revenue]]&gt;1000,"High",IF(northwind_order_details[[#This Row],[Revenue]]&gt;300,"Medium","Low"))</f>
        <v>Low</v>
      </c>
      <c r="M196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69" spans="1:13" x14ac:dyDescent="0.25">
      <c r="A1969">
        <v>11031</v>
      </c>
      <c r="B1969">
        <v>64</v>
      </c>
      <c r="C1969" s="6">
        <v>33.25</v>
      </c>
      <c r="D1969">
        <v>20</v>
      </c>
      <c r="E1969" s="6" t="s">
        <v>6</v>
      </c>
      <c r="F1969" t="str">
        <f>_xlfn.XLOOKUP(northwind_order_details[[#This Row],[order_id]],northwind_orders[order_id],northwind_orders[ship_country])</f>
        <v>USA</v>
      </c>
      <c r="G1969">
        <f>INDEX(northwind_orders[],MATCH(northwind_order_details[[#This Row],[order_id]], northwind_orders[order_id], 0), MATCH("employee_id", northwind_orders[#Headers], 0))</f>
        <v>6</v>
      </c>
      <c r="H1969">
        <f>northwind_order_details[[#This Row],[unit_price]]*northwind_order_details[[#This Row],[quantity]]</f>
        <v>665</v>
      </c>
      <c r="I1969" s="1">
        <f>northwind_order_details[[#This Row],[purchase amount]]*northwind_order_details[[#This Row],[discount]]</f>
        <v>0</v>
      </c>
      <c r="J1969" s="1">
        <f>northwind_order_details[[#This Row],[purchase amount]]-northwind_order_details[[#This Row],[discount amount]]</f>
        <v>665</v>
      </c>
      <c r="K1969" s="6" t="str">
        <f>IF(northwind_order_details[[#This Row],[discount amount]]&gt;0,"Yes","No")</f>
        <v>No</v>
      </c>
      <c r="L1969" s="1" t="str">
        <f>IF(northwind_order_details[[#This Row],[Revenue]]&gt;1000,"High",IF(northwind_order_details[[#This Row],[Revenue]]&gt;300,"Medium","Low"))</f>
        <v>Medium</v>
      </c>
      <c r="M196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70" spans="1:13" x14ac:dyDescent="0.25">
      <c r="A1970">
        <v>11031</v>
      </c>
      <c r="B1970">
        <v>71</v>
      </c>
      <c r="C1970" s="6">
        <v>21.5</v>
      </c>
      <c r="D1970">
        <v>16</v>
      </c>
      <c r="E1970" s="6" t="s">
        <v>6</v>
      </c>
      <c r="F1970" t="str">
        <f>_xlfn.XLOOKUP(northwind_order_details[[#This Row],[order_id]],northwind_orders[order_id],northwind_orders[ship_country])</f>
        <v>USA</v>
      </c>
      <c r="G1970">
        <f>INDEX(northwind_orders[],MATCH(northwind_order_details[[#This Row],[order_id]], northwind_orders[order_id], 0), MATCH("employee_id", northwind_orders[#Headers], 0))</f>
        <v>6</v>
      </c>
      <c r="H1970">
        <f>northwind_order_details[[#This Row],[unit_price]]*northwind_order_details[[#This Row],[quantity]]</f>
        <v>344</v>
      </c>
      <c r="I1970" s="1">
        <f>northwind_order_details[[#This Row],[purchase amount]]*northwind_order_details[[#This Row],[discount]]</f>
        <v>0</v>
      </c>
      <c r="J1970" s="1">
        <f>northwind_order_details[[#This Row],[purchase amount]]-northwind_order_details[[#This Row],[discount amount]]</f>
        <v>344</v>
      </c>
      <c r="K1970" s="6" t="str">
        <f>IF(northwind_order_details[[#This Row],[discount amount]]&gt;0,"Yes","No")</f>
        <v>No</v>
      </c>
      <c r="L1970" s="1" t="str">
        <f>IF(northwind_order_details[[#This Row],[Revenue]]&gt;1000,"High",IF(northwind_order_details[[#This Row],[Revenue]]&gt;300,"Medium","Low"))</f>
        <v>Medium</v>
      </c>
      <c r="M197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71" spans="1:13" x14ac:dyDescent="0.25">
      <c r="A1971">
        <v>11032</v>
      </c>
      <c r="B1971">
        <v>36</v>
      </c>
      <c r="C1971" s="6" t="s">
        <v>20</v>
      </c>
      <c r="D1971">
        <v>35</v>
      </c>
      <c r="E1971" s="6" t="s">
        <v>6</v>
      </c>
      <c r="F1971" t="str">
        <f>_xlfn.XLOOKUP(northwind_order_details[[#This Row],[order_id]],northwind_orders[order_id],northwind_orders[ship_country])</f>
        <v>USA</v>
      </c>
      <c r="G1971">
        <f>INDEX(northwind_orders[],MATCH(northwind_order_details[[#This Row],[order_id]], northwind_orders[order_id], 0), MATCH("employee_id", northwind_orders[#Headers], 0))</f>
        <v>2</v>
      </c>
      <c r="H1971">
        <f>northwind_order_details[[#This Row],[unit_price]]*northwind_order_details[[#This Row],[quantity]]</f>
        <v>665</v>
      </c>
      <c r="I1971" s="1">
        <f>northwind_order_details[[#This Row],[purchase amount]]*northwind_order_details[[#This Row],[discount]]</f>
        <v>0</v>
      </c>
      <c r="J1971" s="1">
        <f>northwind_order_details[[#This Row],[purchase amount]]-northwind_order_details[[#This Row],[discount amount]]</f>
        <v>665</v>
      </c>
      <c r="K1971" s="6" t="str">
        <f>IF(northwind_order_details[[#This Row],[discount amount]]&gt;0,"Yes","No")</f>
        <v>No</v>
      </c>
      <c r="L1971" s="1" t="str">
        <f>IF(northwind_order_details[[#This Row],[Revenue]]&gt;1000,"High",IF(northwind_order_details[[#This Row],[Revenue]]&gt;300,"Medium","Low"))</f>
        <v>Medium</v>
      </c>
      <c r="M197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72" spans="1:13" x14ac:dyDescent="0.25">
      <c r="A1972">
        <v>11032</v>
      </c>
      <c r="B1972">
        <v>38</v>
      </c>
      <c r="C1972" s="6">
        <v>263.5</v>
      </c>
      <c r="D1972">
        <v>25</v>
      </c>
      <c r="E1972" s="6" t="s">
        <v>6</v>
      </c>
      <c r="F1972" t="str">
        <f>_xlfn.XLOOKUP(northwind_order_details[[#This Row],[order_id]],northwind_orders[order_id],northwind_orders[ship_country])</f>
        <v>USA</v>
      </c>
      <c r="G1972">
        <f>INDEX(northwind_orders[],MATCH(northwind_order_details[[#This Row],[order_id]], northwind_orders[order_id], 0), MATCH("employee_id", northwind_orders[#Headers], 0))</f>
        <v>2</v>
      </c>
      <c r="H1972">
        <f>northwind_order_details[[#This Row],[unit_price]]*northwind_order_details[[#This Row],[quantity]]</f>
        <v>6587.5</v>
      </c>
      <c r="I1972" s="1">
        <f>northwind_order_details[[#This Row],[purchase amount]]*northwind_order_details[[#This Row],[discount]]</f>
        <v>0</v>
      </c>
      <c r="J1972" s="1">
        <f>northwind_order_details[[#This Row],[purchase amount]]-northwind_order_details[[#This Row],[discount amount]]</f>
        <v>6587.5</v>
      </c>
      <c r="K1972" s="6" t="str">
        <f>IF(northwind_order_details[[#This Row],[discount amount]]&gt;0,"Yes","No")</f>
        <v>No</v>
      </c>
      <c r="L1972" s="1" t="str">
        <f>IF(northwind_order_details[[#This Row],[Revenue]]&gt;1000,"High",IF(northwind_order_details[[#This Row],[Revenue]]&gt;300,"Medium","Low"))</f>
        <v>High</v>
      </c>
      <c r="M197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73" spans="1:13" x14ac:dyDescent="0.25">
      <c r="A1973">
        <v>11032</v>
      </c>
      <c r="B1973">
        <v>59</v>
      </c>
      <c r="C1973" s="6" t="s">
        <v>33</v>
      </c>
      <c r="D1973">
        <v>30</v>
      </c>
      <c r="E1973" s="6" t="s">
        <v>6</v>
      </c>
      <c r="F1973" t="str">
        <f>_xlfn.XLOOKUP(northwind_order_details[[#This Row],[order_id]],northwind_orders[order_id],northwind_orders[ship_country])</f>
        <v>USA</v>
      </c>
      <c r="G1973">
        <f>INDEX(northwind_orders[],MATCH(northwind_order_details[[#This Row],[order_id]], northwind_orders[order_id], 0), MATCH("employee_id", northwind_orders[#Headers], 0))</f>
        <v>2</v>
      </c>
      <c r="H1973">
        <f>northwind_order_details[[#This Row],[unit_price]]*northwind_order_details[[#This Row],[quantity]]</f>
        <v>1650</v>
      </c>
      <c r="I1973" s="1">
        <f>northwind_order_details[[#This Row],[purchase amount]]*northwind_order_details[[#This Row],[discount]]</f>
        <v>0</v>
      </c>
      <c r="J1973" s="1">
        <f>northwind_order_details[[#This Row],[purchase amount]]-northwind_order_details[[#This Row],[discount amount]]</f>
        <v>1650</v>
      </c>
      <c r="K1973" s="6" t="str">
        <f>IF(northwind_order_details[[#This Row],[discount amount]]&gt;0,"Yes","No")</f>
        <v>No</v>
      </c>
      <c r="L1973" s="1" t="str">
        <f>IF(northwind_order_details[[#This Row],[Revenue]]&gt;1000,"High",IF(northwind_order_details[[#This Row],[Revenue]]&gt;300,"Medium","Low"))</f>
        <v>High</v>
      </c>
      <c r="M197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74" spans="1:13" x14ac:dyDescent="0.25">
      <c r="A1974">
        <v>11033</v>
      </c>
      <c r="B1974">
        <v>53</v>
      </c>
      <c r="C1974" s="6">
        <v>32.799999999999997</v>
      </c>
      <c r="D1974">
        <v>70</v>
      </c>
      <c r="E1974" s="6">
        <v>0.1</v>
      </c>
      <c r="F1974" t="str">
        <f>_xlfn.XLOOKUP(northwind_order_details[[#This Row],[order_id]],northwind_orders[order_id],northwind_orders[ship_country])</f>
        <v>Switzerland</v>
      </c>
      <c r="G1974">
        <f>INDEX(northwind_orders[],MATCH(northwind_order_details[[#This Row],[order_id]], northwind_orders[order_id], 0), MATCH("employee_id", northwind_orders[#Headers], 0))</f>
        <v>7</v>
      </c>
      <c r="H1974">
        <f>northwind_order_details[[#This Row],[unit_price]]*northwind_order_details[[#This Row],[quantity]]</f>
        <v>2296</v>
      </c>
      <c r="I1974" s="1">
        <f>northwind_order_details[[#This Row],[purchase amount]]*northwind_order_details[[#This Row],[discount]]</f>
        <v>229.60000000000002</v>
      </c>
      <c r="J1974" s="1">
        <f>northwind_order_details[[#This Row],[purchase amount]]-northwind_order_details[[#This Row],[discount amount]]</f>
        <v>2066.4</v>
      </c>
      <c r="K1974" s="6" t="str">
        <f>IF(northwind_order_details[[#This Row],[discount amount]]&gt;0,"Yes","No")</f>
        <v>Yes</v>
      </c>
      <c r="L1974" s="1" t="str">
        <f>IF(northwind_order_details[[#This Row],[Revenue]]&gt;1000,"High",IF(northwind_order_details[[#This Row],[Revenue]]&gt;300,"Medium","Low"))</f>
        <v>High</v>
      </c>
      <c r="M197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75" spans="1:13" x14ac:dyDescent="0.25">
      <c r="A1975">
        <v>11033</v>
      </c>
      <c r="B1975">
        <v>69</v>
      </c>
      <c r="C1975" s="6" t="s">
        <v>38</v>
      </c>
      <c r="D1975">
        <v>36</v>
      </c>
      <c r="E1975" s="6">
        <v>0.1</v>
      </c>
      <c r="F1975" t="str">
        <f>_xlfn.XLOOKUP(northwind_order_details[[#This Row],[order_id]],northwind_orders[order_id],northwind_orders[ship_country])</f>
        <v>Switzerland</v>
      </c>
      <c r="G1975">
        <f>INDEX(northwind_orders[],MATCH(northwind_order_details[[#This Row],[order_id]], northwind_orders[order_id], 0), MATCH("employee_id", northwind_orders[#Headers], 0))</f>
        <v>7</v>
      </c>
      <c r="H1975">
        <f>northwind_order_details[[#This Row],[unit_price]]*northwind_order_details[[#This Row],[quantity]]</f>
        <v>1296</v>
      </c>
      <c r="I1975" s="1">
        <f>northwind_order_details[[#This Row],[purchase amount]]*northwind_order_details[[#This Row],[discount]]</f>
        <v>129.6</v>
      </c>
      <c r="J1975" s="1">
        <f>northwind_order_details[[#This Row],[purchase amount]]-northwind_order_details[[#This Row],[discount amount]]</f>
        <v>1166.4000000000001</v>
      </c>
      <c r="K1975" s="6" t="str">
        <f>IF(northwind_order_details[[#This Row],[discount amount]]&gt;0,"Yes","No")</f>
        <v>Yes</v>
      </c>
      <c r="L1975" s="1" t="str">
        <f>IF(northwind_order_details[[#This Row],[Revenue]]&gt;1000,"High",IF(northwind_order_details[[#This Row],[Revenue]]&gt;300,"Medium","Low"))</f>
        <v>High</v>
      </c>
      <c r="M197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76" spans="1:13" x14ac:dyDescent="0.25">
      <c r="A1976">
        <v>11034</v>
      </c>
      <c r="B1976">
        <v>21</v>
      </c>
      <c r="C1976" s="6" t="s">
        <v>8</v>
      </c>
      <c r="D1976">
        <v>15</v>
      </c>
      <c r="E1976" s="6">
        <v>0.1</v>
      </c>
      <c r="F1976" t="str">
        <f>_xlfn.XLOOKUP(northwind_order_details[[#This Row],[order_id]],northwind_orders[order_id],northwind_orders[ship_country])</f>
        <v>USA</v>
      </c>
      <c r="G1976">
        <f>INDEX(northwind_orders[],MATCH(northwind_order_details[[#This Row],[order_id]], northwind_orders[order_id], 0), MATCH("employee_id", northwind_orders[#Headers], 0))</f>
        <v>8</v>
      </c>
      <c r="H1976">
        <f>northwind_order_details[[#This Row],[unit_price]]*northwind_order_details[[#This Row],[quantity]]</f>
        <v>150</v>
      </c>
      <c r="I1976" s="1">
        <f>northwind_order_details[[#This Row],[purchase amount]]*northwind_order_details[[#This Row],[discount]]</f>
        <v>15</v>
      </c>
      <c r="J1976" s="1">
        <f>northwind_order_details[[#This Row],[purchase amount]]-northwind_order_details[[#This Row],[discount amount]]</f>
        <v>135</v>
      </c>
      <c r="K1976" s="6" t="str">
        <f>IF(northwind_order_details[[#This Row],[discount amount]]&gt;0,"Yes","No")</f>
        <v>Yes</v>
      </c>
      <c r="L1976" s="1" t="str">
        <f>IF(northwind_order_details[[#This Row],[Revenue]]&gt;1000,"High",IF(northwind_order_details[[#This Row],[Revenue]]&gt;300,"Medium","Low"))</f>
        <v>Low</v>
      </c>
      <c r="M197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77" spans="1:13" x14ac:dyDescent="0.25">
      <c r="A1977">
        <v>11034</v>
      </c>
      <c r="B1977">
        <v>44</v>
      </c>
      <c r="C1977" s="6">
        <v>19.45</v>
      </c>
      <c r="D1977">
        <v>12</v>
      </c>
      <c r="E1977" s="6" t="s">
        <v>6</v>
      </c>
      <c r="F1977" t="str">
        <f>_xlfn.XLOOKUP(northwind_order_details[[#This Row],[order_id]],northwind_orders[order_id],northwind_orders[ship_country])</f>
        <v>USA</v>
      </c>
      <c r="G1977">
        <f>INDEX(northwind_orders[],MATCH(northwind_order_details[[#This Row],[order_id]], northwind_orders[order_id], 0), MATCH("employee_id", northwind_orders[#Headers], 0))</f>
        <v>8</v>
      </c>
      <c r="H1977">
        <f>northwind_order_details[[#This Row],[unit_price]]*northwind_order_details[[#This Row],[quantity]]</f>
        <v>233.39999999999998</v>
      </c>
      <c r="I1977" s="1">
        <f>northwind_order_details[[#This Row],[purchase amount]]*northwind_order_details[[#This Row],[discount]]</f>
        <v>0</v>
      </c>
      <c r="J1977" s="1">
        <f>northwind_order_details[[#This Row],[purchase amount]]-northwind_order_details[[#This Row],[discount amount]]</f>
        <v>233.39999999999998</v>
      </c>
      <c r="K1977" s="6" t="str">
        <f>IF(northwind_order_details[[#This Row],[discount amount]]&gt;0,"Yes","No")</f>
        <v>No</v>
      </c>
      <c r="L1977" s="1" t="str">
        <f>IF(northwind_order_details[[#This Row],[Revenue]]&gt;1000,"High",IF(northwind_order_details[[#This Row],[Revenue]]&gt;300,"Medium","Low"))</f>
        <v>Low</v>
      </c>
      <c r="M197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78" spans="1:13" x14ac:dyDescent="0.25">
      <c r="A1978">
        <v>11034</v>
      </c>
      <c r="B1978">
        <v>61</v>
      </c>
      <c r="C1978" s="6">
        <v>28.5</v>
      </c>
      <c r="D1978">
        <v>6</v>
      </c>
      <c r="E1978" s="6" t="s">
        <v>6</v>
      </c>
      <c r="F1978" t="str">
        <f>_xlfn.XLOOKUP(northwind_order_details[[#This Row],[order_id]],northwind_orders[order_id],northwind_orders[ship_country])</f>
        <v>USA</v>
      </c>
      <c r="G1978">
        <f>INDEX(northwind_orders[],MATCH(northwind_order_details[[#This Row],[order_id]], northwind_orders[order_id], 0), MATCH("employee_id", northwind_orders[#Headers], 0))</f>
        <v>8</v>
      </c>
      <c r="H1978">
        <f>northwind_order_details[[#This Row],[unit_price]]*northwind_order_details[[#This Row],[quantity]]</f>
        <v>171</v>
      </c>
      <c r="I1978" s="1">
        <f>northwind_order_details[[#This Row],[purchase amount]]*northwind_order_details[[#This Row],[discount]]</f>
        <v>0</v>
      </c>
      <c r="J1978" s="1">
        <f>northwind_order_details[[#This Row],[purchase amount]]-northwind_order_details[[#This Row],[discount amount]]</f>
        <v>171</v>
      </c>
      <c r="K1978" s="6" t="str">
        <f>IF(northwind_order_details[[#This Row],[discount amount]]&gt;0,"Yes","No")</f>
        <v>No</v>
      </c>
      <c r="L1978" s="1" t="str">
        <f>IF(northwind_order_details[[#This Row],[Revenue]]&gt;1000,"High",IF(northwind_order_details[[#This Row],[Revenue]]&gt;300,"Medium","Low"))</f>
        <v>Low</v>
      </c>
      <c r="M197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79" spans="1:13" x14ac:dyDescent="0.25">
      <c r="A1979">
        <v>11035</v>
      </c>
      <c r="B1979">
        <v>1</v>
      </c>
      <c r="C1979" s="6" t="s">
        <v>24</v>
      </c>
      <c r="D1979">
        <v>10</v>
      </c>
      <c r="E1979" s="6" t="s">
        <v>6</v>
      </c>
      <c r="F1979" t="str">
        <f>_xlfn.XLOOKUP(northwind_order_details[[#This Row],[order_id]],northwind_orders[order_id],northwind_orders[ship_country])</f>
        <v>Belgium</v>
      </c>
      <c r="G1979">
        <f>INDEX(northwind_orders[],MATCH(northwind_order_details[[#This Row],[order_id]], northwind_orders[order_id], 0), MATCH("employee_id", northwind_orders[#Headers], 0))</f>
        <v>2</v>
      </c>
      <c r="H1979">
        <f>northwind_order_details[[#This Row],[unit_price]]*northwind_order_details[[#This Row],[quantity]]</f>
        <v>180</v>
      </c>
      <c r="I1979" s="1">
        <f>northwind_order_details[[#This Row],[purchase amount]]*northwind_order_details[[#This Row],[discount]]</f>
        <v>0</v>
      </c>
      <c r="J1979" s="1">
        <f>northwind_order_details[[#This Row],[purchase amount]]-northwind_order_details[[#This Row],[discount amount]]</f>
        <v>180</v>
      </c>
      <c r="K1979" s="6" t="str">
        <f>IF(northwind_order_details[[#This Row],[discount amount]]&gt;0,"Yes","No")</f>
        <v>No</v>
      </c>
      <c r="L1979" s="1" t="str">
        <f>IF(northwind_order_details[[#This Row],[Revenue]]&gt;1000,"High",IF(northwind_order_details[[#This Row],[Revenue]]&gt;300,"Medium","Low"))</f>
        <v>Low</v>
      </c>
      <c r="M197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0" spans="1:13" x14ac:dyDescent="0.25">
      <c r="A1980">
        <v>11035</v>
      </c>
      <c r="B1980">
        <v>35</v>
      </c>
      <c r="C1980" s="6" t="s">
        <v>24</v>
      </c>
      <c r="D1980">
        <v>60</v>
      </c>
      <c r="E1980" s="6" t="s">
        <v>6</v>
      </c>
      <c r="F1980" t="str">
        <f>_xlfn.XLOOKUP(northwind_order_details[[#This Row],[order_id]],northwind_orders[order_id],northwind_orders[ship_country])</f>
        <v>Belgium</v>
      </c>
      <c r="G1980">
        <f>INDEX(northwind_orders[],MATCH(northwind_order_details[[#This Row],[order_id]], northwind_orders[order_id], 0), MATCH("employee_id", northwind_orders[#Headers], 0))</f>
        <v>2</v>
      </c>
      <c r="H1980">
        <f>northwind_order_details[[#This Row],[unit_price]]*northwind_order_details[[#This Row],[quantity]]</f>
        <v>1080</v>
      </c>
      <c r="I1980" s="1">
        <f>northwind_order_details[[#This Row],[purchase amount]]*northwind_order_details[[#This Row],[discount]]</f>
        <v>0</v>
      </c>
      <c r="J1980" s="1">
        <f>northwind_order_details[[#This Row],[purchase amount]]-northwind_order_details[[#This Row],[discount amount]]</f>
        <v>1080</v>
      </c>
      <c r="K1980" s="6" t="str">
        <f>IF(northwind_order_details[[#This Row],[discount amount]]&gt;0,"Yes","No")</f>
        <v>No</v>
      </c>
      <c r="L1980" s="1" t="str">
        <f>IF(northwind_order_details[[#This Row],[Revenue]]&gt;1000,"High",IF(northwind_order_details[[#This Row],[Revenue]]&gt;300,"Medium","Low"))</f>
        <v>High</v>
      </c>
      <c r="M198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1" spans="1:13" x14ac:dyDescent="0.25">
      <c r="A1981">
        <v>11035</v>
      </c>
      <c r="B1981">
        <v>42</v>
      </c>
      <c r="C1981" s="6" t="s">
        <v>5</v>
      </c>
      <c r="D1981">
        <v>30</v>
      </c>
      <c r="E1981" s="6" t="s">
        <v>6</v>
      </c>
      <c r="F1981" t="str">
        <f>_xlfn.XLOOKUP(northwind_order_details[[#This Row],[order_id]],northwind_orders[order_id],northwind_orders[ship_country])</f>
        <v>Belgium</v>
      </c>
      <c r="G1981">
        <f>INDEX(northwind_orders[],MATCH(northwind_order_details[[#This Row],[order_id]], northwind_orders[order_id], 0), MATCH("employee_id", northwind_orders[#Headers], 0))</f>
        <v>2</v>
      </c>
      <c r="H1981">
        <f>northwind_order_details[[#This Row],[unit_price]]*northwind_order_details[[#This Row],[quantity]]</f>
        <v>420</v>
      </c>
      <c r="I1981" s="1">
        <f>northwind_order_details[[#This Row],[purchase amount]]*northwind_order_details[[#This Row],[discount]]</f>
        <v>0</v>
      </c>
      <c r="J1981" s="1">
        <f>northwind_order_details[[#This Row],[purchase amount]]-northwind_order_details[[#This Row],[discount amount]]</f>
        <v>420</v>
      </c>
      <c r="K1981" s="6" t="str">
        <f>IF(northwind_order_details[[#This Row],[discount amount]]&gt;0,"Yes","No")</f>
        <v>No</v>
      </c>
      <c r="L1981" s="1" t="str">
        <f>IF(northwind_order_details[[#This Row],[Revenue]]&gt;1000,"High",IF(northwind_order_details[[#This Row],[Revenue]]&gt;300,"Medium","Low"))</f>
        <v>Medium</v>
      </c>
      <c r="M198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2" spans="1:13" x14ac:dyDescent="0.25">
      <c r="A1982">
        <v>11035</v>
      </c>
      <c r="B1982">
        <v>54</v>
      </c>
      <c r="C1982" s="6">
        <v>7.45</v>
      </c>
      <c r="D1982">
        <v>10</v>
      </c>
      <c r="E1982" s="6" t="s">
        <v>6</v>
      </c>
      <c r="F1982" t="str">
        <f>_xlfn.XLOOKUP(northwind_order_details[[#This Row],[order_id]],northwind_orders[order_id],northwind_orders[ship_country])</f>
        <v>Belgium</v>
      </c>
      <c r="G1982">
        <f>INDEX(northwind_orders[],MATCH(northwind_order_details[[#This Row],[order_id]], northwind_orders[order_id], 0), MATCH("employee_id", northwind_orders[#Headers], 0))</f>
        <v>2</v>
      </c>
      <c r="H1982">
        <f>northwind_order_details[[#This Row],[unit_price]]*northwind_order_details[[#This Row],[quantity]]</f>
        <v>74.5</v>
      </c>
      <c r="I1982" s="1">
        <f>northwind_order_details[[#This Row],[purchase amount]]*northwind_order_details[[#This Row],[discount]]</f>
        <v>0</v>
      </c>
      <c r="J1982" s="1">
        <f>northwind_order_details[[#This Row],[purchase amount]]-northwind_order_details[[#This Row],[discount amount]]</f>
        <v>74.5</v>
      </c>
      <c r="K1982" s="6" t="str">
        <f>IF(northwind_order_details[[#This Row],[discount amount]]&gt;0,"Yes","No")</f>
        <v>No</v>
      </c>
      <c r="L1982" s="1" t="str">
        <f>IF(northwind_order_details[[#This Row],[Revenue]]&gt;1000,"High",IF(northwind_order_details[[#This Row],[Revenue]]&gt;300,"Medium","Low"))</f>
        <v>Low</v>
      </c>
      <c r="M198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83" spans="1:13" x14ac:dyDescent="0.25">
      <c r="A1983">
        <v>11036</v>
      </c>
      <c r="B1983">
        <v>13</v>
      </c>
      <c r="C1983" s="6" t="s">
        <v>23</v>
      </c>
      <c r="D1983">
        <v>7</v>
      </c>
      <c r="E1983" s="6" t="s">
        <v>6</v>
      </c>
      <c r="F1983" t="str">
        <f>_xlfn.XLOOKUP(northwind_order_details[[#This Row],[order_id]],northwind_orders[order_id],northwind_orders[ship_country])</f>
        <v>Germany</v>
      </c>
      <c r="G1983">
        <f>INDEX(northwind_orders[],MATCH(northwind_order_details[[#This Row],[order_id]], northwind_orders[order_id], 0), MATCH("employee_id", northwind_orders[#Headers], 0))</f>
        <v>8</v>
      </c>
      <c r="H1983">
        <f>northwind_order_details[[#This Row],[unit_price]]*northwind_order_details[[#This Row],[quantity]]</f>
        <v>42</v>
      </c>
      <c r="I1983" s="1">
        <f>northwind_order_details[[#This Row],[purchase amount]]*northwind_order_details[[#This Row],[discount]]</f>
        <v>0</v>
      </c>
      <c r="J1983" s="1">
        <f>northwind_order_details[[#This Row],[purchase amount]]-northwind_order_details[[#This Row],[discount amount]]</f>
        <v>42</v>
      </c>
      <c r="K1983" s="6" t="str">
        <f>IF(northwind_order_details[[#This Row],[discount amount]]&gt;0,"Yes","No")</f>
        <v>No</v>
      </c>
      <c r="L1983" s="1" t="str">
        <f>IF(northwind_order_details[[#This Row],[Revenue]]&gt;1000,"High",IF(northwind_order_details[[#This Row],[Revenue]]&gt;300,"Medium","Low"))</f>
        <v>Low</v>
      </c>
      <c r="M198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4" spans="1:13" x14ac:dyDescent="0.25">
      <c r="A1984">
        <v>11036</v>
      </c>
      <c r="B1984">
        <v>59</v>
      </c>
      <c r="C1984" s="6" t="s">
        <v>33</v>
      </c>
      <c r="D1984">
        <v>30</v>
      </c>
      <c r="E1984" s="6" t="s">
        <v>6</v>
      </c>
      <c r="F1984" t="str">
        <f>_xlfn.XLOOKUP(northwind_order_details[[#This Row],[order_id]],northwind_orders[order_id],northwind_orders[ship_country])</f>
        <v>Germany</v>
      </c>
      <c r="G1984">
        <f>INDEX(northwind_orders[],MATCH(northwind_order_details[[#This Row],[order_id]], northwind_orders[order_id], 0), MATCH("employee_id", northwind_orders[#Headers], 0))</f>
        <v>8</v>
      </c>
      <c r="H1984">
        <f>northwind_order_details[[#This Row],[unit_price]]*northwind_order_details[[#This Row],[quantity]]</f>
        <v>1650</v>
      </c>
      <c r="I1984" s="1">
        <f>northwind_order_details[[#This Row],[purchase amount]]*northwind_order_details[[#This Row],[discount]]</f>
        <v>0</v>
      </c>
      <c r="J1984" s="1">
        <f>northwind_order_details[[#This Row],[purchase amount]]-northwind_order_details[[#This Row],[discount amount]]</f>
        <v>1650</v>
      </c>
      <c r="K1984" s="6" t="str">
        <f>IF(northwind_order_details[[#This Row],[discount amount]]&gt;0,"Yes","No")</f>
        <v>No</v>
      </c>
      <c r="L1984" s="1" t="str">
        <f>IF(northwind_order_details[[#This Row],[Revenue]]&gt;1000,"High",IF(northwind_order_details[[#This Row],[Revenue]]&gt;300,"Medium","Low"))</f>
        <v>High</v>
      </c>
      <c r="M198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5" spans="1:13" x14ac:dyDescent="0.25">
      <c r="A1985">
        <v>11037</v>
      </c>
      <c r="B1985">
        <v>70</v>
      </c>
      <c r="C1985" s="6" t="s">
        <v>21</v>
      </c>
      <c r="D1985">
        <v>4</v>
      </c>
      <c r="E1985" s="6" t="s">
        <v>6</v>
      </c>
      <c r="F1985" t="str">
        <f>_xlfn.XLOOKUP(northwind_order_details[[#This Row],[order_id]],northwind_orders[order_id],northwind_orders[ship_country])</f>
        <v>Spain</v>
      </c>
      <c r="G1985">
        <f>INDEX(northwind_orders[],MATCH(northwind_order_details[[#This Row],[order_id]], northwind_orders[order_id], 0), MATCH("employee_id", northwind_orders[#Headers], 0))</f>
        <v>7</v>
      </c>
      <c r="H1985">
        <f>northwind_order_details[[#This Row],[unit_price]]*northwind_order_details[[#This Row],[quantity]]</f>
        <v>60</v>
      </c>
      <c r="I1985" s="1">
        <f>northwind_order_details[[#This Row],[purchase amount]]*northwind_order_details[[#This Row],[discount]]</f>
        <v>0</v>
      </c>
      <c r="J1985" s="1">
        <f>northwind_order_details[[#This Row],[purchase amount]]-northwind_order_details[[#This Row],[discount amount]]</f>
        <v>60</v>
      </c>
      <c r="K1985" s="6" t="str">
        <f>IF(northwind_order_details[[#This Row],[discount amount]]&gt;0,"Yes","No")</f>
        <v>No</v>
      </c>
      <c r="L1985" s="1" t="str">
        <f>IF(northwind_order_details[[#This Row],[Revenue]]&gt;1000,"High",IF(northwind_order_details[[#This Row],[Revenue]]&gt;300,"Medium","Low"))</f>
        <v>Low</v>
      </c>
      <c r="M198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6" spans="1:13" x14ac:dyDescent="0.25">
      <c r="A1986">
        <v>11038</v>
      </c>
      <c r="B1986">
        <v>40</v>
      </c>
      <c r="C1986" s="6">
        <v>18.399999999999999</v>
      </c>
      <c r="D1986">
        <v>5</v>
      </c>
      <c r="E1986" s="6">
        <v>0.2</v>
      </c>
      <c r="F1986" t="str">
        <f>_xlfn.XLOOKUP(northwind_order_details[[#This Row],[order_id]],northwind_orders[order_id],northwind_orders[ship_country])</f>
        <v>Belgium</v>
      </c>
      <c r="G1986">
        <f>INDEX(northwind_orders[],MATCH(northwind_order_details[[#This Row],[order_id]], northwind_orders[order_id], 0), MATCH("employee_id", northwind_orders[#Headers], 0))</f>
        <v>1</v>
      </c>
      <c r="H1986">
        <f>northwind_order_details[[#This Row],[unit_price]]*northwind_order_details[[#This Row],[quantity]]</f>
        <v>92</v>
      </c>
      <c r="I1986" s="1">
        <f>northwind_order_details[[#This Row],[purchase amount]]*northwind_order_details[[#This Row],[discount]]</f>
        <v>18.400000000000002</v>
      </c>
      <c r="J1986" s="1">
        <f>northwind_order_details[[#This Row],[purchase amount]]-northwind_order_details[[#This Row],[discount amount]]</f>
        <v>73.599999999999994</v>
      </c>
      <c r="K1986" s="6" t="str">
        <f>IF(northwind_order_details[[#This Row],[discount amount]]&gt;0,"Yes","No")</f>
        <v>Yes</v>
      </c>
      <c r="L1986" s="1" t="str">
        <f>IF(northwind_order_details[[#This Row],[Revenue]]&gt;1000,"High",IF(northwind_order_details[[#This Row],[Revenue]]&gt;300,"Medium","Low"))</f>
        <v>Low</v>
      </c>
      <c r="M198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87" spans="1:13" x14ac:dyDescent="0.25">
      <c r="A1987">
        <v>11038</v>
      </c>
      <c r="B1987">
        <v>52</v>
      </c>
      <c r="C1987" s="6" t="s">
        <v>32</v>
      </c>
      <c r="D1987">
        <v>2</v>
      </c>
      <c r="E1987" s="6" t="s">
        <v>6</v>
      </c>
      <c r="F1987" t="str">
        <f>_xlfn.XLOOKUP(northwind_order_details[[#This Row],[order_id]],northwind_orders[order_id],northwind_orders[ship_country])</f>
        <v>Belgium</v>
      </c>
      <c r="G1987">
        <f>INDEX(northwind_orders[],MATCH(northwind_order_details[[#This Row],[order_id]], northwind_orders[order_id], 0), MATCH("employee_id", northwind_orders[#Headers], 0))</f>
        <v>1</v>
      </c>
      <c r="H1987">
        <f>northwind_order_details[[#This Row],[unit_price]]*northwind_order_details[[#This Row],[quantity]]</f>
        <v>14</v>
      </c>
      <c r="I1987" s="1">
        <f>northwind_order_details[[#This Row],[purchase amount]]*northwind_order_details[[#This Row],[discount]]</f>
        <v>0</v>
      </c>
      <c r="J1987" s="1">
        <f>northwind_order_details[[#This Row],[purchase amount]]-northwind_order_details[[#This Row],[discount amount]]</f>
        <v>14</v>
      </c>
      <c r="K1987" s="6" t="str">
        <f>IF(northwind_order_details[[#This Row],[discount amount]]&gt;0,"Yes","No")</f>
        <v>No</v>
      </c>
      <c r="L1987" s="1" t="str">
        <f>IF(northwind_order_details[[#This Row],[Revenue]]&gt;1000,"High",IF(northwind_order_details[[#This Row],[Revenue]]&gt;300,"Medium","Low"))</f>
        <v>Low</v>
      </c>
      <c r="M198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88" spans="1:13" x14ac:dyDescent="0.25">
      <c r="A1988">
        <v>11038</v>
      </c>
      <c r="B1988">
        <v>71</v>
      </c>
      <c r="C1988" s="6">
        <v>21.5</v>
      </c>
      <c r="D1988">
        <v>30</v>
      </c>
      <c r="E1988" s="6" t="s">
        <v>6</v>
      </c>
      <c r="F1988" t="str">
        <f>_xlfn.XLOOKUP(northwind_order_details[[#This Row],[order_id]],northwind_orders[order_id],northwind_orders[ship_country])</f>
        <v>Belgium</v>
      </c>
      <c r="G1988">
        <f>INDEX(northwind_orders[],MATCH(northwind_order_details[[#This Row],[order_id]], northwind_orders[order_id], 0), MATCH("employee_id", northwind_orders[#Headers], 0))</f>
        <v>1</v>
      </c>
      <c r="H1988">
        <f>northwind_order_details[[#This Row],[unit_price]]*northwind_order_details[[#This Row],[quantity]]</f>
        <v>645</v>
      </c>
      <c r="I1988" s="1">
        <f>northwind_order_details[[#This Row],[purchase amount]]*northwind_order_details[[#This Row],[discount]]</f>
        <v>0</v>
      </c>
      <c r="J1988" s="1">
        <f>northwind_order_details[[#This Row],[purchase amount]]-northwind_order_details[[#This Row],[discount amount]]</f>
        <v>645</v>
      </c>
      <c r="K1988" s="6" t="str">
        <f>IF(northwind_order_details[[#This Row],[discount amount]]&gt;0,"Yes","No")</f>
        <v>No</v>
      </c>
      <c r="L1988" s="1" t="str">
        <f>IF(northwind_order_details[[#This Row],[Revenue]]&gt;1000,"High",IF(northwind_order_details[[#This Row],[Revenue]]&gt;300,"Medium","Low"))</f>
        <v>Medium</v>
      </c>
      <c r="M198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89" spans="1:13" x14ac:dyDescent="0.25">
      <c r="A1989">
        <v>11041</v>
      </c>
      <c r="B1989">
        <v>2</v>
      </c>
      <c r="C1989" s="6" t="s">
        <v>20</v>
      </c>
      <c r="D1989">
        <v>30</v>
      </c>
      <c r="E1989" s="6">
        <v>0.2</v>
      </c>
      <c r="F1989" t="str">
        <f>_xlfn.XLOOKUP(northwind_order_details[[#This Row],[order_id]],northwind_orders[order_id],northwind_orders[ship_country])</f>
        <v>Switzerland</v>
      </c>
      <c r="G1989">
        <f>INDEX(northwind_orders[],MATCH(northwind_order_details[[#This Row],[order_id]], northwind_orders[order_id], 0), MATCH("employee_id", northwind_orders[#Headers], 0))</f>
        <v>3</v>
      </c>
      <c r="H1989">
        <f>northwind_order_details[[#This Row],[unit_price]]*northwind_order_details[[#This Row],[quantity]]</f>
        <v>570</v>
      </c>
      <c r="I1989" s="1">
        <f>northwind_order_details[[#This Row],[purchase amount]]*northwind_order_details[[#This Row],[discount]]</f>
        <v>114</v>
      </c>
      <c r="J1989" s="1">
        <f>northwind_order_details[[#This Row],[purchase amount]]-northwind_order_details[[#This Row],[discount amount]]</f>
        <v>456</v>
      </c>
      <c r="K1989" s="6" t="str">
        <f>IF(northwind_order_details[[#This Row],[discount amount]]&gt;0,"Yes","No")</f>
        <v>Yes</v>
      </c>
      <c r="L1989" s="1" t="str">
        <f>IF(northwind_order_details[[#This Row],[Revenue]]&gt;1000,"High",IF(northwind_order_details[[#This Row],[Revenue]]&gt;300,"Medium","Low"))</f>
        <v>Medium</v>
      </c>
      <c r="M198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0" spans="1:13" x14ac:dyDescent="0.25">
      <c r="A1990">
        <v>11041</v>
      </c>
      <c r="B1990">
        <v>63</v>
      </c>
      <c r="C1990" s="6">
        <v>43.9</v>
      </c>
      <c r="D1990">
        <v>30</v>
      </c>
      <c r="E1990" s="6" t="s">
        <v>6</v>
      </c>
      <c r="F1990" t="str">
        <f>_xlfn.XLOOKUP(northwind_order_details[[#This Row],[order_id]],northwind_orders[order_id],northwind_orders[ship_country])</f>
        <v>Switzerland</v>
      </c>
      <c r="G1990">
        <f>INDEX(northwind_orders[],MATCH(northwind_order_details[[#This Row],[order_id]], northwind_orders[order_id], 0), MATCH("employee_id", northwind_orders[#Headers], 0))</f>
        <v>3</v>
      </c>
      <c r="H1990">
        <f>northwind_order_details[[#This Row],[unit_price]]*northwind_order_details[[#This Row],[quantity]]</f>
        <v>1317</v>
      </c>
      <c r="I1990" s="1">
        <f>northwind_order_details[[#This Row],[purchase amount]]*northwind_order_details[[#This Row],[discount]]</f>
        <v>0</v>
      </c>
      <c r="J1990" s="1">
        <f>northwind_order_details[[#This Row],[purchase amount]]-northwind_order_details[[#This Row],[discount amount]]</f>
        <v>1317</v>
      </c>
      <c r="K1990" s="6" t="str">
        <f>IF(northwind_order_details[[#This Row],[discount amount]]&gt;0,"Yes","No")</f>
        <v>No</v>
      </c>
      <c r="L1990" s="1" t="str">
        <f>IF(northwind_order_details[[#This Row],[Revenue]]&gt;1000,"High",IF(northwind_order_details[[#This Row],[Revenue]]&gt;300,"Medium","Low"))</f>
        <v>High</v>
      </c>
      <c r="M199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91" spans="1:13" x14ac:dyDescent="0.25">
      <c r="A1991">
        <v>11042</v>
      </c>
      <c r="B1991">
        <v>44</v>
      </c>
      <c r="C1991" s="6">
        <v>19.45</v>
      </c>
      <c r="D1991">
        <v>15</v>
      </c>
      <c r="E1991" s="6" t="s">
        <v>6</v>
      </c>
      <c r="F1991" t="str">
        <f>_xlfn.XLOOKUP(northwind_order_details[[#This Row],[order_id]],northwind_orders[order_id],northwind_orders[ship_country])</f>
        <v>Brazil</v>
      </c>
      <c r="G1991">
        <f>INDEX(northwind_orders[],MATCH(northwind_order_details[[#This Row],[order_id]], northwind_orders[order_id], 0), MATCH("employee_id", northwind_orders[#Headers], 0))</f>
        <v>2</v>
      </c>
      <c r="H1991">
        <f>northwind_order_details[[#This Row],[unit_price]]*northwind_order_details[[#This Row],[quantity]]</f>
        <v>291.75</v>
      </c>
      <c r="I1991" s="1">
        <f>northwind_order_details[[#This Row],[purchase amount]]*northwind_order_details[[#This Row],[discount]]</f>
        <v>0</v>
      </c>
      <c r="J1991" s="1">
        <f>northwind_order_details[[#This Row],[purchase amount]]-northwind_order_details[[#This Row],[discount amount]]</f>
        <v>291.75</v>
      </c>
      <c r="K1991" s="6" t="str">
        <f>IF(northwind_order_details[[#This Row],[discount amount]]&gt;0,"Yes","No")</f>
        <v>No</v>
      </c>
      <c r="L1991" s="1" t="str">
        <f>IF(northwind_order_details[[#This Row],[Revenue]]&gt;1000,"High",IF(northwind_order_details[[#This Row],[Revenue]]&gt;300,"Medium","Low"))</f>
        <v>Low</v>
      </c>
      <c r="M199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92" spans="1:13" x14ac:dyDescent="0.25">
      <c r="A1992">
        <v>11042</v>
      </c>
      <c r="B1992">
        <v>61</v>
      </c>
      <c r="C1992" s="6">
        <v>28.5</v>
      </c>
      <c r="D1992">
        <v>4</v>
      </c>
      <c r="E1992" s="6" t="s">
        <v>6</v>
      </c>
      <c r="F1992" t="str">
        <f>_xlfn.XLOOKUP(northwind_order_details[[#This Row],[order_id]],northwind_orders[order_id],northwind_orders[ship_country])</f>
        <v>Brazil</v>
      </c>
      <c r="G1992">
        <f>INDEX(northwind_orders[],MATCH(northwind_order_details[[#This Row],[order_id]], northwind_orders[order_id], 0), MATCH("employee_id", northwind_orders[#Headers], 0))</f>
        <v>2</v>
      </c>
      <c r="H1992">
        <f>northwind_order_details[[#This Row],[unit_price]]*northwind_order_details[[#This Row],[quantity]]</f>
        <v>114</v>
      </c>
      <c r="I1992" s="1">
        <f>northwind_order_details[[#This Row],[purchase amount]]*northwind_order_details[[#This Row],[discount]]</f>
        <v>0</v>
      </c>
      <c r="J1992" s="1">
        <f>northwind_order_details[[#This Row],[purchase amount]]-northwind_order_details[[#This Row],[discount amount]]</f>
        <v>114</v>
      </c>
      <c r="K1992" s="6" t="str">
        <f>IF(northwind_order_details[[#This Row],[discount amount]]&gt;0,"Yes","No")</f>
        <v>No</v>
      </c>
      <c r="L1992" s="1" t="str">
        <f>IF(northwind_order_details[[#This Row],[Revenue]]&gt;1000,"High",IF(northwind_order_details[[#This Row],[Revenue]]&gt;300,"Medium","Low"))</f>
        <v>Low</v>
      </c>
      <c r="M199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93" spans="1:13" x14ac:dyDescent="0.25">
      <c r="A1993">
        <v>11043</v>
      </c>
      <c r="B1993">
        <v>11</v>
      </c>
      <c r="C1993" s="6" t="s">
        <v>37</v>
      </c>
      <c r="D1993">
        <v>10</v>
      </c>
      <c r="E1993" s="6" t="s">
        <v>6</v>
      </c>
      <c r="F1993" t="str">
        <f>_xlfn.XLOOKUP(northwind_order_details[[#This Row],[order_id]],northwind_orders[order_id],northwind_orders[ship_country])</f>
        <v>France</v>
      </c>
      <c r="G1993">
        <f>INDEX(northwind_orders[],MATCH(northwind_order_details[[#This Row],[order_id]], northwind_orders[order_id], 0), MATCH("employee_id", northwind_orders[#Headers], 0))</f>
        <v>5</v>
      </c>
      <c r="H1993">
        <f>northwind_order_details[[#This Row],[unit_price]]*northwind_order_details[[#This Row],[quantity]]</f>
        <v>210</v>
      </c>
      <c r="I1993" s="1">
        <f>northwind_order_details[[#This Row],[purchase amount]]*northwind_order_details[[#This Row],[discount]]</f>
        <v>0</v>
      </c>
      <c r="J1993" s="1">
        <f>northwind_order_details[[#This Row],[purchase amount]]-northwind_order_details[[#This Row],[discount amount]]</f>
        <v>210</v>
      </c>
      <c r="K1993" s="6" t="str">
        <f>IF(northwind_order_details[[#This Row],[discount amount]]&gt;0,"Yes","No")</f>
        <v>No</v>
      </c>
      <c r="L1993" s="1" t="str">
        <f>IF(northwind_order_details[[#This Row],[Revenue]]&gt;1000,"High",IF(northwind_order_details[[#This Row],[Revenue]]&gt;300,"Medium","Low"))</f>
        <v>Low</v>
      </c>
      <c r="M199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4" spans="1:13" x14ac:dyDescent="0.25">
      <c r="A1994">
        <v>11044</v>
      </c>
      <c r="B1994">
        <v>62</v>
      </c>
      <c r="C1994" s="6">
        <v>49.3</v>
      </c>
      <c r="D1994">
        <v>12</v>
      </c>
      <c r="E1994" s="6" t="s">
        <v>6</v>
      </c>
      <c r="F1994" t="str">
        <f>_xlfn.XLOOKUP(northwind_order_details[[#This Row],[order_id]],northwind_orders[order_id],northwind_orders[ship_country])</f>
        <v>Poland</v>
      </c>
      <c r="G1994">
        <f>INDEX(northwind_orders[],MATCH(northwind_order_details[[#This Row],[order_id]], northwind_orders[order_id], 0), MATCH("employee_id", northwind_orders[#Headers], 0))</f>
        <v>4</v>
      </c>
      <c r="H1994">
        <f>northwind_order_details[[#This Row],[unit_price]]*northwind_order_details[[#This Row],[quantity]]</f>
        <v>591.59999999999991</v>
      </c>
      <c r="I1994" s="1">
        <f>northwind_order_details[[#This Row],[purchase amount]]*northwind_order_details[[#This Row],[discount]]</f>
        <v>0</v>
      </c>
      <c r="J1994" s="1">
        <f>northwind_order_details[[#This Row],[purchase amount]]-northwind_order_details[[#This Row],[discount amount]]</f>
        <v>591.59999999999991</v>
      </c>
      <c r="K1994" s="6" t="str">
        <f>IF(northwind_order_details[[#This Row],[discount amount]]&gt;0,"Yes","No")</f>
        <v>No</v>
      </c>
      <c r="L1994" s="1" t="str">
        <f>IF(northwind_order_details[[#This Row],[Revenue]]&gt;1000,"High",IF(northwind_order_details[[#This Row],[Revenue]]&gt;300,"Medium","Low"))</f>
        <v>Medium</v>
      </c>
      <c r="M199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1995" spans="1:13" x14ac:dyDescent="0.25">
      <c r="A1995">
        <v>11046</v>
      </c>
      <c r="B1995">
        <v>12</v>
      </c>
      <c r="C1995" s="6" t="s">
        <v>30</v>
      </c>
      <c r="D1995">
        <v>20</v>
      </c>
      <c r="E1995" s="6">
        <v>0.05</v>
      </c>
      <c r="F1995" t="str">
        <f>_xlfn.XLOOKUP(northwind_order_details[[#This Row],[order_id]],northwind_orders[order_id],northwind_orders[ship_country])</f>
        <v>Germany</v>
      </c>
      <c r="G1995">
        <f>INDEX(northwind_orders[],MATCH(northwind_order_details[[#This Row],[order_id]], northwind_orders[order_id], 0), MATCH("employee_id", northwind_orders[#Headers], 0))</f>
        <v>8</v>
      </c>
      <c r="H1995">
        <f>northwind_order_details[[#This Row],[unit_price]]*northwind_order_details[[#This Row],[quantity]]</f>
        <v>760</v>
      </c>
      <c r="I1995" s="1">
        <f>northwind_order_details[[#This Row],[purchase amount]]*northwind_order_details[[#This Row],[discount]]</f>
        <v>38</v>
      </c>
      <c r="J1995" s="1">
        <f>northwind_order_details[[#This Row],[purchase amount]]-northwind_order_details[[#This Row],[discount amount]]</f>
        <v>722</v>
      </c>
      <c r="K1995" s="6" t="str">
        <f>IF(northwind_order_details[[#This Row],[discount amount]]&gt;0,"Yes","No")</f>
        <v>Yes</v>
      </c>
      <c r="L1995" s="1" t="str">
        <f>IF(northwind_order_details[[#This Row],[Revenue]]&gt;1000,"High",IF(northwind_order_details[[#This Row],[Revenue]]&gt;300,"Medium","Low"))</f>
        <v>Medium</v>
      </c>
      <c r="M199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6" spans="1:13" x14ac:dyDescent="0.25">
      <c r="A1996">
        <v>11046</v>
      </c>
      <c r="B1996">
        <v>32</v>
      </c>
      <c r="C1996" s="6" t="s">
        <v>18</v>
      </c>
      <c r="D1996">
        <v>15</v>
      </c>
      <c r="E1996" s="6">
        <v>0.05</v>
      </c>
      <c r="F1996" t="str">
        <f>_xlfn.XLOOKUP(northwind_order_details[[#This Row],[order_id]],northwind_orders[order_id],northwind_orders[ship_country])</f>
        <v>Germany</v>
      </c>
      <c r="G1996">
        <f>INDEX(northwind_orders[],MATCH(northwind_order_details[[#This Row],[order_id]], northwind_orders[order_id], 0), MATCH("employee_id", northwind_orders[#Headers], 0))</f>
        <v>8</v>
      </c>
      <c r="H1996">
        <f>northwind_order_details[[#This Row],[unit_price]]*northwind_order_details[[#This Row],[quantity]]</f>
        <v>480</v>
      </c>
      <c r="I1996" s="1">
        <f>northwind_order_details[[#This Row],[purchase amount]]*northwind_order_details[[#This Row],[discount]]</f>
        <v>24</v>
      </c>
      <c r="J1996" s="1">
        <f>northwind_order_details[[#This Row],[purchase amount]]-northwind_order_details[[#This Row],[discount amount]]</f>
        <v>456</v>
      </c>
      <c r="K1996" s="6" t="str">
        <f>IF(northwind_order_details[[#This Row],[discount amount]]&gt;0,"Yes","No")</f>
        <v>Yes</v>
      </c>
      <c r="L1996" s="1" t="str">
        <f>IF(northwind_order_details[[#This Row],[Revenue]]&gt;1000,"High",IF(northwind_order_details[[#This Row],[Revenue]]&gt;300,"Medium","Low"))</f>
        <v>Medium</v>
      </c>
      <c r="M199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7" spans="1:13" x14ac:dyDescent="0.25">
      <c r="A1997">
        <v>11046</v>
      </c>
      <c r="B1997">
        <v>35</v>
      </c>
      <c r="C1997" s="6" t="s">
        <v>24</v>
      </c>
      <c r="D1997">
        <v>18</v>
      </c>
      <c r="E1997" s="6">
        <v>0.05</v>
      </c>
      <c r="F1997" t="str">
        <f>_xlfn.XLOOKUP(northwind_order_details[[#This Row],[order_id]],northwind_orders[order_id],northwind_orders[ship_country])</f>
        <v>Germany</v>
      </c>
      <c r="G1997">
        <f>INDEX(northwind_orders[],MATCH(northwind_order_details[[#This Row],[order_id]], northwind_orders[order_id], 0), MATCH("employee_id", northwind_orders[#Headers], 0))</f>
        <v>8</v>
      </c>
      <c r="H1997">
        <f>northwind_order_details[[#This Row],[unit_price]]*northwind_order_details[[#This Row],[quantity]]</f>
        <v>324</v>
      </c>
      <c r="I1997" s="1">
        <f>northwind_order_details[[#This Row],[purchase amount]]*northwind_order_details[[#This Row],[discount]]</f>
        <v>16.2</v>
      </c>
      <c r="J1997" s="1">
        <f>northwind_order_details[[#This Row],[purchase amount]]-northwind_order_details[[#This Row],[discount amount]]</f>
        <v>307.8</v>
      </c>
      <c r="K1997" s="6" t="str">
        <f>IF(northwind_order_details[[#This Row],[discount amount]]&gt;0,"Yes","No")</f>
        <v>Yes</v>
      </c>
      <c r="L1997" s="1" t="str">
        <f>IF(northwind_order_details[[#This Row],[Revenue]]&gt;1000,"High",IF(northwind_order_details[[#This Row],[Revenue]]&gt;300,"Medium","Low"))</f>
        <v>Medium</v>
      </c>
      <c r="M199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8" spans="1:13" x14ac:dyDescent="0.25">
      <c r="A1998">
        <v>11047</v>
      </c>
      <c r="B1998">
        <v>1</v>
      </c>
      <c r="C1998" s="6" t="s">
        <v>24</v>
      </c>
      <c r="D1998">
        <v>25</v>
      </c>
      <c r="E1998" s="6">
        <v>0.25</v>
      </c>
      <c r="F1998" t="str">
        <f>_xlfn.XLOOKUP(northwind_order_details[[#This Row],[order_id]],northwind_orders[order_id],northwind_orders[ship_country])</f>
        <v>UK</v>
      </c>
      <c r="G1998">
        <f>INDEX(northwind_orders[],MATCH(northwind_order_details[[#This Row],[order_id]], northwind_orders[order_id], 0), MATCH("employee_id", northwind_orders[#Headers], 0))</f>
        <v>7</v>
      </c>
      <c r="H1998">
        <f>northwind_order_details[[#This Row],[unit_price]]*northwind_order_details[[#This Row],[quantity]]</f>
        <v>450</v>
      </c>
      <c r="I1998" s="1">
        <f>northwind_order_details[[#This Row],[purchase amount]]*northwind_order_details[[#This Row],[discount]]</f>
        <v>112.5</v>
      </c>
      <c r="J1998" s="1">
        <f>northwind_order_details[[#This Row],[purchase amount]]-northwind_order_details[[#This Row],[discount amount]]</f>
        <v>337.5</v>
      </c>
      <c r="K1998" s="6" t="str">
        <f>IF(northwind_order_details[[#This Row],[discount amount]]&gt;0,"Yes","No")</f>
        <v>Yes</v>
      </c>
      <c r="L1998" s="1" t="str">
        <f>IF(northwind_order_details[[#This Row],[Revenue]]&gt;1000,"High",IF(northwind_order_details[[#This Row],[Revenue]]&gt;300,"Medium","Low"))</f>
        <v>Medium</v>
      </c>
      <c r="M199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1999" spans="1:13" x14ac:dyDescent="0.25">
      <c r="A1999">
        <v>11047</v>
      </c>
      <c r="B1999">
        <v>5</v>
      </c>
      <c r="C1999" s="6">
        <v>21.35</v>
      </c>
      <c r="D1999">
        <v>30</v>
      </c>
      <c r="E1999" s="6">
        <v>0.25</v>
      </c>
      <c r="F1999" t="str">
        <f>_xlfn.XLOOKUP(northwind_order_details[[#This Row],[order_id]],northwind_orders[order_id],northwind_orders[ship_country])</f>
        <v>UK</v>
      </c>
      <c r="G1999">
        <f>INDEX(northwind_orders[],MATCH(northwind_order_details[[#This Row],[order_id]], northwind_orders[order_id], 0), MATCH("employee_id", northwind_orders[#Headers], 0))</f>
        <v>7</v>
      </c>
      <c r="H1999">
        <f>northwind_order_details[[#This Row],[unit_price]]*northwind_order_details[[#This Row],[quantity]]</f>
        <v>640.5</v>
      </c>
      <c r="I1999" s="1">
        <f>northwind_order_details[[#This Row],[purchase amount]]*northwind_order_details[[#This Row],[discount]]</f>
        <v>160.125</v>
      </c>
      <c r="J1999" s="1">
        <f>northwind_order_details[[#This Row],[purchase amount]]-northwind_order_details[[#This Row],[discount amount]]</f>
        <v>480.375</v>
      </c>
      <c r="K1999" s="6" t="str">
        <f>IF(northwind_order_details[[#This Row],[discount amount]]&gt;0,"Yes","No")</f>
        <v>Yes</v>
      </c>
      <c r="L1999" s="1" t="str">
        <f>IF(northwind_order_details[[#This Row],[Revenue]]&gt;1000,"High",IF(northwind_order_details[[#This Row],[Revenue]]&gt;300,"Medium","Low"))</f>
        <v>Medium</v>
      </c>
      <c r="M199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00" spans="1:13" x14ac:dyDescent="0.25">
      <c r="A2000">
        <v>11048</v>
      </c>
      <c r="B2000">
        <v>68</v>
      </c>
      <c r="C2000" s="6">
        <v>12.5</v>
      </c>
      <c r="D2000">
        <v>42</v>
      </c>
      <c r="E2000" s="6" t="s">
        <v>6</v>
      </c>
      <c r="F2000" t="str">
        <f>_xlfn.XLOOKUP(northwind_order_details[[#This Row],[order_id]],northwind_orders[order_id],northwind_orders[ship_country])</f>
        <v>Canada</v>
      </c>
      <c r="G2000">
        <f>INDEX(northwind_orders[],MATCH(northwind_order_details[[#This Row],[order_id]], northwind_orders[order_id], 0), MATCH("employee_id", northwind_orders[#Headers], 0))</f>
        <v>7</v>
      </c>
      <c r="H2000">
        <f>northwind_order_details[[#This Row],[unit_price]]*northwind_order_details[[#This Row],[quantity]]</f>
        <v>525</v>
      </c>
      <c r="I2000" s="1">
        <f>northwind_order_details[[#This Row],[purchase amount]]*northwind_order_details[[#This Row],[discount]]</f>
        <v>0</v>
      </c>
      <c r="J2000" s="1">
        <f>northwind_order_details[[#This Row],[purchase amount]]-northwind_order_details[[#This Row],[discount amount]]</f>
        <v>525</v>
      </c>
      <c r="K2000" s="6" t="str">
        <f>IF(northwind_order_details[[#This Row],[discount amount]]&gt;0,"Yes","No")</f>
        <v>No</v>
      </c>
      <c r="L2000" s="1" t="str">
        <f>IF(northwind_order_details[[#This Row],[Revenue]]&gt;1000,"High",IF(northwind_order_details[[#This Row],[Revenue]]&gt;300,"Medium","Low"))</f>
        <v>Medium</v>
      </c>
      <c r="M200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01" spans="1:13" x14ac:dyDescent="0.25">
      <c r="A2001">
        <v>11049</v>
      </c>
      <c r="B2001">
        <v>2</v>
      </c>
      <c r="C2001" s="6" t="s">
        <v>20</v>
      </c>
      <c r="D2001">
        <v>10</v>
      </c>
      <c r="E2001" s="6">
        <v>0.2</v>
      </c>
      <c r="F2001" t="str">
        <f>_xlfn.XLOOKUP(northwind_order_details[[#This Row],[order_id]],northwind_orders[order_id],northwind_orders[ship_country])</f>
        <v>Brazil</v>
      </c>
      <c r="G2001">
        <f>INDEX(northwind_orders[],MATCH(northwind_order_details[[#This Row],[order_id]], northwind_orders[order_id], 0), MATCH("employee_id", northwind_orders[#Headers], 0))</f>
        <v>3</v>
      </c>
      <c r="H2001">
        <f>northwind_order_details[[#This Row],[unit_price]]*northwind_order_details[[#This Row],[quantity]]</f>
        <v>190</v>
      </c>
      <c r="I2001" s="1">
        <f>northwind_order_details[[#This Row],[purchase amount]]*northwind_order_details[[#This Row],[discount]]</f>
        <v>38</v>
      </c>
      <c r="J2001" s="1">
        <f>northwind_order_details[[#This Row],[purchase amount]]-northwind_order_details[[#This Row],[discount amount]]</f>
        <v>152</v>
      </c>
      <c r="K2001" s="6" t="str">
        <f>IF(northwind_order_details[[#This Row],[discount amount]]&gt;0,"Yes","No")</f>
        <v>Yes</v>
      </c>
      <c r="L2001" s="1" t="str">
        <f>IF(northwind_order_details[[#This Row],[Revenue]]&gt;1000,"High",IF(northwind_order_details[[#This Row],[Revenue]]&gt;300,"Medium","Low"))</f>
        <v>Low</v>
      </c>
      <c r="M200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02" spans="1:13" x14ac:dyDescent="0.25">
      <c r="A2002">
        <v>11049</v>
      </c>
      <c r="B2002">
        <v>12</v>
      </c>
      <c r="C2002" s="6" t="s">
        <v>30</v>
      </c>
      <c r="D2002">
        <v>4</v>
      </c>
      <c r="E2002" s="6">
        <v>0.2</v>
      </c>
      <c r="F2002" t="str">
        <f>_xlfn.XLOOKUP(northwind_order_details[[#This Row],[order_id]],northwind_orders[order_id],northwind_orders[ship_country])</f>
        <v>Brazil</v>
      </c>
      <c r="G2002">
        <f>INDEX(northwind_orders[],MATCH(northwind_order_details[[#This Row],[order_id]], northwind_orders[order_id], 0), MATCH("employee_id", northwind_orders[#Headers], 0))</f>
        <v>3</v>
      </c>
      <c r="H2002">
        <f>northwind_order_details[[#This Row],[unit_price]]*northwind_order_details[[#This Row],[quantity]]</f>
        <v>152</v>
      </c>
      <c r="I2002" s="1">
        <f>northwind_order_details[[#This Row],[purchase amount]]*northwind_order_details[[#This Row],[discount]]</f>
        <v>30.400000000000002</v>
      </c>
      <c r="J2002" s="1">
        <f>northwind_order_details[[#This Row],[purchase amount]]-northwind_order_details[[#This Row],[discount amount]]</f>
        <v>121.6</v>
      </c>
      <c r="K2002" s="6" t="str">
        <f>IF(northwind_order_details[[#This Row],[discount amount]]&gt;0,"Yes","No")</f>
        <v>Yes</v>
      </c>
      <c r="L2002" s="1" t="str">
        <f>IF(northwind_order_details[[#This Row],[Revenue]]&gt;1000,"High",IF(northwind_order_details[[#This Row],[Revenue]]&gt;300,"Medium","Low"))</f>
        <v>Low</v>
      </c>
      <c r="M200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03" spans="1:13" x14ac:dyDescent="0.25">
      <c r="A2003">
        <v>11050</v>
      </c>
      <c r="B2003">
        <v>76</v>
      </c>
      <c r="C2003" s="6" t="s">
        <v>24</v>
      </c>
      <c r="D2003">
        <v>50</v>
      </c>
      <c r="E2003" s="6">
        <v>0.1</v>
      </c>
      <c r="F2003" t="str">
        <f>_xlfn.XLOOKUP(northwind_order_details[[#This Row],[order_id]],northwind_orders[order_id],northwind_orders[ship_country])</f>
        <v>Sweden</v>
      </c>
      <c r="G2003">
        <f>INDEX(northwind_orders[],MATCH(northwind_order_details[[#This Row],[order_id]], northwind_orders[order_id], 0), MATCH("employee_id", northwind_orders[#Headers], 0))</f>
        <v>8</v>
      </c>
      <c r="H2003">
        <f>northwind_order_details[[#This Row],[unit_price]]*northwind_order_details[[#This Row],[quantity]]</f>
        <v>900</v>
      </c>
      <c r="I2003" s="1">
        <f>northwind_order_details[[#This Row],[purchase amount]]*northwind_order_details[[#This Row],[discount]]</f>
        <v>90</v>
      </c>
      <c r="J2003" s="1">
        <f>northwind_order_details[[#This Row],[purchase amount]]-northwind_order_details[[#This Row],[discount amount]]</f>
        <v>810</v>
      </c>
      <c r="K2003" s="6" t="str">
        <f>IF(northwind_order_details[[#This Row],[discount amount]]&gt;0,"Yes","No")</f>
        <v>Yes</v>
      </c>
      <c r="L2003" s="1" t="str">
        <f>IF(northwind_order_details[[#This Row],[Revenue]]&gt;1000,"High",IF(northwind_order_details[[#This Row],[Revenue]]&gt;300,"Medium","Low"))</f>
        <v>Medium</v>
      </c>
      <c r="M200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04" spans="1:13" x14ac:dyDescent="0.25">
      <c r="A2004">
        <v>11052</v>
      </c>
      <c r="B2004">
        <v>43</v>
      </c>
      <c r="C2004" s="6" t="s">
        <v>22</v>
      </c>
      <c r="D2004">
        <v>30</v>
      </c>
      <c r="E2004" s="6">
        <v>0.2</v>
      </c>
      <c r="F2004" t="str">
        <f>_xlfn.XLOOKUP(northwind_order_details[[#This Row],[order_id]],northwind_orders[order_id],northwind_orders[ship_country])</f>
        <v>Brazil</v>
      </c>
      <c r="G2004">
        <f>INDEX(northwind_orders[],MATCH(northwind_order_details[[#This Row],[order_id]], northwind_orders[order_id], 0), MATCH("employee_id", northwind_orders[#Headers], 0))</f>
        <v>3</v>
      </c>
      <c r="H2004">
        <f>northwind_order_details[[#This Row],[unit_price]]*northwind_order_details[[#This Row],[quantity]]</f>
        <v>1380</v>
      </c>
      <c r="I2004" s="1">
        <f>northwind_order_details[[#This Row],[purchase amount]]*northwind_order_details[[#This Row],[discount]]</f>
        <v>276</v>
      </c>
      <c r="J2004" s="1">
        <f>northwind_order_details[[#This Row],[purchase amount]]-northwind_order_details[[#This Row],[discount amount]]</f>
        <v>1104</v>
      </c>
      <c r="K2004" s="6" t="str">
        <f>IF(northwind_order_details[[#This Row],[discount amount]]&gt;0,"Yes","No")</f>
        <v>Yes</v>
      </c>
      <c r="L2004" s="1" t="str">
        <f>IF(northwind_order_details[[#This Row],[Revenue]]&gt;1000,"High",IF(northwind_order_details[[#This Row],[Revenue]]&gt;300,"Medium","Low"))</f>
        <v>High</v>
      </c>
      <c r="M200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05" spans="1:13" x14ac:dyDescent="0.25">
      <c r="A2005">
        <v>11052</v>
      </c>
      <c r="B2005">
        <v>61</v>
      </c>
      <c r="C2005" s="6">
        <v>28.5</v>
      </c>
      <c r="D2005">
        <v>10</v>
      </c>
      <c r="E2005" s="6">
        <v>0.2</v>
      </c>
      <c r="F2005" t="str">
        <f>_xlfn.XLOOKUP(northwind_order_details[[#This Row],[order_id]],northwind_orders[order_id],northwind_orders[ship_country])</f>
        <v>Brazil</v>
      </c>
      <c r="G2005">
        <f>INDEX(northwind_orders[],MATCH(northwind_order_details[[#This Row],[order_id]], northwind_orders[order_id], 0), MATCH("employee_id", northwind_orders[#Headers], 0))</f>
        <v>3</v>
      </c>
      <c r="H2005">
        <f>northwind_order_details[[#This Row],[unit_price]]*northwind_order_details[[#This Row],[quantity]]</f>
        <v>285</v>
      </c>
      <c r="I2005" s="1">
        <f>northwind_order_details[[#This Row],[purchase amount]]*northwind_order_details[[#This Row],[discount]]</f>
        <v>57</v>
      </c>
      <c r="J2005" s="1">
        <f>northwind_order_details[[#This Row],[purchase amount]]-northwind_order_details[[#This Row],[discount amount]]</f>
        <v>228</v>
      </c>
      <c r="K2005" s="6" t="str">
        <f>IF(northwind_order_details[[#This Row],[discount amount]]&gt;0,"Yes","No")</f>
        <v>Yes</v>
      </c>
      <c r="L2005" s="1" t="str">
        <f>IF(northwind_order_details[[#This Row],[Revenue]]&gt;1000,"High",IF(northwind_order_details[[#This Row],[Revenue]]&gt;300,"Medium","Low"))</f>
        <v>Low</v>
      </c>
      <c r="M200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06" spans="1:13" x14ac:dyDescent="0.25">
      <c r="A2006">
        <v>11053</v>
      </c>
      <c r="B2006">
        <v>18</v>
      </c>
      <c r="C2006" s="6">
        <v>62.5</v>
      </c>
      <c r="D2006">
        <v>35</v>
      </c>
      <c r="E2006" s="6">
        <v>0.2</v>
      </c>
      <c r="F2006" t="str">
        <f>_xlfn.XLOOKUP(northwind_order_details[[#This Row],[order_id]],northwind_orders[order_id],northwind_orders[ship_country])</f>
        <v>Austria</v>
      </c>
      <c r="G2006">
        <f>INDEX(northwind_orders[],MATCH(northwind_order_details[[#This Row],[order_id]], northwind_orders[order_id], 0), MATCH("employee_id", northwind_orders[#Headers], 0))</f>
        <v>2</v>
      </c>
      <c r="H2006">
        <f>northwind_order_details[[#This Row],[unit_price]]*northwind_order_details[[#This Row],[quantity]]</f>
        <v>2187.5</v>
      </c>
      <c r="I2006" s="1">
        <f>northwind_order_details[[#This Row],[purchase amount]]*northwind_order_details[[#This Row],[discount]]</f>
        <v>437.5</v>
      </c>
      <c r="J2006" s="1">
        <f>northwind_order_details[[#This Row],[purchase amount]]-northwind_order_details[[#This Row],[discount amount]]</f>
        <v>1750</v>
      </c>
      <c r="K2006" s="6" t="str">
        <f>IF(northwind_order_details[[#This Row],[discount amount]]&gt;0,"Yes","No")</f>
        <v>Yes</v>
      </c>
      <c r="L2006" s="1" t="str">
        <f>IF(northwind_order_details[[#This Row],[Revenue]]&gt;1000,"High",IF(northwind_order_details[[#This Row],[Revenue]]&gt;300,"Medium","Low"))</f>
        <v>High</v>
      </c>
      <c r="M2006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07" spans="1:13" x14ac:dyDescent="0.25">
      <c r="A2007">
        <v>11053</v>
      </c>
      <c r="B2007">
        <v>32</v>
      </c>
      <c r="C2007" s="6" t="s">
        <v>18</v>
      </c>
      <c r="D2007">
        <v>20</v>
      </c>
      <c r="E2007" s="6" t="s">
        <v>6</v>
      </c>
      <c r="F2007" t="str">
        <f>_xlfn.XLOOKUP(northwind_order_details[[#This Row],[order_id]],northwind_orders[order_id],northwind_orders[ship_country])</f>
        <v>Austria</v>
      </c>
      <c r="G2007">
        <f>INDEX(northwind_orders[],MATCH(northwind_order_details[[#This Row],[order_id]], northwind_orders[order_id], 0), MATCH("employee_id", northwind_orders[#Headers], 0))</f>
        <v>2</v>
      </c>
      <c r="H2007">
        <f>northwind_order_details[[#This Row],[unit_price]]*northwind_order_details[[#This Row],[quantity]]</f>
        <v>640</v>
      </c>
      <c r="I2007" s="1">
        <f>northwind_order_details[[#This Row],[purchase amount]]*northwind_order_details[[#This Row],[discount]]</f>
        <v>0</v>
      </c>
      <c r="J2007" s="1">
        <f>northwind_order_details[[#This Row],[purchase amount]]-northwind_order_details[[#This Row],[discount amount]]</f>
        <v>640</v>
      </c>
      <c r="K2007" s="6" t="str">
        <f>IF(northwind_order_details[[#This Row],[discount amount]]&gt;0,"Yes","No")</f>
        <v>No</v>
      </c>
      <c r="L2007" s="1" t="str">
        <f>IF(northwind_order_details[[#This Row],[Revenue]]&gt;1000,"High",IF(northwind_order_details[[#This Row],[Revenue]]&gt;300,"Medium","Low"))</f>
        <v>Medium</v>
      </c>
      <c r="M200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08" spans="1:13" x14ac:dyDescent="0.25">
      <c r="A2008">
        <v>11053</v>
      </c>
      <c r="B2008">
        <v>64</v>
      </c>
      <c r="C2008" s="6">
        <v>33.25</v>
      </c>
      <c r="D2008">
        <v>25</v>
      </c>
      <c r="E2008" s="6">
        <v>0.2</v>
      </c>
      <c r="F2008" t="str">
        <f>_xlfn.XLOOKUP(northwind_order_details[[#This Row],[order_id]],northwind_orders[order_id],northwind_orders[ship_country])</f>
        <v>Austria</v>
      </c>
      <c r="G2008">
        <f>INDEX(northwind_orders[],MATCH(northwind_order_details[[#This Row],[order_id]], northwind_orders[order_id], 0), MATCH("employee_id", northwind_orders[#Headers], 0))</f>
        <v>2</v>
      </c>
      <c r="H2008">
        <f>northwind_order_details[[#This Row],[unit_price]]*northwind_order_details[[#This Row],[quantity]]</f>
        <v>831.25</v>
      </c>
      <c r="I2008" s="1">
        <f>northwind_order_details[[#This Row],[purchase amount]]*northwind_order_details[[#This Row],[discount]]</f>
        <v>166.25</v>
      </c>
      <c r="J2008" s="1">
        <f>northwind_order_details[[#This Row],[purchase amount]]-northwind_order_details[[#This Row],[discount amount]]</f>
        <v>665</v>
      </c>
      <c r="K2008" s="6" t="str">
        <f>IF(northwind_order_details[[#This Row],[discount amount]]&gt;0,"Yes","No")</f>
        <v>Yes</v>
      </c>
      <c r="L2008" s="1" t="str">
        <f>IF(northwind_order_details[[#This Row],[Revenue]]&gt;1000,"High",IF(northwind_order_details[[#This Row],[Revenue]]&gt;300,"Medium","Low"))</f>
        <v>Medium</v>
      </c>
      <c r="M2008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09" spans="1:13" x14ac:dyDescent="0.25">
      <c r="A2009">
        <v>11055</v>
      </c>
      <c r="B2009">
        <v>24</v>
      </c>
      <c r="C2009" s="6">
        <v>4.5</v>
      </c>
      <c r="D2009">
        <v>15</v>
      </c>
      <c r="E2009" s="6" t="s">
        <v>6</v>
      </c>
      <c r="F2009" t="str">
        <f>_xlfn.XLOOKUP(northwind_order_details[[#This Row],[order_id]],northwind_orders[order_id],northwind_orders[ship_country])</f>
        <v>Venezuela</v>
      </c>
      <c r="G2009">
        <f>INDEX(northwind_orders[],MATCH(northwind_order_details[[#This Row],[order_id]], northwind_orders[order_id], 0), MATCH("employee_id", northwind_orders[#Headers], 0))</f>
        <v>7</v>
      </c>
      <c r="H2009">
        <f>northwind_order_details[[#This Row],[unit_price]]*northwind_order_details[[#This Row],[quantity]]</f>
        <v>67.5</v>
      </c>
      <c r="I2009" s="1">
        <f>northwind_order_details[[#This Row],[purchase amount]]*northwind_order_details[[#This Row],[discount]]</f>
        <v>0</v>
      </c>
      <c r="J2009" s="1">
        <f>northwind_order_details[[#This Row],[purchase amount]]-northwind_order_details[[#This Row],[discount amount]]</f>
        <v>67.5</v>
      </c>
      <c r="K2009" s="6" t="str">
        <f>IF(northwind_order_details[[#This Row],[discount amount]]&gt;0,"Yes","No")</f>
        <v>No</v>
      </c>
      <c r="L2009" s="1" t="str">
        <f>IF(northwind_order_details[[#This Row],[Revenue]]&gt;1000,"High",IF(northwind_order_details[[#This Row],[Revenue]]&gt;300,"Medium","Low"))</f>
        <v>Low</v>
      </c>
      <c r="M2009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10" spans="1:13" x14ac:dyDescent="0.25">
      <c r="A2010">
        <v>11055</v>
      </c>
      <c r="B2010">
        <v>25</v>
      </c>
      <c r="C2010" s="6" t="s">
        <v>5</v>
      </c>
      <c r="D2010">
        <v>15</v>
      </c>
      <c r="E2010" s="6" t="s">
        <v>6</v>
      </c>
      <c r="F2010" t="str">
        <f>_xlfn.XLOOKUP(northwind_order_details[[#This Row],[order_id]],northwind_orders[order_id],northwind_orders[ship_country])</f>
        <v>Venezuela</v>
      </c>
      <c r="G2010">
        <f>INDEX(northwind_orders[],MATCH(northwind_order_details[[#This Row],[order_id]], northwind_orders[order_id], 0), MATCH("employee_id", northwind_orders[#Headers], 0))</f>
        <v>7</v>
      </c>
      <c r="H2010">
        <f>northwind_order_details[[#This Row],[unit_price]]*northwind_order_details[[#This Row],[quantity]]</f>
        <v>210</v>
      </c>
      <c r="I2010" s="1">
        <f>northwind_order_details[[#This Row],[purchase amount]]*northwind_order_details[[#This Row],[discount]]</f>
        <v>0</v>
      </c>
      <c r="J2010" s="1">
        <f>northwind_order_details[[#This Row],[purchase amount]]-northwind_order_details[[#This Row],[discount amount]]</f>
        <v>210</v>
      </c>
      <c r="K2010" s="6" t="str">
        <f>IF(northwind_order_details[[#This Row],[discount amount]]&gt;0,"Yes","No")</f>
        <v>No</v>
      </c>
      <c r="L2010" s="1" t="str">
        <f>IF(northwind_order_details[[#This Row],[Revenue]]&gt;1000,"High",IF(northwind_order_details[[#This Row],[Revenue]]&gt;300,"Medium","Low"))</f>
        <v>Low</v>
      </c>
      <c r="M2010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1" spans="1:13" x14ac:dyDescent="0.25">
      <c r="A2011">
        <v>11055</v>
      </c>
      <c r="B2011">
        <v>51</v>
      </c>
      <c r="C2011" s="6" t="s">
        <v>39</v>
      </c>
      <c r="D2011">
        <v>20</v>
      </c>
      <c r="E2011" s="6" t="s">
        <v>6</v>
      </c>
      <c r="F2011" t="str">
        <f>_xlfn.XLOOKUP(northwind_order_details[[#This Row],[order_id]],northwind_orders[order_id],northwind_orders[ship_country])</f>
        <v>Venezuela</v>
      </c>
      <c r="G2011">
        <f>INDEX(northwind_orders[],MATCH(northwind_order_details[[#This Row],[order_id]], northwind_orders[order_id], 0), MATCH("employee_id", northwind_orders[#Headers], 0))</f>
        <v>7</v>
      </c>
      <c r="H2011">
        <f>northwind_order_details[[#This Row],[unit_price]]*northwind_order_details[[#This Row],[quantity]]</f>
        <v>1060</v>
      </c>
      <c r="I2011" s="1">
        <f>northwind_order_details[[#This Row],[purchase amount]]*northwind_order_details[[#This Row],[discount]]</f>
        <v>0</v>
      </c>
      <c r="J2011" s="1">
        <f>northwind_order_details[[#This Row],[purchase amount]]-northwind_order_details[[#This Row],[discount amount]]</f>
        <v>1060</v>
      </c>
      <c r="K2011" s="6" t="str">
        <f>IF(northwind_order_details[[#This Row],[discount amount]]&gt;0,"Yes","No")</f>
        <v>No</v>
      </c>
      <c r="L2011" s="1" t="str">
        <f>IF(northwind_order_details[[#This Row],[Revenue]]&gt;1000,"High",IF(northwind_order_details[[#This Row],[Revenue]]&gt;300,"Medium","Low"))</f>
        <v>High</v>
      </c>
      <c r="M2011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2" spans="1:13" x14ac:dyDescent="0.25">
      <c r="A2012">
        <v>11055</v>
      </c>
      <c r="B2012">
        <v>57</v>
      </c>
      <c r="C2012" s="6">
        <v>19.5</v>
      </c>
      <c r="D2012">
        <v>20</v>
      </c>
      <c r="E2012" s="6" t="s">
        <v>6</v>
      </c>
      <c r="F2012" t="str">
        <f>_xlfn.XLOOKUP(northwind_order_details[[#This Row],[order_id]],northwind_orders[order_id],northwind_orders[ship_country])</f>
        <v>Venezuela</v>
      </c>
      <c r="G2012">
        <f>INDEX(northwind_orders[],MATCH(northwind_order_details[[#This Row],[order_id]], northwind_orders[order_id], 0), MATCH("employee_id", northwind_orders[#Headers], 0))</f>
        <v>7</v>
      </c>
      <c r="H2012">
        <f>northwind_order_details[[#This Row],[unit_price]]*northwind_order_details[[#This Row],[quantity]]</f>
        <v>390</v>
      </c>
      <c r="I2012" s="1">
        <f>northwind_order_details[[#This Row],[purchase amount]]*northwind_order_details[[#This Row],[discount]]</f>
        <v>0</v>
      </c>
      <c r="J2012" s="1">
        <f>northwind_order_details[[#This Row],[purchase amount]]-northwind_order_details[[#This Row],[discount amount]]</f>
        <v>390</v>
      </c>
      <c r="K2012" s="6" t="str">
        <f>IF(northwind_order_details[[#This Row],[discount amount]]&gt;0,"Yes","No")</f>
        <v>No</v>
      </c>
      <c r="L2012" s="1" t="str">
        <f>IF(northwind_order_details[[#This Row],[Revenue]]&gt;1000,"High",IF(northwind_order_details[[#This Row],[Revenue]]&gt;300,"Medium","Low"))</f>
        <v>Medium</v>
      </c>
      <c r="M2012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13" spans="1:13" x14ac:dyDescent="0.25">
      <c r="A2013">
        <v>11056</v>
      </c>
      <c r="B2013">
        <v>7</v>
      </c>
      <c r="C2013" s="6" t="s">
        <v>26</v>
      </c>
      <c r="D2013">
        <v>40</v>
      </c>
      <c r="E2013" s="6" t="s">
        <v>6</v>
      </c>
      <c r="F2013" t="str">
        <f>_xlfn.XLOOKUP(northwind_order_details[[#This Row],[order_id]],northwind_orders[order_id],northwind_orders[ship_country])</f>
        <v>UK</v>
      </c>
      <c r="G2013">
        <f>INDEX(northwind_orders[],MATCH(northwind_order_details[[#This Row],[order_id]], northwind_orders[order_id], 0), MATCH("employee_id", northwind_orders[#Headers], 0))</f>
        <v>8</v>
      </c>
      <c r="H2013">
        <f>northwind_order_details[[#This Row],[unit_price]]*northwind_order_details[[#This Row],[quantity]]</f>
        <v>1200</v>
      </c>
      <c r="I2013" s="1">
        <f>northwind_order_details[[#This Row],[purchase amount]]*northwind_order_details[[#This Row],[discount]]</f>
        <v>0</v>
      </c>
      <c r="J2013" s="1">
        <f>northwind_order_details[[#This Row],[purchase amount]]-northwind_order_details[[#This Row],[discount amount]]</f>
        <v>1200</v>
      </c>
      <c r="K2013" s="6" t="str">
        <f>IF(northwind_order_details[[#This Row],[discount amount]]&gt;0,"Yes","No")</f>
        <v>No</v>
      </c>
      <c r="L2013" s="1" t="str">
        <f>IF(northwind_order_details[[#This Row],[Revenue]]&gt;1000,"High",IF(northwind_order_details[[#This Row],[Revenue]]&gt;300,"Medium","Low"))</f>
        <v>High</v>
      </c>
      <c r="M2013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4" spans="1:13" x14ac:dyDescent="0.25">
      <c r="A2014">
        <v>11056</v>
      </c>
      <c r="B2014">
        <v>55</v>
      </c>
      <c r="C2014" s="6" t="s">
        <v>14</v>
      </c>
      <c r="D2014">
        <v>35</v>
      </c>
      <c r="E2014" s="6" t="s">
        <v>6</v>
      </c>
      <c r="F2014" t="str">
        <f>_xlfn.XLOOKUP(northwind_order_details[[#This Row],[order_id]],northwind_orders[order_id],northwind_orders[ship_country])</f>
        <v>UK</v>
      </c>
      <c r="G2014">
        <f>INDEX(northwind_orders[],MATCH(northwind_order_details[[#This Row],[order_id]], northwind_orders[order_id], 0), MATCH("employee_id", northwind_orders[#Headers], 0))</f>
        <v>8</v>
      </c>
      <c r="H2014">
        <f>northwind_order_details[[#This Row],[unit_price]]*northwind_order_details[[#This Row],[quantity]]</f>
        <v>840</v>
      </c>
      <c r="I2014" s="1">
        <f>northwind_order_details[[#This Row],[purchase amount]]*northwind_order_details[[#This Row],[discount]]</f>
        <v>0</v>
      </c>
      <c r="J2014" s="1">
        <f>northwind_order_details[[#This Row],[purchase amount]]-northwind_order_details[[#This Row],[discount amount]]</f>
        <v>840</v>
      </c>
      <c r="K2014" s="6" t="str">
        <f>IF(northwind_order_details[[#This Row],[discount amount]]&gt;0,"Yes","No")</f>
        <v>No</v>
      </c>
      <c r="L2014" s="1" t="str">
        <f>IF(northwind_order_details[[#This Row],[Revenue]]&gt;1000,"High",IF(northwind_order_details[[#This Row],[Revenue]]&gt;300,"Medium","Low"))</f>
        <v>Medium</v>
      </c>
      <c r="M2014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5" spans="1:13" x14ac:dyDescent="0.25">
      <c r="A2015">
        <v>11056</v>
      </c>
      <c r="B2015">
        <v>60</v>
      </c>
      <c r="C2015" s="6" t="s">
        <v>28</v>
      </c>
      <c r="D2015">
        <v>50</v>
      </c>
      <c r="E2015" s="6" t="s">
        <v>6</v>
      </c>
      <c r="F2015" t="str">
        <f>_xlfn.XLOOKUP(northwind_order_details[[#This Row],[order_id]],northwind_orders[order_id],northwind_orders[ship_country])</f>
        <v>UK</v>
      </c>
      <c r="G2015">
        <f>INDEX(northwind_orders[],MATCH(northwind_order_details[[#This Row],[order_id]], northwind_orders[order_id], 0), MATCH("employee_id", northwind_orders[#Headers], 0))</f>
        <v>8</v>
      </c>
      <c r="H2015">
        <f>northwind_order_details[[#This Row],[unit_price]]*northwind_order_details[[#This Row],[quantity]]</f>
        <v>1700</v>
      </c>
      <c r="I2015" s="1">
        <f>northwind_order_details[[#This Row],[purchase amount]]*northwind_order_details[[#This Row],[discount]]</f>
        <v>0</v>
      </c>
      <c r="J2015" s="1">
        <f>northwind_order_details[[#This Row],[purchase amount]]-northwind_order_details[[#This Row],[discount amount]]</f>
        <v>1700</v>
      </c>
      <c r="K2015" s="6" t="str">
        <f>IF(northwind_order_details[[#This Row],[discount amount]]&gt;0,"Yes","No")</f>
        <v>No</v>
      </c>
      <c r="L2015" s="1" t="str">
        <f>IF(northwind_order_details[[#This Row],[Revenue]]&gt;1000,"High",IF(northwind_order_details[[#This Row],[Revenue]]&gt;300,"Medium","Low"))</f>
        <v>High</v>
      </c>
      <c r="M2015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6" spans="1:13" x14ac:dyDescent="0.25">
      <c r="A2016">
        <v>11057</v>
      </c>
      <c r="B2016">
        <v>70</v>
      </c>
      <c r="C2016" s="6" t="s">
        <v>21</v>
      </c>
      <c r="D2016">
        <v>3</v>
      </c>
      <c r="E2016" s="6" t="s">
        <v>6</v>
      </c>
      <c r="F2016" t="str">
        <f>_xlfn.XLOOKUP(northwind_order_details[[#This Row],[order_id]],northwind_orders[order_id],northwind_orders[ship_country])</f>
        <v>UK</v>
      </c>
      <c r="G2016">
        <f>INDEX(northwind_orders[],MATCH(northwind_order_details[[#This Row],[order_id]], northwind_orders[order_id], 0), MATCH("employee_id", northwind_orders[#Headers], 0))</f>
        <v>3</v>
      </c>
      <c r="H2016">
        <f>northwind_order_details[[#This Row],[unit_price]]*northwind_order_details[[#This Row],[quantity]]</f>
        <v>45</v>
      </c>
      <c r="I2016" s="1">
        <f>northwind_order_details[[#This Row],[purchase amount]]*northwind_order_details[[#This Row],[discount]]</f>
        <v>0</v>
      </c>
      <c r="J2016" s="1">
        <f>northwind_order_details[[#This Row],[purchase amount]]-northwind_order_details[[#This Row],[discount amount]]</f>
        <v>45</v>
      </c>
      <c r="K2016" s="6" t="str">
        <f>IF(northwind_order_details[[#This Row],[discount amount]]&gt;0,"Yes","No")</f>
        <v>No</v>
      </c>
      <c r="L2016" s="1" t="str">
        <f>IF(northwind_order_details[[#This Row],[Revenue]]&gt;1000,"High",IF(northwind_order_details[[#This Row],[Revenue]]&gt;300,"Medium","Low"))</f>
        <v>Low</v>
      </c>
      <c r="M201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7" spans="1:13" x14ac:dyDescent="0.25">
      <c r="A2017">
        <v>11060</v>
      </c>
      <c r="B2017">
        <v>60</v>
      </c>
      <c r="C2017" s="6" t="s">
        <v>28</v>
      </c>
      <c r="D2017">
        <v>4</v>
      </c>
      <c r="E2017" s="6" t="s">
        <v>6</v>
      </c>
      <c r="F2017" t="str">
        <f>_xlfn.XLOOKUP(northwind_order_details[[#This Row],[order_id]],northwind_orders[order_id],northwind_orders[ship_country])</f>
        <v>Italy</v>
      </c>
      <c r="G2017">
        <f>INDEX(northwind_orders[],MATCH(northwind_order_details[[#This Row],[order_id]], northwind_orders[order_id], 0), MATCH("employee_id", northwind_orders[#Headers], 0))</f>
        <v>2</v>
      </c>
      <c r="H2017">
        <f>northwind_order_details[[#This Row],[unit_price]]*northwind_order_details[[#This Row],[quantity]]</f>
        <v>136</v>
      </c>
      <c r="I2017" s="1">
        <f>northwind_order_details[[#This Row],[purchase amount]]*northwind_order_details[[#This Row],[discount]]</f>
        <v>0</v>
      </c>
      <c r="J2017" s="1">
        <f>northwind_order_details[[#This Row],[purchase amount]]-northwind_order_details[[#This Row],[discount amount]]</f>
        <v>136</v>
      </c>
      <c r="K2017" s="6" t="str">
        <f>IF(northwind_order_details[[#This Row],[discount amount]]&gt;0,"Yes","No")</f>
        <v>No</v>
      </c>
      <c r="L2017" s="1" t="str">
        <f>IF(northwind_order_details[[#This Row],[Revenue]]&gt;1000,"High",IF(northwind_order_details[[#This Row],[Revenue]]&gt;300,"Medium","Low"))</f>
        <v>Low</v>
      </c>
      <c r="M2017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8" spans="1:13" x14ac:dyDescent="0.25">
      <c r="A2018">
        <v>11060</v>
      </c>
      <c r="B2018">
        <v>77</v>
      </c>
      <c r="C2018" s="6" t="s">
        <v>19</v>
      </c>
      <c r="D2018">
        <v>10</v>
      </c>
      <c r="E2018" s="6" t="s">
        <v>6</v>
      </c>
      <c r="F2018" t="str">
        <f>_xlfn.XLOOKUP(northwind_order_details[[#This Row],[order_id]],northwind_orders[order_id],northwind_orders[ship_country])</f>
        <v>Italy</v>
      </c>
      <c r="G2018">
        <f>INDEX(northwind_orders[],MATCH(northwind_order_details[[#This Row],[order_id]], northwind_orders[order_id], 0), MATCH("employee_id", northwind_orders[#Headers], 0))</f>
        <v>2</v>
      </c>
      <c r="H2018">
        <f>northwind_order_details[[#This Row],[unit_price]]*northwind_order_details[[#This Row],[quantity]]</f>
        <v>130</v>
      </c>
      <c r="I2018" s="1">
        <f>northwind_order_details[[#This Row],[purchase amount]]*northwind_order_details[[#This Row],[discount]]</f>
        <v>0</v>
      </c>
      <c r="J2018" s="1">
        <f>northwind_order_details[[#This Row],[purchase amount]]-northwind_order_details[[#This Row],[discount amount]]</f>
        <v>130</v>
      </c>
      <c r="K2018" s="6" t="str">
        <f>IF(northwind_order_details[[#This Row],[discount amount]]&gt;0,"Yes","No")</f>
        <v>No</v>
      </c>
      <c r="L2018" s="1" t="str">
        <f>IF(northwind_order_details[[#This Row],[Revenue]]&gt;1000,"High",IF(northwind_order_details[[#This Row],[Revenue]]&gt;300,"Medium","Low"))</f>
        <v>Low</v>
      </c>
      <c r="M2018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19" spans="1:13" x14ac:dyDescent="0.25">
      <c r="A2019">
        <v>11064</v>
      </c>
      <c r="B2019">
        <v>17</v>
      </c>
      <c r="C2019" s="6" t="s">
        <v>35</v>
      </c>
      <c r="D2019">
        <v>77</v>
      </c>
      <c r="E2019" s="6">
        <v>0.1</v>
      </c>
      <c r="F2019" t="str">
        <f>_xlfn.XLOOKUP(northwind_order_details[[#This Row],[order_id]],northwind_orders[order_id],northwind_orders[ship_country])</f>
        <v>USA</v>
      </c>
      <c r="G2019">
        <f>INDEX(northwind_orders[],MATCH(northwind_order_details[[#This Row],[order_id]], northwind_orders[order_id], 0), MATCH("employee_id", northwind_orders[#Headers], 0))</f>
        <v>1</v>
      </c>
      <c r="H2019">
        <f>northwind_order_details[[#This Row],[unit_price]]*northwind_order_details[[#This Row],[quantity]]</f>
        <v>3003</v>
      </c>
      <c r="I2019" s="1">
        <f>northwind_order_details[[#This Row],[purchase amount]]*northwind_order_details[[#This Row],[discount]]</f>
        <v>300.3</v>
      </c>
      <c r="J2019" s="1">
        <f>northwind_order_details[[#This Row],[purchase amount]]-northwind_order_details[[#This Row],[discount amount]]</f>
        <v>2702.7</v>
      </c>
      <c r="K2019" s="6" t="str">
        <f>IF(northwind_order_details[[#This Row],[discount amount]]&gt;0,"Yes","No")</f>
        <v>Yes</v>
      </c>
      <c r="L2019" s="1" t="str">
        <f>IF(northwind_order_details[[#This Row],[Revenue]]&gt;1000,"High",IF(northwind_order_details[[#This Row],[Revenue]]&gt;300,"Medium","Low"))</f>
        <v>High</v>
      </c>
      <c r="M2019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20" spans="1:13" x14ac:dyDescent="0.25">
      <c r="A2020">
        <v>11064</v>
      </c>
      <c r="B2020">
        <v>41</v>
      </c>
      <c r="C2020" s="6">
        <v>9.65</v>
      </c>
      <c r="D2020">
        <v>12</v>
      </c>
      <c r="E2020" s="6" t="s">
        <v>6</v>
      </c>
      <c r="F2020" t="str">
        <f>_xlfn.XLOOKUP(northwind_order_details[[#This Row],[order_id]],northwind_orders[order_id],northwind_orders[ship_country])</f>
        <v>USA</v>
      </c>
      <c r="G2020">
        <f>INDEX(northwind_orders[],MATCH(northwind_order_details[[#This Row],[order_id]], northwind_orders[order_id], 0), MATCH("employee_id", northwind_orders[#Headers], 0))</f>
        <v>1</v>
      </c>
      <c r="H2020">
        <f>northwind_order_details[[#This Row],[unit_price]]*northwind_order_details[[#This Row],[quantity]]</f>
        <v>115.80000000000001</v>
      </c>
      <c r="I2020" s="1">
        <f>northwind_order_details[[#This Row],[purchase amount]]*northwind_order_details[[#This Row],[discount]]</f>
        <v>0</v>
      </c>
      <c r="J2020" s="1">
        <f>northwind_order_details[[#This Row],[purchase amount]]-northwind_order_details[[#This Row],[discount amount]]</f>
        <v>115.80000000000001</v>
      </c>
      <c r="K2020" s="6" t="str">
        <f>IF(northwind_order_details[[#This Row],[discount amount]]&gt;0,"Yes","No")</f>
        <v>No</v>
      </c>
      <c r="L2020" s="1" t="str">
        <f>IF(northwind_order_details[[#This Row],[Revenue]]&gt;1000,"High",IF(northwind_order_details[[#This Row],[Revenue]]&gt;300,"Medium","Low"))</f>
        <v>Low</v>
      </c>
      <c r="M2020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21" spans="1:13" x14ac:dyDescent="0.25">
      <c r="A2021">
        <v>11064</v>
      </c>
      <c r="B2021">
        <v>53</v>
      </c>
      <c r="C2021" s="6">
        <v>32.799999999999997</v>
      </c>
      <c r="D2021">
        <v>25</v>
      </c>
      <c r="E2021" s="6">
        <v>0.1</v>
      </c>
      <c r="F2021" t="str">
        <f>_xlfn.XLOOKUP(northwind_order_details[[#This Row],[order_id]],northwind_orders[order_id],northwind_orders[ship_country])</f>
        <v>USA</v>
      </c>
      <c r="G2021">
        <f>INDEX(northwind_orders[],MATCH(northwind_order_details[[#This Row],[order_id]], northwind_orders[order_id], 0), MATCH("employee_id", northwind_orders[#Headers], 0))</f>
        <v>1</v>
      </c>
      <c r="H2021">
        <f>northwind_order_details[[#This Row],[unit_price]]*northwind_order_details[[#This Row],[quantity]]</f>
        <v>819.99999999999989</v>
      </c>
      <c r="I2021" s="1">
        <f>northwind_order_details[[#This Row],[purchase amount]]*northwind_order_details[[#This Row],[discount]]</f>
        <v>82</v>
      </c>
      <c r="J2021" s="1">
        <f>northwind_order_details[[#This Row],[purchase amount]]-northwind_order_details[[#This Row],[discount amount]]</f>
        <v>737.99999999999989</v>
      </c>
      <c r="K2021" s="6" t="str">
        <f>IF(northwind_order_details[[#This Row],[discount amount]]&gt;0,"Yes","No")</f>
        <v>Yes</v>
      </c>
      <c r="L2021" s="1" t="str">
        <f>IF(northwind_order_details[[#This Row],[Revenue]]&gt;1000,"High",IF(northwind_order_details[[#This Row],[Revenue]]&gt;300,"Medium","Low"))</f>
        <v>Medium</v>
      </c>
      <c r="M2021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22" spans="1:13" x14ac:dyDescent="0.25">
      <c r="A2022">
        <v>11064</v>
      </c>
      <c r="B2022">
        <v>55</v>
      </c>
      <c r="C2022" s="6" t="s">
        <v>14</v>
      </c>
      <c r="D2022">
        <v>4</v>
      </c>
      <c r="E2022" s="6">
        <v>0.1</v>
      </c>
      <c r="F2022" t="str">
        <f>_xlfn.XLOOKUP(northwind_order_details[[#This Row],[order_id]],northwind_orders[order_id],northwind_orders[ship_country])</f>
        <v>USA</v>
      </c>
      <c r="G2022">
        <f>INDEX(northwind_orders[],MATCH(northwind_order_details[[#This Row],[order_id]], northwind_orders[order_id], 0), MATCH("employee_id", northwind_orders[#Headers], 0))</f>
        <v>1</v>
      </c>
      <c r="H2022">
        <f>northwind_order_details[[#This Row],[unit_price]]*northwind_order_details[[#This Row],[quantity]]</f>
        <v>96</v>
      </c>
      <c r="I2022" s="1">
        <f>northwind_order_details[[#This Row],[purchase amount]]*northwind_order_details[[#This Row],[discount]]</f>
        <v>9.6000000000000014</v>
      </c>
      <c r="J2022" s="1">
        <f>northwind_order_details[[#This Row],[purchase amount]]-northwind_order_details[[#This Row],[discount amount]]</f>
        <v>86.4</v>
      </c>
      <c r="K2022" s="6" t="str">
        <f>IF(northwind_order_details[[#This Row],[discount amount]]&gt;0,"Yes","No")</f>
        <v>Yes</v>
      </c>
      <c r="L2022" s="1" t="str">
        <f>IF(northwind_order_details[[#This Row],[Revenue]]&gt;1000,"High",IF(northwind_order_details[[#This Row],[Revenue]]&gt;300,"Medium","Low"))</f>
        <v>Low</v>
      </c>
      <c r="M2022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23" spans="1:13" x14ac:dyDescent="0.25">
      <c r="A2023">
        <v>11064</v>
      </c>
      <c r="B2023">
        <v>68</v>
      </c>
      <c r="C2023" s="6">
        <v>12.5</v>
      </c>
      <c r="D2023">
        <v>55</v>
      </c>
      <c r="E2023" s="6" t="s">
        <v>6</v>
      </c>
      <c r="F2023" t="str">
        <f>_xlfn.XLOOKUP(northwind_order_details[[#This Row],[order_id]],northwind_orders[order_id],northwind_orders[ship_country])</f>
        <v>USA</v>
      </c>
      <c r="G2023">
        <f>INDEX(northwind_orders[],MATCH(northwind_order_details[[#This Row],[order_id]], northwind_orders[order_id], 0), MATCH("employee_id", northwind_orders[#Headers], 0))</f>
        <v>1</v>
      </c>
      <c r="H2023">
        <f>northwind_order_details[[#This Row],[unit_price]]*northwind_order_details[[#This Row],[quantity]]</f>
        <v>687.5</v>
      </c>
      <c r="I2023" s="1">
        <f>northwind_order_details[[#This Row],[purchase amount]]*northwind_order_details[[#This Row],[discount]]</f>
        <v>0</v>
      </c>
      <c r="J2023" s="1">
        <f>northwind_order_details[[#This Row],[purchase amount]]-northwind_order_details[[#This Row],[discount amount]]</f>
        <v>687.5</v>
      </c>
      <c r="K2023" s="6" t="str">
        <f>IF(northwind_order_details[[#This Row],[discount amount]]&gt;0,"Yes","No")</f>
        <v>No</v>
      </c>
      <c r="L2023" s="1" t="str">
        <f>IF(northwind_order_details[[#This Row],[Revenue]]&gt;1000,"High",IF(northwind_order_details[[#This Row],[Revenue]]&gt;300,"Medium","Low"))</f>
        <v>Medium</v>
      </c>
      <c r="M2023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24" spans="1:13" x14ac:dyDescent="0.25">
      <c r="A2024">
        <v>11066</v>
      </c>
      <c r="B2024">
        <v>16</v>
      </c>
      <c r="C2024" s="6">
        <v>17.45</v>
      </c>
      <c r="D2024">
        <v>3</v>
      </c>
      <c r="E2024" s="6" t="s">
        <v>6</v>
      </c>
      <c r="F2024" t="str">
        <f>_xlfn.XLOOKUP(northwind_order_details[[#This Row],[order_id]],northwind_orders[order_id],northwind_orders[ship_country])</f>
        <v>USA</v>
      </c>
      <c r="G2024">
        <f>INDEX(northwind_orders[],MATCH(northwind_order_details[[#This Row],[order_id]], northwind_orders[order_id], 0), MATCH("employee_id", northwind_orders[#Headers], 0))</f>
        <v>7</v>
      </c>
      <c r="H2024">
        <f>northwind_order_details[[#This Row],[unit_price]]*northwind_order_details[[#This Row],[quantity]]</f>
        <v>52.349999999999994</v>
      </c>
      <c r="I2024" s="1">
        <f>northwind_order_details[[#This Row],[purchase amount]]*northwind_order_details[[#This Row],[discount]]</f>
        <v>0</v>
      </c>
      <c r="J2024" s="1">
        <f>northwind_order_details[[#This Row],[purchase amount]]-northwind_order_details[[#This Row],[discount amount]]</f>
        <v>52.349999999999994</v>
      </c>
      <c r="K2024" s="6" t="str">
        <f>IF(northwind_order_details[[#This Row],[discount amount]]&gt;0,"Yes","No")</f>
        <v>No</v>
      </c>
      <c r="L2024" s="1" t="str">
        <f>IF(northwind_order_details[[#This Row],[Revenue]]&gt;1000,"High",IF(northwind_order_details[[#This Row],[Revenue]]&gt;300,"Medium","Low"))</f>
        <v>Low</v>
      </c>
      <c r="M2024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25" spans="1:13" x14ac:dyDescent="0.25">
      <c r="A2025">
        <v>11066</v>
      </c>
      <c r="B2025">
        <v>19</v>
      </c>
      <c r="C2025" s="6">
        <v>9.1999999999999993</v>
      </c>
      <c r="D2025">
        <v>42</v>
      </c>
      <c r="E2025" s="6" t="s">
        <v>6</v>
      </c>
      <c r="F2025" t="str">
        <f>_xlfn.XLOOKUP(northwind_order_details[[#This Row],[order_id]],northwind_orders[order_id],northwind_orders[ship_country])</f>
        <v>USA</v>
      </c>
      <c r="G2025">
        <f>INDEX(northwind_orders[],MATCH(northwind_order_details[[#This Row],[order_id]], northwind_orders[order_id], 0), MATCH("employee_id", northwind_orders[#Headers], 0))</f>
        <v>7</v>
      </c>
      <c r="H2025">
        <f>northwind_order_details[[#This Row],[unit_price]]*northwind_order_details[[#This Row],[quantity]]</f>
        <v>386.4</v>
      </c>
      <c r="I2025" s="1">
        <f>northwind_order_details[[#This Row],[purchase amount]]*northwind_order_details[[#This Row],[discount]]</f>
        <v>0</v>
      </c>
      <c r="J2025" s="1">
        <f>northwind_order_details[[#This Row],[purchase amount]]-northwind_order_details[[#This Row],[discount amount]]</f>
        <v>386.4</v>
      </c>
      <c r="K2025" s="6" t="str">
        <f>IF(northwind_order_details[[#This Row],[discount amount]]&gt;0,"Yes","No")</f>
        <v>No</v>
      </c>
      <c r="L2025" s="1" t="str">
        <f>IF(northwind_order_details[[#This Row],[Revenue]]&gt;1000,"High",IF(northwind_order_details[[#This Row],[Revenue]]&gt;300,"Medium","Low"))</f>
        <v>Medium</v>
      </c>
      <c r="M2025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26" spans="1:13" x14ac:dyDescent="0.25">
      <c r="A2026">
        <v>11066</v>
      </c>
      <c r="B2026">
        <v>34</v>
      </c>
      <c r="C2026" s="6" t="s">
        <v>5</v>
      </c>
      <c r="D2026">
        <v>35</v>
      </c>
      <c r="E2026" s="6" t="s">
        <v>6</v>
      </c>
      <c r="F2026" t="str">
        <f>_xlfn.XLOOKUP(northwind_order_details[[#This Row],[order_id]],northwind_orders[order_id],northwind_orders[ship_country])</f>
        <v>USA</v>
      </c>
      <c r="G2026">
        <f>INDEX(northwind_orders[],MATCH(northwind_order_details[[#This Row],[order_id]], northwind_orders[order_id], 0), MATCH("employee_id", northwind_orders[#Headers], 0))</f>
        <v>7</v>
      </c>
      <c r="H2026">
        <f>northwind_order_details[[#This Row],[unit_price]]*northwind_order_details[[#This Row],[quantity]]</f>
        <v>490</v>
      </c>
      <c r="I2026" s="1">
        <f>northwind_order_details[[#This Row],[purchase amount]]*northwind_order_details[[#This Row],[discount]]</f>
        <v>0</v>
      </c>
      <c r="J2026" s="1">
        <f>northwind_order_details[[#This Row],[purchase amount]]-northwind_order_details[[#This Row],[discount amount]]</f>
        <v>490</v>
      </c>
      <c r="K2026" s="6" t="str">
        <f>IF(northwind_order_details[[#This Row],[discount amount]]&gt;0,"Yes","No")</f>
        <v>No</v>
      </c>
      <c r="L2026" s="1" t="str">
        <f>IF(northwind_order_details[[#This Row],[Revenue]]&gt;1000,"High",IF(northwind_order_details[[#This Row],[Revenue]]&gt;300,"Medium","Low"))</f>
        <v>Medium</v>
      </c>
      <c r="M2026" s="1" t="str">
        <f>IF(northwind_order_details[[#This Row],[unit_price]]=_xlfn.XLOOKUP(northwind_order_details[[#This Row],[product_id]],'Price Validation'!$D$2:$D$78,'Price Validation'!$E$2:$E$78),"Match","Mismatch")</f>
        <v>Mismatch</v>
      </c>
    </row>
    <row r="2027" spans="1:13" x14ac:dyDescent="0.25">
      <c r="A2027">
        <v>11067</v>
      </c>
      <c r="B2027">
        <v>41</v>
      </c>
      <c r="C2027" s="6">
        <v>9.65</v>
      </c>
      <c r="D2027">
        <v>9</v>
      </c>
      <c r="E2027" s="6" t="s">
        <v>6</v>
      </c>
      <c r="F2027" t="str">
        <f>_xlfn.XLOOKUP(northwind_order_details[[#This Row],[order_id]],northwind_orders[order_id],northwind_orders[ship_country])</f>
        <v>Germany</v>
      </c>
      <c r="G2027">
        <f>INDEX(northwind_orders[],MATCH(northwind_order_details[[#This Row],[order_id]], northwind_orders[order_id], 0), MATCH("employee_id", northwind_orders[#Headers], 0))</f>
        <v>1</v>
      </c>
      <c r="H2027">
        <f>northwind_order_details[[#This Row],[unit_price]]*northwind_order_details[[#This Row],[quantity]]</f>
        <v>86.850000000000009</v>
      </c>
      <c r="I2027" s="1">
        <f>northwind_order_details[[#This Row],[purchase amount]]*northwind_order_details[[#This Row],[discount]]</f>
        <v>0</v>
      </c>
      <c r="J2027" s="1">
        <f>northwind_order_details[[#This Row],[purchase amount]]-northwind_order_details[[#This Row],[discount amount]]</f>
        <v>86.850000000000009</v>
      </c>
      <c r="K2027" s="6" t="str">
        <f>IF(northwind_order_details[[#This Row],[discount amount]]&gt;0,"Yes","No")</f>
        <v>No</v>
      </c>
      <c r="L2027" s="1" t="str">
        <f>IF(northwind_order_details[[#This Row],[Revenue]]&gt;1000,"High",IF(northwind_order_details[[#This Row],[Revenue]]&gt;300,"Medium","Low"))</f>
        <v>Low</v>
      </c>
      <c r="M2027" s="1" t="str">
        <f>IF(northwind_order_details[[#This Row],[unit_price]]=_xlfn.XLOOKUP(northwind_order_details[[#This Row],[product_id]],'Price Validation'!$D$2:$D$78,'Price Validation'!$E$2:$E$78),"Match","Mismatch")</f>
        <v>Match</v>
      </c>
    </row>
    <row r="2028" spans="1:13" x14ac:dyDescent="0.25">
      <c r="A2028">
        <v>11069</v>
      </c>
      <c r="B2028">
        <v>39</v>
      </c>
      <c r="C2028" s="6" t="s">
        <v>24</v>
      </c>
      <c r="D2028">
        <v>20</v>
      </c>
      <c r="E2028" s="6" t="s">
        <v>6</v>
      </c>
      <c r="F2028" t="str">
        <f>_xlfn.XLOOKUP(northwind_order_details[[#This Row],[order_id]],northwind_orders[order_id],northwind_orders[ship_country])</f>
        <v>Mexico</v>
      </c>
      <c r="G2028">
        <f>INDEX(northwind_orders[],MATCH(northwind_order_details[[#This Row],[order_id]], northwind_orders[order_id], 0), MATCH("employee_id", northwind_orders[#Headers], 0))</f>
        <v>1</v>
      </c>
      <c r="H2028">
        <f>northwind_order_details[[#This Row],[unit_price]]*northwind_order_details[[#This Row],[quantity]]</f>
        <v>360</v>
      </c>
      <c r="I2028" s="1">
        <f>northwind_order_details[[#This Row],[purchase amount]]*northwind_order_details[[#This Row],[discount]]</f>
        <v>0</v>
      </c>
      <c r="J2028" s="1">
        <f>northwind_order_details[[#This Row],[purchase amount]]-northwind_order_details[[#This Row],[discount amount]]</f>
        <v>360</v>
      </c>
      <c r="K2028" s="6" t="str">
        <f>IF(northwind_order_details[[#This Row],[discount amount]]&gt;0,"Yes","No")</f>
        <v>No</v>
      </c>
      <c r="L2028" s="1" t="str">
        <f>IF(northwind_order_details[[#This Row],[Revenue]]&gt;1000,"High",IF(northwind_order_details[[#This Row],[Revenue]]&gt;300,"Medium","Low"))</f>
        <v>Medium</v>
      </c>
      <c r="M2028" s="1" t="str">
        <f>IF(northwind_order_details[[#This Row],[unit_price]]=_xlfn.XLOOKUP(northwind_order_details[[#This Row],[product_id]],'Price Validation'!$D$2:$D$78,'Price Validation'!$E$2:$E$78),"Match","Mismatch")</f>
        <v>Mismatch</v>
      </c>
    </row>
  </sheetData>
  <conditionalFormatting sqref="M2:M2028">
    <cfRule type="expression" dxfId="1" priority="1">
      <formula>$M2="Mismatch"</formula>
    </cfRule>
  </conditionalFormatting>
  <dataValidations disablePrompts="1" count="1">
    <dataValidation type="list" allowBlank="1" showInputMessage="1" showErrorMessage="1" sqref="O1" xr:uid="{A5304F8E-468B-460E-9B3E-397C3B0E729E}">
      <formula1>#REF!</formula1>
    </dataValidation>
  </dataValidations>
  <pageMargins left="0.7" right="0.7" top="0.75" bottom="0.75" header="0.3" footer="0.3"/>
  <pageSetup paperSize="9" orientation="portrait" r:id="rId1"/>
  <ignoredErrors>
    <ignoredError sqref="Q22" formula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D4C-1C5F-4558-97F8-915E7E2D942A}">
  <dimension ref="A1:E2028"/>
  <sheetViews>
    <sheetView tabSelected="1" workbookViewId="0">
      <selection activeCell="B8" sqref="B8"/>
    </sheetView>
  </sheetViews>
  <sheetFormatPr defaultRowHeight="15" x14ac:dyDescent="0.25"/>
  <cols>
    <col min="1" max="1" width="17.5703125" customWidth="1"/>
    <col min="2" max="2" width="18.42578125" customWidth="1"/>
    <col min="4" max="4" width="13.140625" bestFit="1" customWidth="1"/>
    <col min="5" max="5" width="16.7109375" bestFit="1" customWidth="1"/>
    <col min="10" max="10" width="13.140625" bestFit="1" customWidth="1"/>
    <col min="11" max="11" width="16.7109375" bestFit="1" customWidth="1"/>
  </cols>
  <sheetData>
    <row r="1" spans="1:5" x14ac:dyDescent="0.25">
      <c r="A1" s="2" t="s">
        <v>1</v>
      </c>
      <c r="B1" s="2" t="s">
        <v>2</v>
      </c>
      <c r="D1" s="21" t="s">
        <v>528</v>
      </c>
      <c r="E1" t="s">
        <v>530</v>
      </c>
    </row>
    <row r="2" spans="1:5" x14ac:dyDescent="0.25">
      <c r="A2" s="3">
        <v>11</v>
      </c>
      <c r="B2" s="19">
        <v>14</v>
      </c>
      <c r="D2" s="22">
        <v>1</v>
      </c>
      <c r="E2" s="1">
        <v>18</v>
      </c>
    </row>
    <row r="3" spans="1:5" x14ac:dyDescent="0.25">
      <c r="A3" s="4">
        <v>42</v>
      </c>
      <c r="B3" s="20">
        <v>9.8000000000000007</v>
      </c>
      <c r="D3" s="22">
        <v>2</v>
      </c>
      <c r="E3" s="1">
        <v>19</v>
      </c>
    </row>
    <row r="4" spans="1:5" x14ac:dyDescent="0.25">
      <c r="A4" s="3">
        <v>72</v>
      </c>
      <c r="B4" s="19">
        <v>34.799999999999997</v>
      </c>
      <c r="D4" s="22">
        <v>3</v>
      </c>
      <c r="E4" s="1">
        <v>10</v>
      </c>
    </row>
    <row r="5" spans="1:5" x14ac:dyDescent="0.25">
      <c r="A5" s="4">
        <v>14</v>
      </c>
      <c r="B5" s="20">
        <v>18.600000000000001</v>
      </c>
      <c r="D5" s="22">
        <v>4</v>
      </c>
      <c r="E5" s="1">
        <v>22</v>
      </c>
    </row>
    <row r="6" spans="1:5" x14ac:dyDescent="0.25">
      <c r="A6" s="3">
        <v>51</v>
      </c>
      <c r="B6" s="19">
        <v>42.4</v>
      </c>
      <c r="D6" s="22">
        <v>5</v>
      </c>
      <c r="E6" s="1">
        <v>21.35</v>
      </c>
    </row>
    <row r="7" spans="1:5" x14ac:dyDescent="0.25">
      <c r="A7" s="4">
        <v>41</v>
      </c>
      <c r="B7" s="20">
        <v>7.7</v>
      </c>
      <c r="D7" s="22">
        <v>6</v>
      </c>
      <c r="E7" s="1">
        <v>25</v>
      </c>
    </row>
    <row r="8" spans="1:5" x14ac:dyDescent="0.25">
      <c r="A8" s="3">
        <v>51</v>
      </c>
      <c r="B8" s="19">
        <v>42.4</v>
      </c>
      <c r="D8" s="22">
        <v>7</v>
      </c>
      <c r="E8" s="1">
        <v>30</v>
      </c>
    </row>
    <row r="9" spans="1:5" x14ac:dyDescent="0.25">
      <c r="A9" s="4">
        <v>65</v>
      </c>
      <c r="B9" s="20">
        <v>16.8</v>
      </c>
      <c r="D9" s="22">
        <v>8</v>
      </c>
      <c r="E9" s="1">
        <v>40</v>
      </c>
    </row>
    <row r="10" spans="1:5" x14ac:dyDescent="0.25">
      <c r="A10" s="3">
        <v>22</v>
      </c>
      <c r="B10" s="19">
        <v>16.8</v>
      </c>
      <c r="D10" s="22">
        <v>9</v>
      </c>
      <c r="E10" s="1">
        <v>97</v>
      </c>
    </row>
    <row r="11" spans="1:5" x14ac:dyDescent="0.25">
      <c r="A11" s="4">
        <v>57</v>
      </c>
      <c r="B11" s="20">
        <v>15.6</v>
      </c>
      <c r="D11" s="22">
        <v>10</v>
      </c>
      <c r="E11" s="1">
        <v>31</v>
      </c>
    </row>
    <row r="12" spans="1:5" x14ac:dyDescent="0.25">
      <c r="A12" s="3">
        <v>65</v>
      </c>
      <c r="B12" s="19">
        <v>16.8</v>
      </c>
      <c r="D12" s="22">
        <v>11</v>
      </c>
      <c r="E12" s="1">
        <v>21</v>
      </c>
    </row>
    <row r="13" spans="1:5" x14ac:dyDescent="0.25">
      <c r="A13" s="4">
        <v>20</v>
      </c>
      <c r="B13" s="20">
        <v>64.8</v>
      </c>
      <c r="D13" s="22">
        <v>12</v>
      </c>
      <c r="E13" s="1">
        <v>38</v>
      </c>
    </row>
    <row r="14" spans="1:5" x14ac:dyDescent="0.25">
      <c r="A14" s="3">
        <v>33</v>
      </c>
      <c r="B14" s="19">
        <v>2</v>
      </c>
      <c r="D14" s="22">
        <v>13</v>
      </c>
      <c r="E14" s="1">
        <v>6</v>
      </c>
    </row>
    <row r="15" spans="1:5" x14ac:dyDescent="0.25">
      <c r="A15" s="4">
        <v>60</v>
      </c>
      <c r="B15" s="20">
        <v>27.2</v>
      </c>
      <c r="D15" s="22">
        <v>14</v>
      </c>
      <c r="E15" s="1">
        <v>23.25</v>
      </c>
    </row>
    <row r="16" spans="1:5" x14ac:dyDescent="0.25">
      <c r="A16" s="3">
        <v>31</v>
      </c>
      <c r="B16" s="19">
        <v>10</v>
      </c>
      <c r="D16" s="22">
        <v>15</v>
      </c>
      <c r="E16" s="1">
        <v>15.5</v>
      </c>
    </row>
    <row r="17" spans="1:5" x14ac:dyDescent="0.25">
      <c r="A17" s="4">
        <v>39</v>
      </c>
      <c r="B17" s="20">
        <v>14.4</v>
      </c>
      <c r="D17" s="22">
        <v>16</v>
      </c>
      <c r="E17" s="1">
        <v>17.45</v>
      </c>
    </row>
    <row r="18" spans="1:5" x14ac:dyDescent="0.25">
      <c r="A18" s="3">
        <v>49</v>
      </c>
      <c r="B18" s="19">
        <v>16</v>
      </c>
      <c r="D18" s="22">
        <v>17</v>
      </c>
      <c r="E18" s="1">
        <v>39</v>
      </c>
    </row>
    <row r="19" spans="1:5" x14ac:dyDescent="0.25">
      <c r="A19" s="4">
        <v>24</v>
      </c>
      <c r="B19" s="20">
        <v>3.6</v>
      </c>
      <c r="D19" s="22">
        <v>18</v>
      </c>
      <c r="E19" s="1">
        <v>62.5</v>
      </c>
    </row>
    <row r="20" spans="1:5" x14ac:dyDescent="0.25">
      <c r="A20" s="3">
        <v>55</v>
      </c>
      <c r="B20" s="19">
        <v>19.2</v>
      </c>
      <c r="D20" s="22">
        <v>19</v>
      </c>
      <c r="E20" s="1">
        <v>9.1999999999999993</v>
      </c>
    </row>
    <row r="21" spans="1:5" x14ac:dyDescent="0.25">
      <c r="A21" s="4">
        <v>74</v>
      </c>
      <c r="B21" s="20">
        <v>8</v>
      </c>
      <c r="D21" s="22">
        <v>20</v>
      </c>
      <c r="E21" s="1">
        <v>81</v>
      </c>
    </row>
    <row r="22" spans="1:5" x14ac:dyDescent="0.25">
      <c r="A22" s="3">
        <v>2</v>
      </c>
      <c r="B22" s="19">
        <v>15.2</v>
      </c>
      <c r="D22" s="22">
        <v>21</v>
      </c>
      <c r="E22" s="1">
        <v>10</v>
      </c>
    </row>
    <row r="23" spans="1:5" x14ac:dyDescent="0.25">
      <c r="A23" s="4">
        <v>16</v>
      </c>
      <c r="B23" s="20">
        <v>13.9</v>
      </c>
      <c r="D23" s="22">
        <v>22</v>
      </c>
      <c r="E23" s="1">
        <v>21</v>
      </c>
    </row>
    <row r="24" spans="1:5" x14ac:dyDescent="0.25">
      <c r="A24" s="3">
        <v>36</v>
      </c>
      <c r="B24" s="19">
        <v>15.2</v>
      </c>
      <c r="D24" s="22">
        <v>23</v>
      </c>
      <c r="E24" s="1">
        <v>9</v>
      </c>
    </row>
    <row r="25" spans="1:5" x14ac:dyDescent="0.25">
      <c r="A25" s="4">
        <v>59</v>
      </c>
      <c r="B25" s="20">
        <v>44</v>
      </c>
      <c r="D25" s="22">
        <v>24</v>
      </c>
      <c r="E25" s="1">
        <v>4.5</v>
      </c>
    </row>
    <row r="26" spans="1:5" x14ac:dyDescent="0.25">
      <c r="A26" s="3">
        <v>53</v>
      </c>
      <c r="B26" s="19">
        <v>26.2</v>
      </c>
      <c r="D26" s="22">
        <v>25</v>
      </c>
      <c r="E26" s="1">
        <v>14</v>
      </c>
    </row>
    <row r="27" spans="1:5" x14ac:dyDescent="0.25">
      <c r="A27" s="4">
        <v>77</v>
      </c>
      <c r="B27" s="20">
        <v>10.4</v>
      </c>
      <c r="D27" s="22">
        <v>26</v>
      </c>
      <c r="E27" s="1">
        <v>31.23</v>
      </c>
    </row>
    <row r="28" spans="1:5" x14ac:dyDescent="0.25">
      <c r="A28" s="3">
        <v>27</v>
      </c>
      <c r="B28" s="19">
        <v>35.1</v>
      </c>
      <c r="D28" s="22">
        <v>27</v>
      </c>
      <c r="E28" s="1">
        <v>43.9</v>
      </c>
    </row>
    <row r="29" spans="1:5" x14ac:dyDescent="0.25">
      <c r="A29" s="4">
        <v>39</v>
      </c>
      <c r="B29" s="20">
        <v>14.4</v>
      </c>
      <c r="D29" s="22">
        <v>28</v>
      </c>
      <c r="E29" s="1">
        <v>45.6</v>
      </c>
    </row>
    <row r="30" spans="1:5" x14ac:dyDescent="0.25">
      <c r="A30" s="3">
        <v>77</v>
      </c>
      <c r="B30" s="19">
        <v>10.4</v>
      </c>
      <c r="D30" s="22">
        <v>29</v>
      </c>
      <c r="E30" s="1">
        <v>123.79</v>
      </c>
    </row>
    <row r="31" spans="1:5" x14ac:dyDescent="0.25">
      <c r="A31" s="4">
        <v>2</v>
      </c>
      <c r="B31" s="20">
        <v>15.2</v>
      </c>
      <c r="D31" s="22">
        <v>30</v>
      </c>
      <c r="E31" s="1">
        <v>25.89</v>
      </c>
    </row>
    <row r="32" spans="1:5" x14ac:dyDescent="0.25">
      <c r="A32" s="3">
        <v>5</v>
      </c>
      <c r="B32" s="19">
        <v>17</v>
      </c>
      <c r="D32" s="22">
        <v>31</v>
      </c>
      <c r="E32" s="1">
        <v>12.5</v>
      </c>
    </row>
    <row r="33" spans="1:5" x14ac:dyDescent="0.25">
      <c r="A33" s="4">
        <v>32</v>
      </c>
      <c r="B33" s="20">
        <v>25.6</v>
      </c>
      <c r="D33" s="22">
        <v>32</v>
      </c>
      <c r="E33" s="1">
        <v>32</v>
      </c>
    </row>
    <row r="34" spans="1:5" x14ac:dyDescent="0.25">
      <c r="A34" s="3">
        <v>21</v>
      </c>
      <c r="B34" s="19">
        <v>8</v>
      </c>
      <c r="D34" s="22">
        <v>33</v>
      </c>
      <c r="E34" s="1">
        <v>2.5</v>
      </c>
    </row>
    <row r="35" spans="1:5" x14ac:dyDescent="0.25">
      <c r="A35" s="4">
        <v>37</v>
      </c>
      <c r="B35" s="20">
        <v>20.8</v>
      </c>
      <c r="D35" s="22">
        <v>34</v>
      </c>
      <c r="E35" s="1">
        <v>14</v>
      </c>
    </row>
    <row r="36" spans="1:5" x14ac:dyDescent="0.25">
      <c r="A36" s="3">
        <v>41</v>
      </c>
      <c r="B36" s="19">
        <v>7.7</v>
      </c>
      <c r="D36" s="22">
        <v>35</v>
      </c>
      <c r="E36" s="1">
        <v>18</v>
      </c>
    </row>
    <row r="37" spans="1:5" x14ac:dyDescent="0.25">
      <c r="A37" s="4">
        <v>57</v>
      </c>
      <c r="B37" s="20">
        <v>15.6</v>
      </c>
      <c r="D37" s="22">
        <v>36</v>
      </c>
      <c r="E37" s="1">
        <v>19</v>
      </c>
    </row>
    <row r="38" spans="1:5" x14ac:dyDescent="0.25">
      <c r="A38" s="3">
        <v>62</v>
      </c>
      <c r="B38" s="19">
        <v>39.4</v>
      </c>
      <c r="D38" s="22">
        <v>37</v>
      </c>
      <c r="E38" s="1">
        <v>26</v>
      </c>
    </row>
    <row r="39" spans="1:5" x14ac:dyDescent="0.25">
      <c r="A39" s="4">
        <v>70</v>
      </c>
      <c r="B39" s="20">
        <v>12</v>
      </c>
      <c r="D39" s="22">
        <v>38</v>
      </c>
      <c r="E39" s="1">
        <v>263.5</v>
      </c>
    </row>
    <row r="40" spans="1:5" x14ac:dyDescent="0.25">
      <c r="A40" s="3">
        <v>21</v>
      </c>
      <c r="B40" s="19">
        <v>8</v>
      </c>
      <c r="D40" s="22">
        <v>39</v>
      </c>
      <c r="E40" s="1">
        <v>18</v>
      </c>
    </row>
    <row r="41" spans="1:5" x14ac:dyDescent="0.25">
      <c r="A41" s="4">
        <v>35</v>
      </c>
      <c r="B41" s="20">
        <v>14.4</v>
      </c>
      <c r="D41" s="22">
        <v>40</v>
      </c>
      <c r="E41" s="1">
        <v>18.399999999999999</v>
      </c>
    </row>
    <row r="42" spans="1:5" x14ac:dyDescent="0.25">
      <c r="A42" s="3">
        <v>5</v>
      </c>
      <c r="B42" s="19">
        <v>17</v>
      </c>
      <c r="D42" s="22">
        <v>41</v>
      </c>
      <c r="E42" s="1">
        <v>9.65</v>
      </c>
    </row>
    <row r="43" spans="1:5" x14ac:dyDescent="0.25">
      <c r="A43" s="4">
        <v>7</v>
      </c>
      <c r="B43" s="20">
        <v>24</v>
      </c>
      <c r="D43" s="22">
        <v>42</v>
      </c>
      <c r="E43" s="1">
        <v>14</v>
      </c>
    </row>
    <row r="44" spans="1:5" x14ac:dyDescent="0.25">
      <c r="A44" s="3">
        <v>56</v>
      </c>
      <c r="B44" s="19">
        <v>30.4</v>
      </c>
      <c r="D44" s="22">
        <v>43</v>
      </c>
      <c r="E44" s="1">
        <v>46</v>
      </c>
    </row>
    <row r="45" spans="1:5" x14ac:dyDescent="0.25">
      <c r="A45" s="4">
        <v>16</v>
      </c>
      <c r="B45" s="20">
        <v>13.9</v>
      </c>
      <c r="D45" s="22">
        <v>44</v>
      </c>
      <c r="E45" s="1">
        <v>19.45</v>
      </c>
    </row>
    <row r="46" spans="1:5" x14ac:dyDescent="0.25">
      <c r="A46" s="3">
        <v>24</v>
      </c>
      <c r="B46" s="19">
        <v>3.6</v>
      </c>
      <c r="D46" s="22">
        <v>45</v>
      </c>
      <c r="E46" s="1">
        <v>9.5</v>
      </c>
    </row>
    <row r="47" spans="1:5" x14ac:dyDescent="0.25">
      <c r="A47" s="4">
        <v>30</v>
      </c>
      <c r="B47" s="20">
        <v>20.7</v>
      </c>
      <c r="D47" s="22">
        <v>46</v>
      </c>
      <c r="E47" s="1">
        <v>12</v>
      </c>
    </row>
    <row r="48" spans="1:5" x14ac:dyDescent="0.25">
      <c r="A48" s="3">
        <v>74</v>
      </c>
      <c r="B48" s="19">
        <v>8</v>
      </c>
      <c r="D48" s="22">
        <v>47</v>
      </c>
      <c r="E48" s="1">
        <v>9.5</v>
      </c>
    </row>
    <row r="49" spans="1:5" x14ac:dyDescent="0.25">
      <c r="A49" s="4">
        <v>2</v>
      </c>
      <c r="B49" s="20">
        <v>15.2</v>
      </c>
      <c r="D49" s="22">
        <v>48</v>
      </c>
      <c r="E49" s="1">
        <v>12.75</v>
      </c>
    </row>
    <row r="50" spans="1:5" x14ac:dyDescent="0.25">
      <c r="A50" s="3">
        <v>41</v>
      </c>
      <c r="B50" s="19">
        <v>7.7</v>
      </c>
      <c r="D50" s="22">
        <v>49</v>
      </c>
      <c r="E50" s="1">
        <v>20</v>
      </c>
    </row>
    <row r="51" spans="1:5" x14ac:dyDescent="0.25">
      <c r="A51" s="4">
        <v>17</v>
      </c>
      <c r="B51" s="20">
        <v>31.2</v>
      </c>
      <c r="D51" s="22">
        <v>50</v>
      </c>
      <c r="E51" s="1">
        <v>16.25</v>
      </c>
    </row>
    <row r="52" spans="1:5" x14ac:dyDescent="0.25">
      <c r="A52" s="3">
        <v>70</v>
      </c>
      <c r="B52" s="19">
        <v>12</v>
      </c>
      <c r="D52" s="22">
        <v>51</v>
      </c>
      <c r="E52" s="1">
        <v>53</v>
      </c>
    </row>
    <row r="53" spans="1:5" x14ac:dyDescent="0.25">
      <c r="A53" s="4">
        <v>12</v>
      </c>
      <c r="B53" s="20">
        <v>30.4</v>
      </c>
      <c r="D53" s="22">
        <v>52</v>
      </c>
      <c r="E53" s="1">
        <v>7</v>
      </c>
    </row>
    <row r="54" spans="1:5" x14ac:dyDescent="0.25">
      <c r="A54" s="3">
        <v>40</v>
      </c>
      <c r="B54" s="19">
        <v>14.7</v>
      </c>
      <c r="D54" s="22">
        <v>53</v>
      </c>
      <c r="E54" s="1">
        <v>32.799999999999997</v>
      </c>
    </row>
    <row r="55" spans="1:5" x14ac:dyDescent="0.25">
      <c r="A55" s="4">
        <v>59</v>
      </c>
      <c r="B55" s="20">
        <v>44</v>
      </c>
      <c r="D55" s="22">
        <v>54</v>
      </c>
      <c r="E55" s="1">
        <v>7.45</v>
      </c>
    </row>
    <row r="56" spans="1:5" x14ac:dyDescent="0.25">
      <c r="A56" s="3">
        <v>76</v>
      </c>
      <c r="B56" s="19">
        <v>14.4</v>
      </c>
      <c r="D56" s="22">
        <v>55</v>
      </c>
      <c r="E56" s="1">
        <v>24</v>
      </c>
    </row>
    <row r="57" spans="1:5" x14ac:dyDescent="0.25">
      <c r="A57" s="4">
        <v>29</v>
      </c>
      <c r="B57" s="20">
        <v>99</v>
      </c>
      <c r="D57" s="22">
        <v>56</v>
      </c>
      <c r="E57" s="1">
        <v>38</v>
      </c>
    </row>
    <row r="58" spans="1:5" x14ac:dyDescent="0.25">
      <c r="A58" s="3">
        <v>72</v>
      </c>
      <c r="B58" s="19">
        <v>27.8</v>
      </c>
      <c r="D58" s="22">
        <v>57</v>
      </c>
      <c r="E58" s="1">
        <v>19.5</v>
      </c>
    </row>
    <row r="59" spans="1:5" x14ac:dyDescent="0.25">
      <c r="A59" s="4">
        <v>33</v>
      </c>
      <c r="B59" s="20">
        <v>2</v>
      </c>
      <c r="D59" s="22">
        <v>58</v>
      </c>
      <c r="E59" s="1">
        <v>13.25</v>
      </c>
    </row>
    <row r="60" spans="1:5" x14ac:dyDescent="0.25">
      <c r="A60" s="3">
        <v>72</v>
      </c>
      <c r="B60" s="19">
        <v>27.8</v>
      </c>
      <c r="D60" s="22">
        <v>59</v>
      </c>
      <c r="E60" s="1">
        <v>55</v>
      </c>
    </row>
    <row r="61" spans="1:5" x14ac:dyDescent="0.25">
      <c r="A61" s="4">
        <v>36</v>
      </c>
      <c r="B61" s="20">
        <v>15.2</v>
      </c>
      <c r="D61" s="22">
        <v>60</v>
      </c>
      <c r="E61" s="1">
        <v>34</v>
      </c>
    </row>
    <row r="62" spans="1:5" x14ac:dyDescent="0.25">
      <c r="A62" s="3">
        <v>43</v>
      </c>
      <c r="B62" s="19">
        <v>36.799999999999997</v>
      </c>
      <c r="D62" s="22">
        <v>61</v>
      </c>
      <c r="E62" s="1">
        <v>28.5</v>
      </c>
    </row>
    <row r="63" spans="1:5" x14ac:dyDescent="0.25">
      <c r="A63" s="4">
        <v>33</v>
      </c>
      <c r="B63" s="20">
        <v>2</v>
      </c>
      <c r="D63" s="22">
        <v>62</v>
      </c>
      <c r="E63" s="1">
        <v>49.3</v>
      </c>
    </row>
    <row r="64" spans="1:5" x14ac:dyDescent="0.25">
      <c r="A64" s="3">
        <v>20</v>
      </c>
      <c r="B64" s="19">
        <v>64.8</v>
      </c>
      <c r="D64" s="22">
        <v>63</v>
      </c>
      <c r="E64" s="1">
        <v>43.9</v>
      </c>
    </row>
    <row r="65" spans="1:5" x14ac:dyDescent="0.25">
      <c r="A65" s="4">
        <v>31</v>
      </c>
      <c r="B65" s="20">
        <v>10</v>
      </c>
      <c r="D65" s="22">
        <v>64</v>
      </c>
      <c r="E65" s="1">
        <v>33.25</v>
      </c>
    </row>
    <row r="66" spans="1:5" x14ac:dyDescent="0.25">
      <c r="A66" s="3">
        <v>72</v>
      </c>
      <c r="B66" s="19">
        <v>27.8</v>
      </c>
      <c r="D66" s="22">
        <v>65</v>
      </c>
      <c r="E66" s="1">
        <v>21.05</v>
      </c>
    </row>
    <row r="67" spans="1:5" x14ac:dyDescent="0.25">
      <c r="A67" s="4">
        <v>10</v>
      </c>
      <c r="B67" s="20">
        <v>24.8</v>
      </c>
      <c r="D67" s="22">
        <v>66</v>
      </c>
      <c r="E67" s="1">
        <v>17</v>
      </c>
    </row>
    <row r="68" spans="1:5" x14ac:dyDescent="0.25">
      <c r="A68" s="3">
        <v>31</v>
      </c>
      <c r="B68" s="19">
        <v>10</v>
      </c>
      <c r="D68" s="22">
        <v>67</v>
      </c>
      <c r="E68" s="1">
        <v>14</v>
      </c>
    </row>
    <row r="69" spans="1:5" x14ac:dyDescent="0.25">
      <c r="A69" s="4">
        <v>33</v>
      </c>
      <c r="B69" s="20">
        <v>2</v>
      </c>
      <c r="D69" s="22">
        <v>68</v>
      </c>
      <c r="E69" s="1">
        <v>12.5</v>
      </c>
    </row>
    <row r="70" spans="1:5" x14ac:dyDescent="0.25">
      <c r="A70" s="3">
        <v>40</v>
      </c>
      <c r="B70" s="19">
        <v>14.7</v>
      </c>
      <c r="D70" s="22">
        <v>69</v>
      </c>
      <c r="E70" s="1">
        <v>36</v>
      </c>
    </row>
    <row r="71" spans="1:5" x14ac:dyDescent="0.25">
      <c r="A71" s="4">
        <v>76</v>
      </c>
      <c r="B71" s="20">
        <v>14.4</v>
      </c>
      <c r="D71" s="22">
        <v>70</v>
      </c>
      <c r="E71" s="1">
        <v>15</v>
      </c>
    </row>
    <row r="72" spans="1:5" x14ac:dyDescent="0.25">
      <c r="A72" s="3">
        <v>71</v>
      </c>
      <c r="B72" s="19">
        <v>17.2</v>
      </c>
      <c r="D72" s="22">
        <v>71</v>
      </c>
      <c r="E72" s="1">
        <v>21.5</v>
      </c>
    </row>
    <row r="73" spans="1:5" x14ac:dyDescent="0.25">
      <c r="A73" s="4">
        <v>72</v>
      </c>
      <c r="B73" s="20">
        <v>27.8</v>
      </c>
      <c r="D73" s="22">
        <v>72</v>
      </c>
      <c r="E73" s="1">
        <v>34.799999999999997</v>
      </c>
    </row>
    <row r="74" spans="1:5" x14ac:dyDescent="0.25">
      <c r="A74" s="3">
        <v>24</v>
      </c>
      <c r="B74" s="19">
        <v>3.6</v>
      </c>
      <c r="D74" s="22">
        <v>73</v>
      </c>
      <c r="E74" s="1">
        <v>15</v>
      </c>
    </row>
    <row r="75" spans="1:5" x14ac:dyDescent="0.25">
      <c r="A75" s="4">
        <v>59</v>
      </c>
      <c r="B75" s="20">
        <v>44</v>
      </c>
      <c r="D75" s="22">
        <v>74</v>
      </c>
      <c r="E75" s="1">
        <v>10</v>
      </c>
    </row>
    <row r="76" spans="1:5" x14ac:dyDescent="0.25">
      <c r="A76" s="3">
        <v>10</v>
      </c>
      <c r="B76" s="19">
        <v>24.8</v>
      </c>
      <c r="D76" s="22">
        <v>75</v>
      </c>
      <c r="E76" s="1">
        <v>7.75</v>
      </c>
    </row>
    <row r="77" spans="1:5" x14ac:dyDescent="0.25">
      <c r="A77" s="4">
        <v>13</v>
      </c>
      <c r="B77" s="20">
        <v>4.8</v>
      </c>
      <c r="D77" s="22">
        <v>76</v>
      </c>
      <c r="E77" s="1">
        <v>18</v>
      </c>
    </row>
    <row r="78" spans="1:5" x14ac:dyDescent="0.25">
      <c r="A78" s="3">
        <v>28</v>
      </c>
      <c r="B78" s="19">
        <v>36.4</v>
      </c>
      <c r="D78" s="22">
        <v>77</v>
      </c>
      <c r="E78" s="1">
        <v>13</v>
      </c>
    </row>
    <row r="79" spans="1:5" x14ac:dyDescent="0.25">
      <c r="A79" s="4">
        <v>62</v>
      </c>
      <c r="B79" s="20">
        <v>39.4</v>
      </c>
      <c r="D79" s="22" t="s">
        <v>529</v>
      </c>
      <c r="E79" s="1">
        <v>263.5</v>
      </c>
    </row>
    <row r="80" spans="1:5" x14ac:dyDescent="0.25">
      <c r="A80" s="3">
        <v>44</v>
      </c>
      <c r="B80" s="19">
        <v>15.5</v>
      </c>
    </row>
    <row r="81" spans="1:2" x14ac:dyDescent="0.25">
      <c r="A81" s="4">
        <v>59</v>
      </c>
      <c r="B81" s="20">
        <v>44</v>
      </c>
    </row>
    <row r="82" spans="1:2" x14ac:dyDescent="0.25">
      <c r="A82" s="3">
        <v>63</v>
      </c>
      <c r="B82" s="19">
        <v>35.1</v>
      </c>
    </row>
    <row r="83" spans="1:2" x14ac:dyDescent="0.25">
      <c r="A83" s="4">
        <v>73</v>
      </c>
      <c r="B83" s="20">
        <v>12</v>
      </c>
    </row>
    <row r="84" spans="1:2" x14ac:dyDescent="0.25">
      <c r="A84" s="3">
        <v>17</v>
      </c>
      <c r="B84" s="19">
        <v>31.2</v>
      </c>
    </row>
    <row r="85" spans="1:2" x14ac:dyDescent="0.25">
      <c r="A85" s="4">
        <v>24</v>
      </c>
      <c r="B85" s="20">
        <v>3.6</v>
      </c>
    </row>
    <row r="86" spans="1:2" x14ac:dyDescent="0.25">
      <c r="A86" s="3">
        <v>55</v>
      </c>
      <c r="B86" s="19">
        <v>19.2</v>
      </c>
    </row>
    <row r="87" spans="1:2" x14ac:dyDescent="0.25">
      <c r="A87" s="4">
        <v>75</v>
      </c>
      <c r="B87" s="20">
        <v>6.2</v>
      </c>
    </row>
    <row r="88" spans="1:2" x14ac:dyDescent="0.25">
      <c r="A88" s="3">
        <v>19</v>
      </c>
      <c r="B88" s="19">
        <v>7.3</v>
      </c>
    </row>
    <row r="89" spans="1:2" x14ac:dyDescent="0.25">
      <c r="A89" s="4">
        <v>24</v>
      </c>
      <c r="B89" s="20">
        <v>3.6</v>
      </c>
    </row>
    <row r="90" spans="1:2" x14ac:dyDescent="0.25">
      <c r="A90" s="3">
        <v>35</v>
      </c>
      <c r="B90" s="19">
        <v>14.4</v>
      </c>
    </row>
    <row r="91" spans="1:2" x14ac:dyDescent="0.25">
      <c r="A91" s="4">
        <v>30</v>
      </c>
      <c r="B91" s="20">
        <v>20.7</v>
      </c>
    </row>
    <row r="92" spans="1:2" x14ac:dyDescent="0.25">
      <c r="A92" s="3">
        <v>57</v>
      </c>
      <c r="B92" s="19">
        <v>15.6</v>
      </c>
    </row>
    <row r="93" spans="1:2" x14ac:dyDescent="0.25">
      <c r="A93" s="4">
        <v>15</v>
      </c>
      <c r="B93" s="20">
        <v>12.4</v>
      </c>
    </row>
    <row r="94" spans="1:2" x14ac:dyDescent="0.25">
      <c r="A94" s="3">
        <v>19</v>
      </c>
      <c r="B94" s="19">
        <v>7.3</v>
      </c>
    </row>
    <row r="95" spans="1:2" x14ac:dyDescent="0.25">
      <c r="A95" s="4">
        <v>60</v>
      </c>
      <c r="B95" s="20">
        <v>27.2</v>
      </c>
    </row>
    <row r="96" spans="1:2" x14ac:dyDescent="0.25">
      <c r="A96" s="3">
        <v>72</v>
      </c>
      <c r="B96" s="19">
        <v>27.8</v>
      </c>
    </row>
    <row r="97" spans="1:2" x14ac:dyDescent="0.25">
      <c r="A97" s="4">
        <v>27</v>
      </c>
      <c r="B97" s="20">
        <v>35.1</v>
      </c>
    </row>
    <row r="98" spans="1:2" x14ac:dyDescent="0.25">
      <c r="A98" s="3">
        <v>44</v>
      </c>
      <c r="B98" s="19">
        <v>15.5</v>
      </c>
    </row>
    <row r="99" spans="1:2" x14ac:dyDescent="0.25">
      <c r="A99" s="4">
        <v>60</v>
      </c>
      <c r="B99" s="20">
        <v>27.2</v>
      </c>
    </row>
    <row r="100" spans="1:2" x14ac:dyDescent="0.25">
      <c r="A100" s="3">
        <v>67</v>
      </c>
      <c r="B100" s="19">
        <v>11.2</v>
      </c>
    </row>
    <row r="101" spans="1:2" x14ac:dyDescent="0.25">
      <c r="A101" s="4">
        <v>1</v>
      </c>
      <c r="B101" s="20">
        <v>14.4</v>
      </c>
    </row>
    <row r="102" spans="1:2" x14ac:dyDescent="0.25">
      <c r="A102" s="3">
        <v>40</v>
      </c>
      <c r="B102" s="19">
        <v>14.7</v>
      </c>
    </row>
    <row r="103" spans="1:2" x14ac:dyDescent="0.25">
      <c r="A103" s="4">
        <v>53</v>
      </c>
      <c r="B103" s="20">
        <v>26.2</v>
      </c>
    </row>
    <row r="104" spans="1:2" x14ac:dyDescent="0.25">
      <c r="A104" s="3">
        <v>35</v>
      </c>
      <c r="B104" s="19">
        <v>14.4</v>
      </c>
    </row>
    <row r="105" spans="1:2" x14ac:dyDescent="0.25">
      <c r="A105" s="4">
        <v>62</v>
      </c>
      <c r="B105" s="20">
        <v>39.4</v>
      </c>
    </row>
    <row r="106" spans="1:2" x14ac:dyDescent="0.25">
      <c r="A106" s="3">
        <v>16</v>
      </c>
      <c r="B106" s="19">
        <v>13.9</v>
      </c>
    </row>
    <row r="107" spans="1:2" x14ac:dyDescent="0.25">
      <c r="A107" s="4">
        <v>34</v>
      </c>
      <c r="B107" s="20">
        <v>11.2</v>
      </c>
    </row>
    <row r="108" spans="1:2" x14ac:dyDescent="0.25">
      <c r="A108" s="3">
        <v>46</v>
      </c>
      <c r="B108" s="19">
        <v>9.6</v>
      </c>
    </row>
    <row r="109" spans="1:2" x14ac:dyDescent="0.25">
      <c r="A109" s="4">
        <v>54</v>
      </c>
      <c r="B109" s="20">
        <v>5.9</v>
      </c>
    </row>
    <row r="110" spans="1:2" x14ac:dyDescent="0.25">
      <c r="A110" s="3">
        <v>68</v>
      </c>
      <c r="B110" s="19">
        <v>10</v>
      </c>
    </row>
    <row r="111" spans="1:2" x14ac:dyDescent="0.25">
      <c r="A111" s="4">
        <v>3</v>
      </c>
      <c r="B111" s="20">
        <v>8</v>
      </c>
    </row>
    <row r="112" spans="1:2" x14ac:dyDescent="0.25">
      <c r="A112" s="3">
        <v>64</v>
      </c>
      <c r="B112" s="19">
        <v>26.6</v>
      </c>
    </row>
    <row r="113" spans="1:2" x14ac:dyDescent="0.25">
      <c r="A113" s="4">
        <v>5</v>
      </c>
      <c r="B113" s="20">
        <v>17</v>
      </c>
    </row>
    <row r="114" spans="1:2" x14ac:dyDescent="0.25">
      <c r="A114" s="3">
        <v>29</v>
      </c>
      <c r="B114" s="19">
        <v>99</v>
      </c>
    </row>
    <row r="115" spans="1:2" x14ac:dyDescent="0.25">
      <c r="A115" s="4">
        <v>49</v>
      </c>
      <c r="B115" s="20">
        <v>16</v>
      </c>
    </row>
    <row r="116" spans="1:2" x14ac:dyDescent="0.25">
      <c r="A116" s="3">
        <v>77</v>
      </c>
      <c r="B116" s="19">
        <v>10.4</v>
      </c>
    </row>
    <row r="117" spans="1:2" x14ac:dyDescent="0.25">
      <c r="A117" s="4">
        <v>13</v>
      </c>
      <c r="B117" s="20">
        <v>4.8</v>
      </c>
    </row>
    <row r="118" spans="1:2" x14ac:dyDescent="0.25">
      <c r="A118" s="3">
        <v>44</v>
      </c>
      <c r="B118" s="19">
        <v>15.5</v>
      </c>
    </row>
    <row r="119" spans="1:2" x14ac:dyDescent="0.25">
      <c r="A119" s="4">
        <v>51</v>
      </c>
      <c r="B119" s="20">
        <v>42.4</v>
      </c>
    </row>
    <row r="120" spans="1:2" x14ac:dyDescent="0.25">
      <c r="A120" s="3">
        <v>20</v>
      </c>
      <c r="B120" s="19">
        <v>64.8</v>
      </c>
    </row>
    <row r="121" spans="1:2" x14ac:dyDescent="0.25">
      <c r="A121" s="4">
        <v>18</v>
      </c>
      <c r="B121" s="20">
        <v>50</v>
      </c>
    </row>
    <row r="122" spans="1:2" x14ac:dyDescent="0.25">
      <c r="A122" s="3">
        <v>24</v>
      </c>
      <c r="B122" s="19">
        <v>3.6</v>
      </c>
    </row>
    <row r="123" spans="1:2" x14ac:dyDescent="0.25">
      <c r="A123" s="4">
        <v>63</v>
      </c>
      <c r="B123" s="20">
        <v>35.1</v>
      </c>
    </row>
    <row r="124" spans="1:2" x14ac:dyDescent="0.25">
      <c r="A124" s="3">
        <v>75</v>
      </c>
      <c r="B124" s="19">
        <v>6.2</v>
      </c>
    </row>
    <row r="125" spans="1:2" x14ac:dyDescent="0.25">
      <c r="A125" s="4">
        <v>1</v>
      </c>
      <c r="B125" s="20">
        <v>14.4</v>
      </c>
    </row>
    <row r="126" spans="1:2" x14ac:dyDescent="0.25">
      <c r="A126" s="3">
        <v>17</v>
      </c>
      <c r="B126" s="19">
        <v>31.2</v>
      </c>
    </row>
    <row r="127" spans="1:2" x14ac:dyDescent="0.25">
      <c r="A127" s="4">
        <v>43</v>
      </c>
      <c r="B127" s="20">
        <v>36.799999999999997</v>
      </c>
    </row>
    <row r="128" spans="1:2" x14ac:dyDescent="0.25">
      <c r="A128" s="3">
        <v>60</v>
      </c>
      <c r="B128" s="19">
        <v>27.2</v>
      </c>
    </row>
    <row r="129" spans="1:2" x14ac:dyDescent="0.25">
      <c r="A129" s="4">
        <v>75</v>
      </c>
      <c r="B129" s="20">
        <v>6.2</v>
      </c>
    </row>
    <row r="130" spans="1:2" x14ac:dyDescent="0.25">
      <c r="A130" s="3">
        <v>56</v>
      </c>
      <c r="B130" s="19">
        <v>30.4</v>
      </c>
    </row>
    <row r="131" spans="1:2" x14ac:dyDescent="0.25">
      <c r="A131" s="4">
        <v>11</v>
      </c>
      <c r="B131" s="20">
        <v>16.8</v>
      </c>
    </row>
    <row r="132" spans="1:2" x14ac:dyDescent="0.25">
      <c r="A132" s="3">
        <v>16</v>
      </c>
      <c r="B132" s="19">
        <v>13.9</v>
      </c>
    </row>
    <row r="133" spans="1:2" x14ac:dyDescent="0.25">
      <c r="A133" s="4">
        <v>69</v>
      </c>
      <c r="B133" s="20">
        <v>28.8</v>
      </c>
    </row>
    <row r="134" spans="1:2" x14ac:dyDescent="0.25">
      <c r="A134" s="3">
        <v>39</v>
      </c>
      <c r="B134" s="19">
        <v>14.4</v>
      </c>
    </row>
    <row r="135" spans="1:2" x14ac:dyDescent="0.25">
      <c r="A135" s="4">
        <v>72</v>
      </c>
      <c r="B135" s="20">
        <v>27.8</v>
      </c>
    </row>
    <row r="136" spans="1:2" x14ac:dyDescent="0.25">
      <c r="A136" s="3">
        <v>19</v>
      </c>
      <c r="B136" s="19">
        <v>7.3</v>
      </c>
    </row>
    <row r="137" spans="1:2" x14ac:dyDescent="0.25">
      <c r="A137" s="4">
        <v>70</v>
      </c>
      <c r="B137" s="20">
        <v>12</v>
      </c>
    </row>
    <row r="138" spans="1:2" x14ac:dyDescent="0.25">
      <c r="A138" s="3">
        <v>66</v>
      </c>
      <c r="B138" s="19">
        <v>13.6</v>
      </c>
    </row>
    <row r="139" spans="1:2" x14ac:dyDescent="0.25">
      <c r="A139" s="4">
        <v>68</v>
      </c>
      <c r="B139" s="20">
        <v>10</v>
      </c>
    </row>
    <row r="140" spans="1:2" x14ac:dyDescent="0.25">
      <c r="A140" s="3">
        <v>40</v>
      </c>
      <c r="B140" s="19">
        <v>14.7</v>
      </c>
    </row>
    <row r="141" spans="1:2" x14ac:dyDescent="0.25">
      <c r="A141" s="4">
        <v>56</v>
      </c>
      <c r="B141" s="20">
        <v>30.4</v>
      </c>
    </row>
    <row r="142" spans="1:2" x14ac:dyDescent="0.25">
      <c r="A142" s="3">
        <v>17</v>
      </c>
      <c r="B142" s="19">
        <v>31.2</v>
      </c>
    </row>
    <row r="143" spans="1:2" x14ac:dyDescent="0.25">
      <c r="A143" s="4">
        <v>28</v>
      </c>
      <c r="B143" s="20">
        <v>36.4</v>
      </c>
    </row>
    <row r="144" spans="1:2" x14ac:dyDescent="0.25">
      <c r="A144" s="3">
        <v>43</v>
      </c>
      <c r="B144" s="19">
        <v>36.799999999999997</v>
      </c>
    </row>
    <row r="145" spans="1:2" x14ac:dyDescent="0.25">
      <c r="A145" s="4">
        <v>40</v>
      </c>
      <c r="B145" s="20">
        <v>14.7</v>
      </c>
    </row>
    <row r="146" spans="1:2" x14ac:dyDescent="0.25">
      <c r="A146" s="3">
        <v>65</v>
      </c>
      <c r="B146" s="19">
        <v>16.8</v>
      </c>
    </row>
    <row r="147" spans="1:2" x14ac:dyDescent="0.25">
      <c r="A147" s="4">
        <v>68</v>
      </c>
      <c r="B147" s="20">
        <v>10</v>
      </c>
    </row>
    <row r="148" spans="1:2" x14ac:dyDescent="0.25">
      <c r="A148" s="3">
        <v>49</v>
      </c>
      <c r="B148" s="19">
        <v>16</v>
      </c>
    </row>
    <row r="149" spans="1:2" x14ac:dyDescent="0.25">
      <c r="A149" s="4">
        <v>59</v>
      </c>
      <c r="B149" s="20">
        <v>44</v>
      </c>
    </row>
    <row r="150" spans="1:2" x14ac:dyDescent="0.25">
      <c r="A150" s="3">
        <v>71</v>
      </c>
      <c r="B150" s="19">
        <v>17.2</v>
      </c>
    </row>
    <row r="151" spans="1:2" x14ac:dyDescent="0.25">
      <c r="A151" s="4">
        <v>18</v>
      </c>
      <c r="B151" s="20">
        <v>50</v>
      </c>
    </row>
    <row r="152" spans="1:2" x14ac:dyDescent="0.25">
      <c r="A152" s="3">
        <v>29</v>
      </c>
      <c r="B152" s="19">
        <v>99</v>
      </c>
    </row>
    <row r="153" spans="1:2" x14ac:dyDescent="0.25">
      <c r="A153" s="4">
        <v>39</v>
      </c>
      <c r="B153" s="20">
        <v>14.4</v>
      </c>
    </row>
    <row r="154" spans="1:2" x14ac:dyDescent="0.25">
      <c r="A154" s="3">
        <v>30</v>
      </c>
      <c r="B154" s="19">
        <v>20.7</v>
      </c>
    </row>
    <row r="155" spans="1:2" x14ac:dyDescent="0.25">
      <c r="A155" s="4">
        <v>53</v>
      </c>
      <c r="B155" s="20">
        <v>26.2</v>
      </c>
    </row>
    <row r="156" spans="1:2" x14ac:dyDescent="0.25">
      <c r="A156" s="3">
        <v>54</v>
      </c>
      <c r="B156" s="19">
        <v>5.9</v>
      </c>
    </row>
    <row r="157" spans="1:2" x14ac:dyDescent="0.25">
      <c r="A157" s="4">
        <v>62</v>
      </c>
      <c r="B157" s="20">
        <v>39.4</v>
      </c>
    </row>
    <row r="158" spans="1:2" x14ac:dyDescent="0.25">
      <c r="A158" s="3">
        <v>68</v>
      </c>
      <c r="B158" s="19">
        <v>10</v>
      </c>
    </row>
    <row r="159" spans="1:2" x14ac:dyDescent="0.25">
      <c r="A159" s="4">
        <v>69</v>
      </c>
      <c r="B159" s="20">
        <v>28.8</v>
      </c>
    </row>
    <row r="160" spans="1:2" x14ac:dyDescent="0.25">
      <c r="A160" s="3">
        <v>70</v>
      </c>
      <c r="B160" s="19">
        <v>12</v>
      </c>
    </row>
    <row r="161" spans="1:2" x14ac:dyDescent="0.25">
      <c r="A161" s="4">
        <v>16</v>
      </c>
      <c r="B161" s="20">
        <v>13.9</v>
      </c>
    </row>
    <row r="162" spans="1:2" x14ac:dyDescent="0.25">
      <c r="A162" s="3">
        <v>62</v>
      </c>
      <c r="B162" s="19">
        <v>39.4</v>
      </c>
    </row>
    <row r="163" spans="1:2" x14ac:dyDescent="0.25">
      <c r="A163" s="4">
        <v>42</v>
      </c>
      <c r="B163" s="20">
        <v>11.2</v>
      </c>
    </row>
    <row r="164" spans="1:2" x14ac:dyDescent="0.25">
      <c r="A164" s="3">
        <v>69</v>
      </c>
      <c r="B164" s="19">
        <v>28.8</v>
      </c>
    </row>
    <row r="165" spans="1:2" x14ac:dyDescent="0.25">
      <c r="A165" s="4">
        <v>28</v>
      </c>
      <c r="B165" s="20">
        <v>36.4</v>
      </c>
    </row>
    <row r="166" spans="1:2" x14ac:dyDescent="0.25">
      <c r="A166" s="3">
        <v>43</v>
      </c>
      <c r="B166" s="19">
        <v>36.799999999999997</v>
      </c>
    </row>
    <row r="167" spans="1:2" x14ac:dyDescent="0.25">
      <c r="A167" s="4">
        <v>53</v>
      </c>
      <c r="B167" s="20">
        <v>26.2</v>
      </c>
    </row>
    <row r="168" spans="1:2" x14ac:dyDescent="0.25">
      <c r="A168" s="3">
        <v>75</v>
      </c>
      <c r="B168" s="19">
        <v>6.2</v>
      </c>
    </row>
    <row r="169" spans="1:2" x14ac:dyDescent="0.25">
      <c r="A169" s="4">
        <v>36</v>
      </c>
      <c r="B169" s="20">
        <v>15.2</v>
      </c>
    </row>
    <row r="170" spans="1:2" x14ac:dyDescent="0.25">
      <c r="A170" s="3">
        <v>32</v>
      </c>
      <c r="B170" s="19">
        <v>25.6</v>
      </c>
    </row>
    <row r="171" spans="1:2" x14ac:dyDescent="0.25">
      <c r="A171" s="4">
        <v>58</v>
      </c>
      <c r="B171" s="20">
        <v>10.6</v>
      </c>
    </row>
    <row r="172" spans="1:2" x14ac:dyDescent="0.25">
      <c r="A172" s="3">
        <v>62</v>
      </c>
      <c r="B172" s="19">
        <v>39.4</v>
      </c>
    </row>
    <row r="173" spans="1:2" x14ac:dyDescent="0.25">
      <c r="A173" s="4">
        <v>34</v>
      </c>
      <c r="B173" s="20">
        <v>11.2</v>
      </c>
    </row>
    <row r="174" spans="1:2" x14ac:dyDescent="0.25">
      <c r="A174" s="3">
        <v>70</v>
      </c>
      <c r="B174" s="19">
        <v>12</v>
      </c>
    </row>
    <row r="175" spans="1:2" x14ac:dyDescent="0.25">
      <c r="A175" s="4">
        <v>41</v>
      </c>
      <c r="B175" s="20">
        <v>7.7</v>
      </c>
    </row>
    <row r="176" spans="1:2" x14ac:dyDescent="0.25">
      <c r="A176" s="3">
        <v>62</v>
      </c>
      <c r="B176" s="19">
        <v>39.4</v>
      </c>
    </row>
    <row r="177" spans="1:2" x14ac:dyDescent="0.25">
      <c r="A177" s="4">
        <v>1</v>
      </c>
      <c r="B177" s="20">
        <v>14.4</v>
      </c>
    </row>
    <row r="178" spans="1:2" x14ac:dyDescent="0.25">
      <c r="A178" s="3">
        <v>41</v>
      </c>
      <c r="B178" s="19">
        <v>7.7</v>
      </c>
    </row>
    <row r="179" spans="1:2" x14ac:dyDescent="0.25">
      <c r="A179" s="4">
        <v>76</v>
      </c>
      <c r="B179" s="20">
        <v>14.4</v>
      </c>
    </row>
    <row r="180" spans="1:2" x14ac:dyDescent="0.25">
      <c r="A180" s="3">
        <v>17</v>
      </c>
      <c r="B180" s="19">
        <v>31.2</v>
      </c>
    </row>
    <row r="181" spans="1:2" x14ac:dyDescent="0.25">
      <c r="A181" s="4">
        <v>28</v>
      </c>
      <c r="B181" s="20">
        <v>36.4</v>
      </c>
    </row>
    <row r="182" spans="1:2" x14ac:dyDescent="0.25">
      <c r="A182" s="3">
        <v>76</v>
      </c>
      <c r="B182" s="19">
        <v>14.4</v>
      </c>
    </row>
    <row r="183" spans="1:2" x14ac:dyDescent="0.25">
      <c r="A183" s="4">
        <v>71</v>
      </c>
      <c r="B183" s="20">
        <v>17.2</v>
      </c>
    </row>
    <row r="184" spans="1:2" x14ac:dyDescent="0.25">
      <c r="A184" s="3">
        <v>35</v>
      </c>
      <c r="B184" s="19">
        <v>14.4</v>
      </c>
    </row>
    <row r="185" spans="1:2" x14ac:dyDescent="0.25">
      <c r="A185" s="4">
        <v>52</v>
      </c>
      <c r="B185" s="20">
        <v>5.6</v>
      </c>
    </row>
    <row r="186" spans="1:2" x14ac:dyDescent="0.25">
      <c r="A186" s="3">
        <v>15</v>
      </c>
      <c r="B186" s="19">
        <v>12.4</v>
      </c>
    </row>
    <row r="187" spans="1:2" x14ac:dyDescent="0.25">
      <c r="A187" s="4">
        <v>25</v>
      </c>
      <c r="B187" s="20">
        <v>11.2</v>
      </c>
    </row>
    <row r="188" spans="1:2" x14ac:dyDescent="0.25">
      <c r="A188" s="3">
        <v>39</v>
      </c>
      <c r="B188" s="19">
        <v>14.4</v>
      </c>
    </row>
    <row r="189" spans="1:2" x14ac:dyDescent="0.25">
      <c r="A189" s="4">
        <v>16</v>
      </c>
      <c r="B189" s="20">
        <v>13.9</v>
      </c>
    </row>
    <row r="190" spans="1:2" x14ac:dyDescent="0.25">
      <c r="A190" s="3">
        <v>35</v>
      </c>
      <c r="B190" s="19">
        <v>14.4</v>
      </c>
    </row>
    <row r="191" spans="1:2" x14ac:dyDescent="0.25">
      <c r="A191" s="4">
        <v>46</v>
      </c>
      <c r="B191" s="20">
        <v>9.6</v>
      </c>
    </row>
    <row r="192" spans="1:2" x14ac:dyDescent="0.25">
      <c r="A192" s="3">
        <v>59</v>
      </c>
      <c r="B192" s="19">
        <v>44</v>
      </c>
    </row>
    <row r="193" spans="1:2" x14ac:dyDescent="0.25">
      <c r="A193" s="4">
        <v>63</v>
      </c>
      <c r="B193" s="20">
        <v>35.1</v>
      </c>
    </row>
    <row r="194" spans="1:2" x14ac:dyDescent="0.25">
      <c r="A194" s="3">
        <v>6</v>
      </c>
      <c r="B194" s="19">
        <v>20</v>
      </c>
    </row>
    <row r="195" spans="1:2" x14ac:dyDescent="0.25">
      <c r="A195" s="4">
        <v>13</v>
      </c>
      <c r="B195" s="20">
        <v>4.8</v>
      </c>
    </row>
    <row r="196" spans="1:2" x14ac:dyDescent="0.25">
      <c r="A196" s="3">
        <v>14</v>
      </c>
      <c r="B196" s="19">
        <v>18.600000000000001</v>
      </c>
    </row>
    <row r="197" spans="1:2" x14ac:dyDescent="0.25">
      <c r="A197" s="4">
        <v>31</v>
      </c>
      <c r="B197" s="20">
        <v>10</v>
      </c>
    </row>
    <row r="198" spans="1:2" x14ac:dyDescent="0.25">
      <c r="A198" s="3">
        <v>72</v>
      </c>
      <c r="B198" s="19">
        <v>27.8</v>
      </c>
    </row>
    <row r="199" spans="1:2" x14ac:dyDescent="0.25">
      <c r="A199" s="4">
        <v>4</v>
      </c>
      <c r="B199" s="20">
        <v>17.600000000000001</v>
      </c>
    </row>
    <row r="200" spans="1:2" x14ac:dyDescent="0.25">
      <c r="A200" s="3">
        <v>57</v>
      </c>
      <c r="B200" s="19">
        <v>15.6</v>
      </c>
    </row>
    <row r="201" spans="1:2" x14ac:dyDescent="0.25">
      <c r="A201" s="4">
        <v>75</v>
      </c>
      <c r="B201" s="20">
        <v>6.2</v>
      </c>
    </row>
    <row r="202" spans="1:2" x14ac:dyDescent="0.25">
      <c r="A202" s="3">
        <v>2</v>
      </c>
      <c r="B202" s="19">
        <v>15.2</v>
      </c>
    </row>
    <row r="203" spans="1:2" x14ac:dyDescent="0.25">
      <c r="A203" s="4">
        <v>11</v>
      </c>
      <c r="B203" s="20">
        <v>16.8</v>
      </c>
    </row>
    <row r="204" spans="1:2" x14ac:dyDescent="0.25">
      <c r="A204" s="3">
        <v>30</v>
      </c>
      <c r="B204" s="19">
        <v>20.7</v>
      </c>
    </row>
    <row r="205" spans="1:2" x14ac:dyDescent="0.25">
      <c r="A205" s="4">
        <v>58</v>
      </c>
      <c r="B205" s="20">
        <v>10.6</v>
      </c>
    </row>
    <row r="206" spans="1:2" x14ac:dyDescent="0.25">
      <c r="A206" s="3">
        <v>59</v>
      </c>
      <c r="B206" s="19">
        <v>44</v>
      </c>
    </row>
    <row r="207" spans="1:2" x14ac:dyDescent="0.25">
      <c r="A207" s="4">
        <v>65</v>
      </c>
      <c r="B207" s="20">
        <v>16.8</v>
      </c>
    </row>
    <row r="208" spans="1:2" x14ac:dyDescent="0.25">
      <c r="A208" s="3">
        <v>68</v>
      </c>
      <c r="B208" s="19">
        <v>10</v>
      </c>
    </row>
    <row r="209" spans="1:2" x14ac:dyDescent="0.25">
      <c r="A209" s="4">
        <v>19</v>
      </c>
      <c r="B209" s="20">
        <v>7.3</v>
      </c>
    </row>
    <row r="210" spans="1:2" x14ac:dyDescent="0.25">
      <c r="A210" s="3">
        <v>30</v>
      </c>
      <c r="B210" s="19">
        <v>20.7</v>
      </c>
    </row>
    <row r="211" spans="1:2" x14ac:dyDescent="0.25">
      <c r="A211" s="4">
        <v>38</v>
      </c>
      <c r="B211" s="20">
        <v>210.8</v>
      </c>
    </row>
    <row r="212" spans="1:2" x14ac:dyDescent="0.25">
      <c r="A212" s="3">
        <v>56</v>
      </c>
      <c r="B212" s="19">
        <v>30.4</v>
      </c>
    </row>
    <row r="213" spans="1:2" x14ac:dyDescent="0.25">
      <c r="A213" s="4">
        <v>26</v>
      </c>
      <c r="B213" s="20">
        <v>24.9</v>
      </c>
    </row>
    <row r="214" spans="1:2" x14ac:dyDescent="0.25">
      <c r="A214" s="3">
        <v>72</v>
      </c>
      <c r="B214" s="19">
        <v>27.8</v>
      </c>
    </row>
    <row r="215" spans="1:2" x14ac:dyDescent="0.25">
      <c r="A215" s="4">
        <v>54</v>
      </c>
      <c r="B215" s="20">
        <v>5.9</v>
      </c>
    </row>
    <row r="216" spans="1:2" x14ac:dyDescent="0.25">
      <c r="A216" s="3">
        <v>18</v>
      </c>
      <c r="B216" s="19">
        <v>50</v>
      </c>
    </row>
    <row r="217" spans="1:2" x14ac:dyDescent="0.25">
      <c r="A217" s="4">
        <v>42</v>
      </c>
      <c r="B217" s="20">
        <v>11.2</v>
      </c>
    </row>
    <row r="218" spans="1:2" x14ac:dyDescent="0.25">
      <c r="A218" s="3">
        <v>47</v>
      </c>
      <c r="B218" s="19">
        <v>7.6</v>
      </c>
    </row>
    <row r="219" spans="1:2" x14ac:dyDescent="0.25">
      <c r="A219" s="4">
        <v>14</v>
      </c>
      <c r="B219" s="20">
        <v>18.600000000000001</v>
      </c>
    </row>
    <row r="220" spans="1:2" x14ac:dyDescent="0.25">
      <c r="A220" s="3">
        <v>21</v>
      </c>
      <c r="B220" s="19">
        <v>8</v>
      </c>
    </row>
    <row r="221" spans="1:2" x14ac:dyDescent="0.25">
      <c r="A221" s="4">
        <v>71</v>
      </c>
      <c r="B221" s="20">
        <v>17.2</v>
      </c>
    </row>
    <row r="222" spans="1:2" x14ac:dyDescent="0.25">
      <c r="A222" s="3">
        <v>52</v>
      </c>
      <c r="B222" s="19">
        <v>5.6</v>
      </c>
    </row>
    <row r="223" spans="1:2" x14ac:dyDescent="0.25">
      <c r="A223" s="4">
        <v>68</v>
      </c>
      <c r="B223" s="20">
        <v>10</v>
      </c>
    </row>
    <row r="224" spans="1:2" x14ac:dyDescent="0.25">
      <c r="A224" s="3">
        <v>4</v>
      </c>
      <c r="B224" s="19">
        <v>17.600000000000001</v>
      </c>
    </row>
    <row r="225" spans="1:2" x14ac:dyDescent="0.25">
      <c r="A225" s="4">
        <v>23</v>
      </c>
      <c r="B225" s="20">
        <v>7.2</v>
      </c>
    </row>
    <row r="226" spans="1:2" x14ac:dyDescent="0.25">
      <c r="A226" s="3">
        <v>26</v>
      </c>
      <c r="B226" s="19">
        <v>24.9</v>
      </c>
    </row>
    <row r="227" spans="1:2" x14ac:dyDescent="0.25">
      <c r="A227" s="4">
        <v>36</v>
      </c>
      <c r="B227" s="20">
        <v>15.2</v>
      </c>
    </row>
    <row r="228" spans="1:2" x14ac:dyDescent="0.25">
      <c r="A228" s="3">
        <v>37</v>
      </c>
      <c r="B228" s="19">
        <v>20.8</v>
      </c>
    </row>
    <row r="229" spans="1:2" x14ac:dyDescent="0.25">
      <c r="A229" s="4">
        <v>72</v>
      </c>
      <c r="B229" s="20">
        <v>27.8</v>
      </c>
    </row>
    <row r="230" spans="1:2" x14ac:dyDescent="0.25">
      <c r="A230" s="3">
        <v>17</v>
      </c>
      <c r="B230" s="19">
        <v>31.2</v>
      </c>
    </row>
    <row r="231" spans="1:2" x14ac:dyDescent="0.25">
      <c r="A231" s="4">
        <v>30</v>
      </c>
      <c r="B231" s="20">
        <v>20.7</v>
      </c>
    </row>
    <row r="232" spans="1:2" x14ac:dyDescent="0.25">
      <c r="A232" s="3">
        <v>4</v>
      </c>
      <c r="B232" s="19">
        <v>17.600000000000001</v>
      </c>
    </row>
    <row r="233" spans="1:2" x14ac:dyDescent="0.25">
      <c r="A233" s="4">
        <v>17</v>
      </c>
      <c r="B233" s="20">
        <v>31.2</v>
      </c>
    </row>
    <row r="234" spans="1:2" x14ac:dyDescent="0.25">
      <c r="A234" s="3">
        <v>62</v>
      </c>
      <c r="B234" s="19">
        <v>39.4</v>
      </c>
    </row>
    <row r="235" spans="1:2" x14ac:dyDescent="0.25">
      <c r="A235" s="4">
        <v>18</v>
      </c>
      <c r="B235" s="20">
        <v>50</v>
      </c>
    </row>
    <row r="236" spans="1:2" x14ac:dyDescent="0.25">
      <c r="A236" s="3">
        <v>41</v>
      </c>
      <c r="B236" s="19">
        <v>7.7</v>
      </c>
    </row>
    <row r="237" spans="1:2" x14ac:dyDescent="0.25">
      <c r="A237" s="4">
        <v>43</v>
      </c>
      <c r="B237" s="20">
        <v>36.799999999999997</v>
      </c>
    </row>
    <row r="238" spans="1:2" x14ac:dyDescent="0.25">
      <c r="A238" s="3">
        <v>33</v>
      </c>
      <c r="B238" s="19">
        <v>2</v>
      </c>
    </row>
    <row r="239" spans="1:2" x14ac:dyDescent="0.25">
      <c r="A239" s="4">
        <v>59</v>
      </c>
      <c r="B239" s="20">
        <v>44</v>
      </c>
    </row>
    <row r="240" spans="1:2" x14ac:dyDescent="0.25">
      <c r="A240" s="3">
        <v>2</v>
      </c>
      <c r="B240" s="19">
        <v>15.2</v>
      </c>
    </row>
    <row r="241" spans="1:2" x14ac:dyDescent="0.25">
      <c r="A241" s="4">
        <v>31</v>
      </c>
      <c r="B241" s="20">
        <v>10</v>
      </c>
    </row>
    <row r="242" spans="1:2" x14ac:dyDescent="0.25">
      <c r="A242" s="3">
        <v>36</v>
      </c>
      <c r="B242" s="19">
        <v>15.2</v>
      </c>
    </row>
    <row r="243" spans="1:2" x14ac:dyDescent="0.25">
      <c r="A243" s="4">
        <v>55</v>
      </c>
      <c r="B243" s="20">
        <v>19.2</v>
      </c>
    </row>
    <row r="244" spans="1:2" x14ac:dyDescent="0.25">
      <c r="A244" s="3">
        <v>64</v>
      </c>
      <c r="B244" s="19">
        <v>26.6</v>
      </c>
    </row>
    <row r="245" spans="1:2" x14ac:dyDescent="0.25">
      <c r="A245" s="4">
        <v>68</v>
      </c>
      <c r="B245" s="20">
        <v>10</v>
      </c>
    </row>
    <row r="246" spans="1:2" x14ac:dyDescent="0.25">
      <c r="A246" s="3">
        <v>76</v>
      </c>
      <c r="B246" s="19">
        <v>14.4</v>
      </c>
    </row>
    <row r="247" spans="1:2" x14ac:dyDescent="0.25">
      <c r="A247" s="4">
        <v>4</v>
      </c>
      <c r="B247" s="20">
        <v>17.600000000000001</v>
      </c>
    </row>
    <row r="248" spans="1:2" x14ac:dyDescent="0.25">
      <c r="A248" s="3">
        <v>8</v>
      </c>
      <c r="B248" s="19">
        <v>32</v>
      </c>
    </row>
    <row r="249" spans="1:2" x14ac:dyDescent="0.25">
      <c r="A249" s="4">
        <v>8</v>
      </c>
      <c r="B249" s="20">
        <v>32</v>
      </c>
    </row>
    <row r="250" spans="1:2" x14ac:dyDescent="0.25">
      <c r="A250" s="3">
        <v>19</v>
      </c>
      <c r="B250" s="19">
        <v>7.3</v>
      </c>
    </row>
    <row r="251" spans="1:2" x14ac:dyDescent="0.25">
      <c r="A251" s="4">
        <v>42</v>
      </c>
      <c r="B251" s="20">
        <v>11.2</v>
      </c>
    </row>
    <row r="252" spans="1:2" x14ac:dyDescent="0.25">
      <c r="A252" s="3">
        <v>17</v>
      </c>
      <c r="B252" s="19">
        <v>31.2</v>
      </c>
    </row>
    <row r="253" spans="1:2" x14ac:dyDescent="0.25">
      <c r="A253" s="4">
        <v>56</v>
      </c>
      <c r="B253" s="20">
        <v>30.4</v>
      </c>
    </row>
    <row r="254" spans="1:2" x14ac:dyDescent="0.25">
      <c r="A254" s="3">
        <v>25</v>
      </c>
      <c r="B254" s="19">
        <v>11.2</v>
      </c>
    </row>
    <row r="255" spans="1:2" x14ac:dyDescent="0.25">
      <c r="A255" s="4">
        <v>39</v>
      </c>
      <c r="B255" s="20">
        <v>14.4</v>
      </c>
    </row>
    <row r="256" spans="1:2" x14ac:dyDescent="0.25">
      <c r="A256" s="3">
        <v>40</v>
      </c>
      <c r="B256" s="19">
        <v>14.7</v>
      </c>
    </row>
    <row r="257" spans="1:2" x14ac:dyDescent="0.25">
      <c r="A257" s="4">
        <v>75</v>
      </c>
      <c r="B257" s="20">
        <v>6.2</v>
      </c>
    </row>
    <row r="258" spans="1:2" x14ac:dyDescent="0.25">
      <c r="A258" s="3">
        <v>1</v>
      </c>
      <c r="B258" s="19">
        <v>14.4</v>
      </c>
    </row>
    <row r="259" spans="1:2" x14ac:dyDescent="0.25">
      <c r="A259" s="4">
        <v>23</v>
      </c>
      <c r="B259" s="20">
        <v>7.2</v>
      </c>
    </row>
    <row r="260" spans="1:2" x14ac:dyDescent="0.25">
      <c r="A260" s="3">
        <v>54</v>
      </c>
      <c r="B260" s="19">
        <v>5.9</v>
      </c>
    </row>
    <row r="261" spans="1:2" x14ac:dyDescent="0.25">
      <c r="A261" s="4">
        <v>50</v>
      </c>
      <c r="B261" s="20">
        <v>13</v>
      </c>
    </row>
    <row r="262" spans="1:2" x14ac:dyDescent="0.25">
      <c r="A262" s="3">
        <v>69</v>
      </c>
      <c r="B262" s="19">
        <v>28.8</v>
      </c>
    </row>
    <row r="263" spans="1:2" x14ac:dyDescent="0.25">
      <c r="A263" s="4">
        <v>38</v>
      </c>
      <c r="B263" s="20">
        <v>210.8</v>
      </c>
    </row>
    <row r="264" spans="1:2" x14ac:dyDescent="0.25">
      <c r="A264" s="3">
        <v>41</v>
      </c>
      <c r="B264" s="19">
        <v>7.7</v>
      </c>
    </row>
    <row r="265" spans="1:2" x14ac:dyDescent="0.25">
      <c r="A265" s="4">
        <v>44</v>
      </c>
      <c r="B265" s="20">
        <v>15.5</v>
      </c>
    </row>
    <row r="266" spans="1:2" x14ac:dyDescent="0.25">
      <c r="A266" s="3">
        <v>65</v>
      </c>
      <c r="B266" s="19">
        <v>16.8</v>
      </c>
    </row>
    <row r="267" spans="1:2" x14ac:dyDescent="0.25">
      <c r="A267" s="4">
        <v>24</v>
      </c>
      <c r="B267" s="20">
        <v>3.6</v>
      </c>
    </row>
    <row r="268" spans="1:2" x14ac:dyDescent="0.25">
      <c r="A268" s="3">
        <v>54</v>
      </c>
      <c r="B268" s="19">
        <v>5.9</v>
      </c>
    </row>
    <row r="269" spans="1:2" x14ac:dyDescent="0.25">
      <c r="A269" s="4">
        <v>11</v>
      </c>
      <c r="B269" s="20">
        <v>16.8</v>
      </c>
    </row>
    <row r="270" spans="1:2" x14ac:dyDescent="0.25">
      <c r="A270" s="3">
        <v>38</v>
      </c>
      <c r="B270" s="19">
        <v>210.8</v>
      </c>
    </row>
    <row r="271" spans="1:2" x14ac:dyDescent="0.25">
      <c r="A271" s="4">
        <v>1</v>
      </c>
      <c r="B271" s="20">
        <v>14.4</v>
      </c>
    </row>
    <row r="272" spans="1:2" x14ac:dyDescent="0.25">
      <c r="A272" s="3">
        <v>29</v>
      </c>
      <c r="B272" s="19">
        <v>99</v>
      </c>
    </row>
    <row r="273" spans="1:2" x14ac:dyDescent="0.25">
      <c r="A273" s="4">
        <v>24</v>
      </c>
      <c r="B273" s="20">
        <v>3.6</v>
      </c>
    </row>
    <row r="274" spans="1:2" x14ac:dyDescent="0.25">
      <c r="A274" s="3">
        <v>57</v>
      </c>
      <c r="B274" s="19">
        <v>15.6</v>
      </c>
    </row>
    <row r="275" spans="1:2" x14ac:dyDescent="0.25">
      <c r="A275" s="4">
        <v>31</v>
      </c>
      <c r="B275" s="20">
        <v>10</v>
      </c>
    </row>
    <row r="276" spans="1:2" x14ac:dyDescent="0.25">
      <c r="A276" s="3">
        <v>55</v>
      </c>
      <c r="B276" s="19">
        <v>19.2</v>
      </c>
    </row>
    <row r="277" spans="1:2" x14ac:dyDescent="0.25">
      <c r="A277" s="4">
        <v>69</v>
      </c>
      <c r="B277" s="20">
        <v>28.8</v>
      </c>
    </row>
    <row r="278" spans="1:2" x14ac:dyDescent="0.25">
      <c r="A278" s="3">
        <v>10</v>
      </c>
      <c r="B278" s="19">
        <v>24.8</v>
      </c>
    </row>
    <row r="279" spans="1:2" x14ac:dyDescent="0.25">
      <c r="A279" s="4">
        <v>26</v>
      </c>
      <c r="B279" s="20">
        <v>24.9</v>
      </c>
    </row>
    <row r="280" spans="1:2" x14ac:dyDescent="0.25">
      <c r="A280" s="3">
        <v>60</v>
      </c>
      <c r="B280" s="19">
        <v>27.2</v>
      </c>
    </row>
    <row r="281" spans="1:2" x14ac:dyDescent="0.25">
      <c r="A281" s="4">
        <v>24</v>
      </c>
      <c r="B281" s="20">
        <v>3.6</v>
      </c>
    </row>
    <row r="282" spans="1:2" x14ac:dyDescent="0.25">
      <c r="A282" s="3">
        <v>34</v>
      </c>
      <c r="B282" s="19">
        <v>11.2</v>
      </c>
    </row>
    <row r="283" spans="1:2" x14ac:dyDescent="0.25">
      <c r="A283" s="4">
        <v>36</v>
      </c>
      <c r="B283" s="20">
        <v>15.2</v>
      </c>
    </row>
    <row r="284" spans="1:2" x14ac:dyDescent="0.25">
      <c r="A284" s="3">
        <v>16</v>
      </c>
      <c r="B284" s="19">
        <v>13.9</v>
      </c>
    </row>
    <row r="285" spans="1:2" x14ac:dyDescent="0.25">
      <c r="A285" s="4">
        <v>31</v>
      </c>
      <c r="B285" s="20">
        <v>10</v>
      </c>
    </row>
    <row r="286" spans="1:2" x14ac:dyDescent="0.25">
      <c r="A286" s="3">
        <v>60</v>
      </c>
      <c r="B286" s="19">
        <v>27.2</v>
      </c>
    </row>
    <row r="287" spans="1:2" x14ac:dyDescent="0.25">
      <c r="A287" s="4">
        <v>28</v>
      </c>
      <c r="B287" s="20">
        <v>36.4</v>
      </c>
    </row>
    <row r="288" spans="1:2" x14ac:dyDescent="0.25">
      <c r="A288" s="3">
        <v>29</v>
      </c>
      <c r="B288" s="19">
        <v>99</v>
      </c>
    </row>
    <row r="289" spans="1:2" x14ac:dyDescent="0.25">
      <c r="A289" s="4">
        <v>38</v>
      </c>
      <c r="B289" s="20">
        <v>210.8</v>
      </c>
    </row>
    <row r="290" spans="1:2" x14ac:dyDescent="0.25">
      <c r="A290" s="3">
        <v>49</v>
      </c>
      <c r="B290" s="19">
        <v>16</v>
      </c>
    </row>
    <row r="291" spans="1:2" x14ac:dyDescent="0.25">
      <c r="A291" s="4">
        <v>54</v>
      </c>
      <c r="B291" s="20">
        <v>5.9</v>
      </c>
    </row>
    <row r="292" spans="1:2" x14ac:dyDescent="0.25">
      <c r="A292" s="3">
        <v>39</v>
      </c>
      <c r="B292" s="19">
        <v>14.4</v>
      </c>
    </row>
    <row r="293" spans="1:2" x14ac:dyDescent="0.25">
      <c r="A293" s="4">
        <v>60</v>
      </c>
      <c r="B293" s="20">
        <v>27.2</v>
      </c>
    </row>
    <row r="294" spans="1:2" x14ac:dyDescent="0.25">
      <c r="A294" s="3">
        <v>25</v>
      </c>
      <c r="B294" s="19">
        <v>11.2</v>
      </c>
    </row>
    <row r="295" spans="1:2" x14ac:dyDescent="0.25">
      <c r="A295" s="4">
        <v>51</v>
      </c>
      <c r="B295" s="20">
        <v>42.4</v>
      </c>
    </row>
    <row r="296" spans="1:2" x14ac:dyDescent="0.25">
      <c r="A296" s="3">
        <v>54</v>
      </c>
      <c r="B296" s="19">
        <v>5.9</v>
      </c>
    </row>
    <row r="297" spans="1:2" x14ac:dyDescent="0.25">
      <c r="A297" s="4">
        <v>31</v>
      </c>
      <c r="B297" s="20">
        <v>10</v>
      </c>
    </row>
    <row r="298" spans="1:2" x14ac:dyDescent="0.25">
      <c r="A298" s="3">
        <v>75</v>
      </c>
      <c r="B298" s="19">
        <v>6.2</v>
      </c>
    </row>
    <row r="299" spans="1:2" x14ac:dyDescent="0.25">
      <c r="A299" s="4">
        <v>76</v>
      </c>
      <c r="B299" s="20">
        <v>14.4</v>
      </c>
    </row>
    <row r="300" spans="1:2" x14ac:dyDescent="0.25">
      <c r="A300" s="3">
        <v>69</v>
      </c>
      <c r="B300" s="19">
        <v>28.8</v>
      </c>
    </row>
    <row r="301" spans="1:2" x14ac:dyDescent="0.25">
      <c r="A301" s="4">
        <v>71</v>
      </c>
      <c r="B301" s="20">
        <v>17.2</v>
      </c>
    </row>
    <row r="302" spans="1:2" x14ac:dyDescent="0.25">
      <c r="A302" s="3">
        <v>11</v>
      </c>
      <c r="B302" s="19">
        <v>16.8</v>
      </c>
    </row>
    <row r="303" spans="1:2" x14ac:dyDescent="0.25">
      <c r="A303" s="4">
        <v>65</v>
      </c>
      <c r="B303" s="20">
        <v>16.8</v>
      </c>
    </row>
    <row r="304" spans="1:2" x14ac:dyDescent="0.25">
      <c r="A304" s="3">
        <v>77</v>
      </c>
      <c r="B304" s="19">
        <v>10.4</v>
      </c>
    </row>
    <row r="305" spans="1:2" x14ac:dyDescent="0.25">
      <c r="A305" s="4">
        <v>34</v>
      </c>
      <c r="B305" s="20">
        <v>11.2</v>
      </c>
    </row>
    <row r="306" spans="1:2" x14ac:dyDescent="0.25">
      <c r="A306" s="3">
        <v>54</v>
      </c>
      <c r="B306" s="19">
        <v>5.9</v>
      </c>
    </row>
    <row r="307" spans="1:2" x14ac:dyDescent="0.25">
      <c r="A307" s="4">
        <v>65</v>
      </c>
      <c r="B307" s="20">
        <v>16.8</v>
      </c>
    </row>
    <row r="308" spans="1:2" x14ac:dyDescent="0.25">
      <c r="A308" s="3">
        <v>77</v>
      </c>
      <c r="B308" s="19">
        <v>10.4</v>
      </c>
    </row>
    <row r="309" spans="1:2" x14ac:dyDescent="0.25">
      <c r="A309" s="4">
        <v>21</v>
      </c>
      <c r="B309" s="20">
        <v>8</v>
      </c>
    </row>
    <row r="310" spans="1:2" x14ac:dyDescent="0.25">
      <c r="A310" s="3">
        <v>28</v>
      </c>
      <c r="B310" s="19">
        <v>36.4</v>
      </c>
    </row>
    <row r="311" spans="1:2" x14ac:dyDescent="0.25">
      <c r="A311" s="4">
        <v>57</v>
      </c>
      <c r="B311" s="20">
        <v>15.6</v>
      </c>
    </row>
    <row r="312" spans="1:2" x14ac:dyDescent="0.25">
      <c r="A312" s="3">
        <v>64</v>
      </c>
      <c r="B312" s="19">
        <v>26.6</v>
      </c>
    </row>
    <row r="313" spans="1:2" x14ac:dyDescent="0.25">
      <c r="A313" s="4">
        <v>29</v>
      </c>
      <c r="B313" s="20">
        <v>99</v>
      </c>
    </row>
    <row r="314" spans="1:2" x14ac:dyDescent="0.25">
      <c r="A314" s="3">
        <v>56</v>
      </c>
      <c r="B314" s="19">
        <v>30.4</v>
      </c>
    </row>
    <row r="315" spans="1:2" x14ac:dyDescent="0.25">
      <c r="A315" s="4">
        <v>1</v>
      </c>
      <c r="B315" s="20">
        <v>14.4</v>
      </c>
    </row>
    <row r="316" spans="1:2" x14ac:dyDescent="0.25">
      <c r="A316" s="3">
        <v>64</v>
      </c>
      <c r="B316" s="19">
        <v>26.6</v>
      </c>
    </row>
    <row r="317" spans="1:2" x14ac:dyDescent="0.25">
      <c r="A317" s="4">
        <v>74</v>
      </c>
      <c r="B317" s="20">
        <v>8</v>
      </c>
    </row>
    <row r="318" spans="1:2" x14ac:dyDescent="0.25">
      <c r="A318" s="3">
        <v>36</v>
      </c>
      <c r="B318" s="19">
        <v>15.2</v>
      </c>
    </row>
    <row r="319" spans="1:2" x14ac:dyDescent="0.25">
      <c r="A319" s="4">
        <v>20</v>
      </c>
      <c r="B319" s="20">
        <v>64.8</v>
      </c>
    </row>
    <row r="320" spans="1:2" x14ac:dyDescent="0.25">
      <c r="A320" s="3">
        <v>38</v>
      </c>
      <c r="B320" s="19">
        <v>210.8</v>
      </c>
    </row>
    <row r="321" spans="1:2" x14ac:dyDescent="0.25">
      <c r="A321" s="4">
        <v>60</v>
      </c>
      <c r="B321" s="20">
        <v>27.2</v>
      </c>
    </row>
    <row r="322" spans="1:2" x14ac:dyDescent="0.25">
      <c r="A322" s="3">
        <v>72</v>
      </c>
      <c r="B322" s="19">
        <v>27.8</v>
      </c>
    </row>
    <row r="323" spans="1:2" x14ac:dyDescent="0.25">
      <c r="A323" s="4">
        <v>31</v>
      </c>
      <c r="B323" s="20">
        <v>10</v>
      </c>
    </row>
    <row r="324" spans="1:2" x14ac:dyDescent="0.25">
      <c r="A324" s="3">
        <v>58</v>
      </c>
      <c r="B324" s="19">
        <v>10.6</v>
      </c>
    </row>
    <row r="325" spans="1:2" x14ac:dyDescent="0.25">
      <c r="A325" s="4">
        <v>14</v>
      </c>
      <c r="B325" s="20">
        <v>18.600000000000001</v>
      </c>
    </row>
    <row r="326" spans="1:2" x14ac:dyDescent="0.25">
      <c r="A326" s="3">
        <v>54</v>
      </c>
      <c r="B326" s="19">
        <v>5.9</v>
      </c>
    </row>
    <row r="327" spans="1:2" x14ac:dyDescent="0.25">
      <c r="A327" s="4">
        <v>31</v>
      </c>
      <c r="B327" s="20">
        <v>10</v>
      </c>
    </row>
    <row r="328" spans="1:2" x14ac:dyDescent="0.25">
      <c r="A328" s="3">
        <v>28</v>
      </c>
      <c r="B328" s="19">
        <v>36.4</v>
      </c>
    </row>
    <row r="329" spans="1:2" x14ac:dyDescent="0.25">
      <c r="A329" s="4">
        <v>39</v>
      </c>
      <c r="B329" s="20">
        <v>14.4</v>
      </c>
    </row>
    <row r="330" spans="1:2" x14ac:dyDescent="0.25">
      <c r="A330" s="3">
        <v>71</v>
      </c>
      <c r="B330" s="19">
        <v>17.2</v>
      </c>
    </row>
    <row r="331" spans="1:2" x14ac:dyDescent="0.25">
      <c r="A331" s="4">
        <v>41</v>
      </c>
      <c r="B331" s="20">
        <v>7.7</v>
      </c>
    </row>
    <row r="332" spans="1:2" x14ac:dyDescent="0.25">
      <c r="A332" s="3">
        <v>63</v>
      </c>
      <c r="B332" s="19">
        <v>35.1</v>
      </c>
    </row>
    <row r="333" spans="1:2" x14ac:dyDescent="0.25">
      <c r="A333" s="4">
        <v>65</v>
      </c>
      <c r="B333" s="20">
        <v>16.8</v>
      </c>
    </row>
    <row r="334" spans="1:2" x14ac:dyDescent="0.25">
      <c r="A334" s="3">
        <v>74</v>
      </c>
      <c r="B334" s="19">
        <v>8</v>
      </c>
    </row>
    <row r="335" spans="1:2" x14ac:dyDescent="0.25">
      <c r="A335" s="4">
        <v>5</v>
      </c>
      <c r="B335" s="20">
        <v>17</v>
      </c>
    </row>
    <row r="336" spans="1:2" x14ac:dyDescent="0.25">
      <c r="A336" s="3">
        <v>18</v>
      </c>
      <c r="B336" s="19">
        <v>50</v>
      </c>
    </row>
    <row r="337" spans="1:2" x14ac:dyDescent="0.25">
      <c r="A337" s="4">
        <v>29</v>
      </c>
      <c r="B337" s="20">
        <v>99</v>
      </c>
    </row>
    <row r="338" spans="1:2" x14ac:dyDescent="0.25">
      <c r="A338" s="3">
        <v>33</v>
      </c>
      <c r="B338" s="19">
        <v>2</v>
      </c>
    </row>
    <row r="339" spans="1:2" x14ac:dyDescent="0.25">
      <c r="A339" s="4">
        <v>74</v>
      </c>
      <c r="B339" s="20">
        <v>8</v>
      </c>
    </row>
    <row r="340" spans="1:2" x14ac:dyDescent="0.25">
      <c r="A340" s="3">
        <v>13</v>
      </c>
      <c r="B340" s="19">
        <v>4.8</v>
      </c>
    </row>
    <row r="341" spans="1:2" x14ac:dyDescent="0.25">
      <c r="A341" s="4">
        <v>50</v>
      </c>
      <c r="B341" s="20">
        <v>13</v>
      </c>
    </row>
    <row r="342" spans="1:2" x14ac:dyDescent="0.25">
      <c r="A342" s="3">
        <v>56</v>
      </c>
      <c r="B342" s="19">
        <v>30.4</v>
      </c>
    </row>
    <row r="343" spans="1:2" x14ac:dyDescent="0.25">
      <c r="A343" s="4">
        <v>20</v>
      </c>
      <c r="B343" s="20">
        <v>64.8</v>
      </c>
    </row>
    <row r="344" spans="1:2" x14ac:dyDescent="0.25">
      <c r="A344" s="3">
        <v>60</v>
      </c>
      <c r="B344" s="19">
        <v>27.2</v>
      </c>
    </row>
    <row r="345" spans="1:2" x14ac:dyDescent="0.25">
      <c r="A345" s="4">
        <v>7</v>
      </c>
      <c r="B345" s="20">
        <v>24</v>
      </c>
    </row>
    <row r="346" spans="1:2" x14ac:dyDescent="0.25">
      <c r="A346" s="3">
        <v>60</v>
      </c>
      <c r="B346" s="19">
        <v>27.2</v>
      </c>
    </row>
    <row r="347" spans="1:2" x14ac:dyDescent="0.25">
      <c r="A347" s="4">
        <v>68</v>
      </c>
      <c r="B347" s="20">
        <v>10</v>
      </c>
    </row>
    <row r="348" spans="1:2" x14ac:dyDescent="0.25">
      <c r="A348" s="3">
        <v>24</v>
      </c>
      <c r="B348" s="19">
        <v>3.6</v>
      </c>
    </row>
    <row r="349" spans="1:2" x14ac:dyDescent="0.25">
      <c r="A349" s="4">
        <v>34</v>
      </c>
      <c r="B349" s="20">
        <v>11.2</v>
      </c>
    </row>
    <row r="350" spans="1:2" x14ac:dyDescent="0.25">
      <c r="A350" s="3">
        <v>24</v>
      </c>
      <c r="B350" s="19">
        <v>3.6</v>
      </c>
    </row>
    <row r="351" spans="1:2" x14ac:dyDescent="0.25">
      <c r="A351" s="4">
        <v>28</v>
      </c>
      <c r="B351" s="20">
        <v>36.4</v>
      </c>
    </row>
    <row r="352" spans="1:2" x14ac:dyDescent="0.25">
      <c r="A352" s="3">
        <v>59</v>
      </c>
      <c r="B352" s="19">
        <v>44</v>
      </c>
    </row>
    <row r="353" spans="1:2" x14ac:dyDescent="0.25">
      <c r="A353" s="4">
        <v>71</v>
      </c>
      <c r="B353" s="20">
        <v>17.2</v>
      </c>
    </row>
    <row r="354" spans="1:2" x14ac:dyDescent="0.25">
      <c r="A354" s="3">
        <v>45</v>
      </c>
      <c r="B354" s="19">
        <v>7.6</v>
      </c>
    </row>
    <row r="355" spans="1:2" x14ac:dyDescent="0.25">
      <c r="A355" s="4">
        <v>52</v>
      </c>
      <c r="B355" s="20">
        <v>5.6</v>
      </c>
    </row>
    <row r="356" spans="1:2" x14ac:dyDescent="0.25">
      <c r="A356" s="3">
        <v>53</v>
      </c>
      <c r="B356" s="19">
        <v>26.2</v>
      </c>
    </row>
    <row r="357" spans="1:2" x14ac:dyDescent="0.25">
      <c r="A357" s="4">
        <v>10</v>
      </c>
      <c r="B357" s="20">
        <v>24.8</v>
      </c>
    </row>
    <row r="358" spans="1:2" x14ac:dyDescent="0.25">
      <c r="A358" s="3">
        <v>55</v>
      </c>
      <c r="B358" s="19">
        <v>19.2</v>
      </c>
    </row>
    <row r="359" spans="1:2" x14ac:dyDescent="0.25">
      <c r="A359" s="4">
        <v>62</v>
      </c>
      <c r="B359" s="20">
        <v>39.4</v>
      </c>
    </row>
    <row r="360" spans="1:2" x14ac:dyDescent="0.25">
      <c r="A360" s="3">
        <v>70</v>
      </c>
      <c r="B360" s="19">
        <v>12</v>
      </c>
    </row>
    <row r="361" spans="1:2" x14ac:dyDescent="0.25">
      <c r="A361" s="4">
        <v>31</v>
      </c>
      <c r="B361" s="20">
        <v>10</v>
      </c>
    </row>
    <row r="362" spans="1:2" x14ac:dyDescent="0.25">
      <c r="A362" s="3">
        <v>35</v>
      </c>
      <c r="B362" s="19">
        <v>14.4</v>
      </c>
    </row>
    <row r="363" spans="1:2" x14ac:dyDescent="0.25">
      <c r="A363" s="4">
        <v>46</v>
      </c>
      <c r="B363" s="20">
        <v>9.6</v>
      </c>
    </row>
    <row r="364" spans="1:2" x14ac:dyDescent="0.25">
      <c r="A364" s="3">
        <v>72</v>
      </c>
      <c r="B364" s="19">
        <v>27.8</v>
      </c>
    </row>
    <row r="365" spans="1:2" x14ac:dyDescent="0.25">
      <c r="A365" s="4">
        <v>13</v>
      </c>
      <c r="B365" s="20">
        <v>4.8</v>
      </c>
    </row>
    <row r="366" spans="1:2" x14ac:dyDescent="0.25">
      <c r="A366" s="3">
        <v>69</v>
      </c>
      <c r="B366" s="19">
        <v>28.8</v>
      </c>
    </row>
    <row r="367" spans="1:2" x14ac:dyDescent="0.25">
      <c r="A367" s="4">
        <v>2</v>
      </c>
      <c r="B367" s="20">
        <v>15.2</v>
      </c>
    </row>
    <row r="368" spans="1:2" x14ac:dyDescent="0.25">
      <c r="A368" s="3">
        <v>14</v>
      </c>
      <c r="B368" s="19">
        <v>18.600000000000001</v>
      </c>
    </row>
    <row r="369" spans="1:2" x14ac:dyDescent="0.25">
      <c r="A369" s="4">
        <v>25</v>
      </c>
      <c r="B369" s="20">
        <v>11.2</v>
      </c>
    </row>
    <row r="370" spans="1:2" x14ac:dyDescent="0.25">
      <c r="A370" s="3">
        <v>26</v>
      </c>
      <c r="B370" s="19">
        <v>24.9</v>
      </c>
    </row>
    <row r="371" spans="1:2" x14ac:dyDescent="0.25">
      <c r="A371" s="4">
        <v>31</v>
      </c>
      <c r="B371" s="20">
        <v>10</v>
      </c>
    </row>
    <row r="372" spans="1:2" x14ac:dyDescent="0.25">
      <c r="A372" s="3">
        <v>13</v>
      </c>
      <c r="B372" s="19">
        <v>4.8</v>
      </c>
    </row>
    <row r="373" spans="1:2" x14ac:dyDescent="0.25">
      <c r="A373" s="4">
        <v>62</v>
      </c>
      <c r="B373" s="20">
        <v>39.4</v>
      </c>
    </row>
    <row r="374" spans="1:2" x14ac:dyDescent="0.25">
      <c r="A374" s="3">
        <v>46</v>
      </c>
      <c r="B374" s="19">
        <v>9.6</v>
      </c>
    </row>
    <row r="375" spans="1:2" x14ac:dyDescent="0.25">
      <c r="A375" s="4">
        <v>53</v>
      </c>
      <c r="B375" s="20">
        <v>26.2</v>
      </c>
    </row>
    <row r="376" spans="1:2" x14ac:dyDescent="0.25">
      <c r="A376" s="3">
        <v>69</v>
      </c>
      <c r="B376" s="19">
        <v>28.8</v>
      </c>
    </row>
    <row r="377" spans="1:2" x14ac:dyDescent="0.25">
      <c r="A377" s="4">
        <v>23</v>
      </c>
      <c r="B377" s="20">
        <v>7.2</v>
      </c>
    </row>
    <row r="378" spans="1:2" x14ac:dyDescent="0.25">
      <c r="A378" s="3">
        <v>71</v>
      </c>
      <c r="B378" s="19">
        <v>17.2</v>
      </c>
    </row>
    <row r="379" spans="1:2" x14ac:dyDescent="0.25">
      <c r="A379" s="4">
        <v>72</v>
      </c>
      <c r="B379" s="20">
        <v>27.8</v>
      </c>
    </row>
    <row r="380" spans="1:2" x14ac:dyDescent="0.25">
      <c r="A380" s="3">
        <v>21</v>
      </c>
      <c r="B380" s="19">
        <v>8</v>
      </c>
    </row>
    <row r="381" spans="1:2" x14ac:dyDescent="0.25">
      <c r="A381" s="4">
        <v>51</v>
      </c>
      <c r="B381" s="20">
        <v>42.4</v>
      </c>
    </row>
    <row r="382" spans="1:2" x14ac:dyDescent="0.25">
      <c r="A382" s="3">
        <v>35</v>
      </c>
      <c r="B382" s="19">
        <v>14.4</v>
      </c>
    </row>
    <row r="383" spans="1:2" x14ac:dyDescent="0.25">
      <c r="A383" s="4">
        <v>55</v>
      </c>
      <c r="B383" s="20">
        <v>19.2</v>
      </c>
    </row>
    <row r="384" spans="1:2" x14ac:dyDescent="0.25">
      <c r="A384" s="3">
        <v>68</v>
      </c>
      <c r="B384" s="19">
        <v>10</v>
      </c>
    </row>
    <row r="385" spans="1:2" x14ac:dyDescent="0.25">
      <c r="A385" s="4">
        <v>71</v>
      </c>
      <c r="B385" s="20">
        <v>17.2</v>
      </c>
    </row>
    <row r="386" spans="1:2" x14ac:dyDescent="0.25">
      <c r="A386" s="3">
        <v>76</v>
      </c>
      <c r="B386" s="19">
        <v>14.4</v>
      </c>
    </row>
    <row r="387" spans="1:2" x14ac:dyDescent="0.25">
      <c r="A387" s="4">
        <v>77</v>
      </c>
      <c r="B387" s="20">
        <v>10.4</v>
      </c>
    </row>
    <row r="388" spans="1:2" x14ac:dyDescent="0.25">
      <c r="A388" s="3">
        <v>29</v>
      </c>
      <c r="B388" s="19">
        <v>99</v>
      </c>
    </row>
    <row r="389" spans="1:2" x14ac:dyDescent="0.25">
      <c r="A389" s="4">
        <v>35</v>
      </c>
      <c r="B389" s="20">
        <v>14.4</v>
      </c>
    </row>
    <row r="390" spans="1:2" x14ac:dyDescent="0.25">
      <c r="A390" s="3">
        <v>49</v>
      </c>
      <c r="B390" s="19">
        <v>16</v>
      </c>
    </row>
    <row r="391" spans="1:2" x14ac:dyDescent="0.25">
      <c r="A391" s="4">
        <v>30</v>
      </c>
      <c r="B391" s="20">
        <v>20.7</v>
      </c>
    </row>
    <row r="392" spans="1:2" x14ac:dyDescent="0.25">
      <c r="A392" s="3">
        <v>56</v>
      </c>
      <c r="B392" s="19">
        <v>30.4</v>
      </c>
    </row>
    <row r="393" spans="1:2" x14ac:dyDescent="0.25">
      <c r="A393" s="4">
        <v>65</v>
      </c>
      <c r="B393" s="20">
        <v>16.8</v>
      </c>
    </row>
    <row r="394" spans="1:2" x14ac:dyDescent="0.25">
      <c r="A394" s="3">
        <v>71</v>
      </c>
      <c r="B394" s="19">
        <v>17.2</v>
      </c>
    </row>
    <row r="395" spans="1:2" x14ac:dyDescent="0.25">
      <c r="A395" s="4">
        <v>23</v>
      </c>
      <c r="B395" s="20">
        <v>7.2</v>
      </c>
    </row>
    <row r="396" spans="1:2" x14ac:dyDescent="0.25">
      <c r="A396" s="3">
        <v>63</v>
      </c>
      <c r="B396" s="19">
        <v>35.1</v>
      </c>
    </row>
    <row r="397" spans="1:2" x14ac:dyDescent="0.25">
      <c r="A397" s="4">
        <v>16</v>
      </c>
      <c r="B397" s="20">
        <v>13.9</v>
      </c>
    </row>
    <row r="398" spans="1:2" x14ac:dyDescent="0.25">
      <c r="A398" s="3">
        <v>48</v>
      </c>
      <c r="B398" s="19">
        <v>10.199999999999999</v>
      </c>
    </row>
    <row r="399" spans="1:2" x14ac:dyDescent="0.25">
      <c r="A399" s="4">
        <v>26</v>
      </c>
      <c r="B399" s="20">
        <v>24.9</v>
      </c>
    </row>
    <row r="400" spans="1:2" x14ac:dyDescent="0.25">
      <c r="A400" s="3">
        <v>42</v>
      </c>
      <c r="B400" s="19">
        <v>11.2</v>
      </c>
    </row>
    <row r="401" spans="1:2" x14ac:dyDescent="0.25">
      <c r="A401" s="4">
        <v>49</v>
      </c>
      <c r="B401" s="20">
        <v>16</v>
      </c>
    </row>
    <row r="402" spans="1:2" x14ac:dyDescent="0.25">
      <c r="A402" s="3">
        <v>3</v>
      </c>
      <c r="B402" s="19">
        <v>8</v>
      </c>
    </row>
    <row r="403" spans="1:2" x14ac:dyDescent="0.25">
      <c r="A403" s="4">
        <v>1</v>
      </c>
      <c r="B403" s="20">
        <v>14.4</v>
      </c>
    </row>
    <row r="404" spans="1:2" x14ac:dyDescent="0.25">
      <c r="A404" s="3">
        <v>21</v>
      </c>
      <c r="B404" s="19">
        <v>8</v>
      </c>
    </row>
    <row r="405" spans="1:2" x14ac:dyDescent="0.25">
      <c r="A405" s="4">
        <v>28</v>
      </c>
      <c r="B405" s="20">
        <v>36.4</v>
      </c>
    </row>
    <row r="406" spans="1:2" x14ac:dyDescent="0.25">
      <c r="A406" s="3">
        <v>36</v>
      </c>
      <c r="B406" s="19">
        <v>15.2</v>
      </c>
    </row>
    <row r="407" spans="1:2" x14ac:dyDescent="0.25">
      <c r="A407" s="4">
        <v>40</v>
      </c>
      <c r="B407" s="20">
        <v>14.7</v>
      </c>
    </row>
    <row r="408" spans="1:2" x14ac:dyDescent="0.25">
      <c r="A408" s="3">
        <v>11</v>
      </c>
      <c r="B408" s="19">
        <v>16.8</v>
      </c>
    </row>
    <row r="409" spans="1:2" x14ac:dyDescent="0.25">
      <c r="A409" s="4">
        <v>69</v>
      </c>
      <c r="B409" s="20">
        <v>28.8</v>
      </c>
    </row>
    <row r="410" spans="1:2" x14ac:dyDescent="0.25">
      <c r="A410" s="3">
        <v>71</v>
      </c>
      <c r="B410" s="19">
        <v>17.2</v>
      </c>
    </row>
    <row r="411" spans="1:2" x14ac:dyDescent="0.25">
      <c r="A411" s="4">
        <v>37</v>
      </c>
      <c r="B411" s="20">
        <v>20.8</v>
      </c>
    </row>
    <row r="412" spans="1:2" x14ac:dyDescent="0.25">
      <c r="A412" s="3">
        <v>54</v>
      </c>
      <c r="B412" s="19">
        <v>5.9</v>
      </c>
    </row>
    <row r="413" spans="1:2" x14ac:dyDescent="0.25">
      <c r="A413" s="4">
        <v>62</v>
      </c>
      <c r="B413" s="20">
        <v>39.4</v>
      </c>
    </row>
    <row r="414" spans="1:2" x14ac:dyDescent="0.25">
      <c r="A414" s="3">
        <v>14</v>
      </c>
      <c r="B414" s="19">
        <v>18.600000000000001</v>
      </c>
    </row>
    <row r="415" spans="1:2" x14ac:dyDescent="0.25">
      <c r="A415" s="4">
        <v>21</v>
      </c>
      <c r="B415" s="20">
        <v>8</v>
      </c>
    </row>
    <row r="416" spans="1:2" x14ac:dyDescent="0.25">
      <c r="A416" s="3">
        <v>33</v>
      </c>
      <c r="B416" s="19">
        <v>2</v>
      </c>
    </row>
    <row r="417" spans="1:2" x14ac:dyDescent="0.25">
      <c r="A417" s="4">
        <v>59</v>
      </c>
      <c r="B417" s="20">
        <v>44</v>
      </c>
    </row>
    <row r="418" spans="1:2" x14ac:dyDescent="0.25">
      <c r="A418" s="3">
        <v>41</v>
      </c>
      <c r="B418" s="19">
        <v>7.7</v>
      </c>
    </row>
    <row r="419" spans="1:2" x14ac:dyDescent="0.25">
      <c r="A419" s="4">
        <v>44</v>
      </c>
      <c r="B419" s="20">
        <v>15.5</v>
      </c>
    </row>
    <row r="420" spans="1:2" x14ac:dyDescent="0.25">
      <c r="A420" s="3">
        <v>59</v>
      </c>
      <c r="B420" s="19">
        <v>44</v>
      </c>
    </row>
    <row r="421" spans="1:2" x14ac:dyDescent="0.25">
      <c r="A421" s="4">
        <v>14</v>
      </c>
      <c r="B421" s="20">
        <v>18.600000000000001</v>
      </c>
    </row>
    <row r="422" spans="1:2" x14ac:dyDescent="0.25">
      <c r="A422" s="3">
        <v>1</v>
      </c>
      <c r="B422" s="19">
        <v>14.4</v>
      </c>
    </row>
    <row r="423" spans="1:2" x14ac:dyDescent="0.25">
      <c r="A423" s="4">
        <v>62</v>
      </c>
      <c r="B423" s="20">
        <v>39.4</v>
      </c>
    </row>
    <row r="424" spans="1:2" x14ac:dyDescent="0.25">
      <c r="A424" s="3">
        <v>76</v>
      </c>
      <c r="B424" s="19">
        <v>14.4</v>
      </c>
    </row>
    <row r="425" spans="1:2" x14ac:dyDescent="0.25">
      <c r="A425" s="4">
        <v>19</v>
      </c>
      <c r="B425" s="20">
        <v>7.3</v>
      </c>
    </row>
    <row r="426" spans="1:2" x14ac:dyDescent="0.25">
      <c r="A426" s="3">
        <v>33</v>
      </c>
      <c r="B426" s="19">
        <v>2</v>
      </c>
    </row>
    <row r="427" spans="1:2" x14ac:dyDescent="0.25">
      <c r="A427" s="4">
        <v>17</v>
      </c>
      <c r="B427" s="20">
        <v>31.2</v>
      </c>
    </row>
    <row r="428" spans="1:2" x14ac:dyDescent="0.25">
      <c r="A428" s="3">
        <v>33</v>
      </c>
      <c r="B428" s="19">
        <v>2</v>
      </c>
    </row>
    <row r="429" spans="1:2" x14ac:dyDescent="0.25">
      <c r="A429" s="4">
        <v>19</v>
      </c>
      <c r="B429" s="20">
        <v>7.3</v>
      </c>
    </row>
    <row r="430" spans="1:2" x14ac:dyDescent="0.25">
      <c r="A430" s="3">
        <v>53</v>
      </c>
      <c r="B430" s="19">
        <v>26.2</v>
      </c>
    </row>
    <row r="431" spans="1:2" x14ac:dyDescent="0.25">
      <c r="A431" s="4">
        <v>57</v>
      </c>
      <c r="B431" s="20">
        <v>15.6</v>
      </c>
    </row>
    <row r="432" spans="1:2" x14ac:dyDescent="0.25">
      <c r="A432" s="3">
        <v>38</v>
      </c>
      <c r="B432" s="19">
        <v>210.8</v>
      </c>
    </row>
    <row r="433" spans="1:2" x14ac:dyDescent="0.25">
      <c r="A433" s="4">
        <v>46</v>
      </c>
      <c r="B433" s="20">
        <v>9.6</v>
      </c>
    </row>
    <row r="434" spans="1:2" x14ac:dyDescent="0.25">
      <c r="A434" s="3">
        <v>68</v>
      </c>
      <c r="B434" s="19">
        <v>10</v>
      </c>
    </row>
    <row r="435" spans="1:2" x14ac:dyDescent="0.25">
      <c r="A435" s="4">
        <v>77</v>
      </c>
      <c r="B435" s="20">
        <v>10.4</v>
      </c>
    </row>
    <row r="436" spans="1:2" x14ac:dyDescent="0.25">
      <c r="A436" s="3">
        <v>2</v>
      </c>
      <c r="B436" s="19">
        <v>15.2</v>
      </c>
    </row>
    <row r="437" spans="1:2" x14ac:dyDescent="0.25">
      <c r="A437" s="4">
        <v>47</v>
      </c>
      <c r="B437" s="20">
        <v>7.6</v>
      </c>
    </row>
    <row r="438" spans="1:2" x14ac:dyDescent="0.25">
      <c r="A438" s="3">
        <v>61</v>
      </c>
      <c r="B438" s="19">
        <v>22.8</v>
      </c>
    </row>
    <row r="439" spans="1:2" x14ac:dyDescent="0.25">
      <c r="A439" s="4">
        <v>74</v>
      </c>
      <c r="B439" s="20">
        <v>8</v>
      </c>
    </row>
    <row r="440" spans="1:2" x14ac:dyDescent="0.25">
      <c r="A440" s="3">
        <v>60</v>
      </c>
      <c r="B440" s="19">
        <v>27.2</v>
      </c>
    </row>
    <row r="441" spans="1:2" x14ac:dyDescent="0.25">
      <c r="A441" s="4">
        <v>69</v>
      </c>
      <c r="B441" s="20">
        <v>28.8</v>
      </c>
    </row>
    <row r="442" spans="1:2" x14ac:dyDescent="0.25">
      <c r="A442" s="3">
        <v>9</v>
      </c>
      <c r="B442" s="19">
        <v>77.599999999999994</v>
      </c>
    </row>
    <row r="443" spans="1:2" x14ac:dyDescent="0.25">
      <c r="A443" s="4">
        <v>13</v>
      </c>
      <c r="B443" s="20">
        <v>4.8</v>
      </c>
    </row>
    <row r="444" spans="1:2" x14ac:dyDescent="0.25">
      <c r="A444" s="3">
        <v>70</v>
      </c>
      <c r="B444" s="19">
        <v>12</v>
      </c>
    </row>
    <row r="445" spans="1:2" x14ac:dyDescent="0.25">
      <c r="A445" s="4">
        <v>73</v>
      </c>
      <c r="B445" s="20">
        <v>12</v>
      </c>
    </row>
    <row r="446" spans="1:2" x14ac:dyDescent="0.25">
      <c r="A446" s="3">
        <v>19</v>
      </c>
      <c r="B446" s="19">
        <v>7.3</v>
      </c>
    </row>
    <row r="447" spans="1:2" x14ac:dyDescent="0.25">
      <c r="A447" s="4">
        <v>26</v>
      </c>
      <c r="B447" s="20">
        <v>24.9</v>
      </c>
    </row>
    <row r="448" spans="1:2" x14ac:dyDescent="0.25">
      <c r="A448" s="3">
        <v>53</v>
      </c>
      <c r="B448" s="19">
        <v>26.2</v>
      </c>
    </row>
    <row r="449" spans="1:2" x14ac:dyDescent="0.25">
      <c r="A449" s="4">
        <v>77</v>
      </c>
      <c r="B449" s="20">
        <v>10.4</v>
      </c>
    </row>
    <row r="450" spans="1:2" x14ac:dyDescent="0.25">
      <c r="A450" s="3">
        <v>26</v>
      </c>
      <c r="B450" s="19">
        <v>24.9</v>
      </c>
    </row>
    <row r="451" spans="1:2" x14ac:dyDescent="0.25">
      <c r="A451" s="4">
        <v>31</v>
      </c>
      <c r="B451" s="20">
        <v>10</v>
      </c>
    </row>
    <row r="452" spans="1:2" x14ac:dyDescent="0.25">
      <c r="A452" s="3">
        <v>59</v>
      </c>
      <c r="B452" s="19">
        <v>44</v>
      </c>
    </row>
    <row r="453" spans="1:2" x14ac:dyDescent="0.25">
      <c r="A453" s="4">
        <v>35</v>
      </c>
      <c r="B453" s="20">
        <v>14.4</v>
      </c>
    </row>
    <row r="454" spans="1:2" x14ac:dyDescent="0.25">
      <c r="A454" s="3">
        <v>38</v>
      </c>
      <c r="B454" s="19">
        <v>210.8</v>
      </c>
    </row>
    <row r="455" spans="1:2" x14ac:dyDescent="0.25">
      <c r="A455" s="4">
        <v>68</v>
      </c>
      <c r="B455" s="20">
        <v>10</v>
      </c>
    </row>
    <row r="456" spans="1:2" x14ac:dyDescent="0.25">
      <c r="A456" s="3">
        <v>55</v>
      </c>
      <c r="B456" s="19">
        <v>19.2</v>
      </c>
    </row>
    <row r="457" spans="1:2" x14ac:dyDescent="0.25">
      <c r="A457" s="4">
        <v>76</v>
      </c>
      <c r="B457" s="20">
        <v>14.4</v>
      </c>
    </row>
    <row r="458" spans="1:2" x14ac:dyDescent="0.25">
      <c r="A458" s="3">
        <v>56</v>
      </c>
      <c r="B458" s="19">
        <v>30.4</v>
      </c>
    </row>
    <row r="459" spans="1:2" x14ac:dyDescent="0.25">
      <c r="A459" s="4">
        <v>64</v>
      </c>
      <c r="B459" s="20">
        <v>26.6</v>
      </c>
    </row>
    <row r="460" spans="1:2" x14ac:dyDescent="0.25">
      <c r="A460" s="3">
        <v>14</v>
      </c>
      <c r="B460" s="19">
        <v>18.600000000000001</v>
      </c>
    </row>
    <row r="461" spans="1:2" x14ac:dyDescent="0.25">
      <c r="A461" s="4">
        <v>46</v>
      </c>
      <c r="B461" s="20">
        <v>9.6</v>
      </c>
    </row>
    <row r="462" spans="1:2" x14ac:dyDescent="0.25">
      <c r="A462" s="3">
        <v>17</v>
      </c>
      <c r="B462" s="19">
        <v>31.2</v>
      </c>
    </row>
    <row r="463" spans="1:2" x14ac:dyDescent="0.25">
      <c r="A463" s="4">
        <v>21</v>
      </c>
      <c r="B463" s="20">
        <v>8</v>
      </c>
    </row>
    <row r="464" spans="1:2" x14ac:dyDescent="0.25">
      <c r="A464" s="3">
        <v>56</v>
      </c>
      <c r="B464" s="19">
        <v>30.4</v>
      </c>
    </row>
    <row r="465" spans="1:2" x14ac:dyDescent="0.25">
      <c r="A465" s="4">
        <v>59</v>
      </c>
      <c r="B465" s="20">
        <v>44</v>
      </c>
    </row>
    <row r="466" spans="1:2" x14ac:dyDescent="0.25">
      <c r="A466" s="3">
        <v>17</v>
      </c>
      <c r="B466" s="19">
        <v>31.2</v>
      </c>
    </row>
    <row r="467" spans="1:2" x14ac:dyDescent="0.25">
      <c r="A467" s="4">
        <v>40</v>
      </c>
      <c r="B467" s="20">
        <v>14.7</v>
      </c>
    </row>
    <row r="468" spans="1:2" x14ac:dyDescent="0.25">
      <c r="A468" s="3">
        <v>47</v>
      </c>
      <c r="B468" s="19">
        <v>7.6</v>
      </c>
    </row>
    <row r="469" spans="1:2" x14ac:dyDescent="0.25">
      <c r="A469" s="4">
        <v>26</v>
      </c>
      <c r="B469" s="20">
        <v>24.9</v>
      </c>
    </row>
    <row r="470" spans="1:2" x14ac:dyDescent="0.25">
      <c r="A470" s="3">
        <v>54</v>
      </c>
      <c r="B470" s="19">
        <v>5.9</v>
      </c>
    </row>
    <row r="471" spans="1:2" x14ac:dyDescent="0.25">
      <c r="A471" s="4">
        <v>56</v>
      </c>
      <c r="B471" s="20">
        <v>30.4</v>
      </c>
    </row>
    <row r="472" spans="1:2" x14ac:dyDescent="0.25">
      <c r="A472" s="3">
        <v>11</v>
      </c>
      <c r="B472" s="19">
        <v>16.8</v>
      </c>
    </row>
    <row r="473" spans="1:2" x14ac:dyDescent="0.25">
      <c r="A473" s="4">
        <v>76</v>
      </c>
      <c r="B473" s="20">
        <v>14.4</v>
      </c>
    </row>
    <row r="474" spans="1:2" x14ac:dyDescent="0.25">
      <c r="A474" s="3">
        <v>2</v>
      </c>
      <c r="B474" s="19">
        <v>15.2</v>
      </c>
    </row>
    <row r="475" spans="1:2" x14ac:dyDescent="0.25">
      <c r="A475" s="4">
        <v>22</v>
      </c>
      <c r="B475" s="20">
        <v>16.8</v>
      </c>
    </row>
    <row r="476" spans="1:2" x14ac:dyDescent="0.25">
      <c r="A476" s="3">
        <v>72</v>
      </c>
      <c r="B476" s="19">
        <v>27.8</v>
      </c>
    </row>
    <row r="477" spans="1:2" x14ac:dyDescent="0.25">
      <c r="A477" s="4">
        <v>46</v>
      </c>
      <c r="B477" s="20">
        <v>9.6</v>
      </c>
    </row>
    <row r="478" spans="1:2" x14ac:dyDescent="0.25">
      <c r="A478" s="3">
        <v>56</v>
      </c>
      <c r="B478" s="19">
        <v>30.4</v>
      </c>
    </row>
    <row r="479" spans="1:2" x14ac:dyDescent="0.25">
      <c r="A479" s="4">
        <v>64</v>
      </c>
      <c r="B479" s="20">
        <v>26.6</v>
      </c>
    </row>
    <row r="480" spans="1:2" x14ac:dyDescent="0.25">
      <c r="A480" s="3">
        <v>75</v>
      </c>
      <c r="B480" s="19">
        <v>6.2</v>
      </c>
    </row>
    <row r="481" spans="1:2" x14ac:dyDescent="0.25">
      <c r="A481" s="4">
        <v>53</v>
      </c>
      <c r="B481" s="20">
        <v>26.2</v>
      </c>
    </row>
    <row r="482" spans="1:2" x14ac:dyDescent="0.25">
      <c r="A482" s="3">
        <v>19</v>
      </c>
      <c r="B482" s="19">
        <v>7.3</v>
      </c>
    </row>
    <row r="483" spans="1:2" x14ac:dyDescent="0.25">
      <c r="A483" s="4">
        <v>34</v>
      </c>
      <c r="B483" s="20">
        <v>11.2</v>
      </c>
    </row>
    <row r="484" spans="1:2" x14ac:dyDescent="0.25">
      <c r="A484" s="3">
        <v>57</v>
      </c>
      <c r="B484" s="19">
        <v>15.6</v>
      </c>
    </row>
    <row r="485" spans="1:2" x14ac:dyDescent="0.25">
      <c r="A485" s="4">
        <v>12</v>
      </c>
      <c r="B485" s="20">
        <v>30.4</v>
      </c>
    </row>
    <row r="486" spans="1:2" x14ac:dyDescent="0.25">
      <c r="A486" s="3">
        <v>16</v>
      </c>
      <c r="B486" s="19">
        <v>13.9</v>
      </c>
    </row>
    <row r="487" spans="1:2" x14ac:dyDescent="0.25">
      <c r="A487" s="4">
        <v>64</v>
      </c>
      <c r="B487" s="20">
        <v>26.6</v>
      </c>
    </row>
    <row r="488" spans="1:2" x14ac:dyDescent="0.25">
      <c r="A488" s="3">
        <v>74</v>
      </c>
      <c r="B488" s="19">
        <v>8</v>
      </c>
    </row>
    <row r="489" spans="1:2" x14ac:dyDescent="0.25">
      <c r="A489" s="4">
        <v>2</v>
      </c>
      <c r="B489" s="20">
        <v>15.2</v>
      </c>
    </row>
    <row r="490" spans="1:2" x14ac:dyDescent="0.25">
      <c r="A490" s="3">
        <v>16</v>
      </c>
      <c r="B490" s="19">
        <v>13.9</v>
      </c>
    </row>
    <row r="491" spans="1:2" x14ac:dyDescent="0.25">
      <c r="A491" s="4">
        <v>29</v>
      </c>
      <c r="B491" s="20">
        <v>99</v>
      </c>
    </row>
    <row r="492" spans="1:2" x14ac:dyDescent="0.25">
      <c r="A492" s="3">
        <v>61</v>
      </c>
      <c r="B492" s="19">
        <v>22.8</v>
      </c>
    </row>
    <row r="493" spans="1:2" x14ac:dyDescent="0.25">
      <c r="A493" s="4">
        <v>27</v>
      </c>
      <c r="B493" s="20">
        <v>35.1</v>
      </c>
    </row>
    <row r="494" spans="1:2" x14ac:dyDescent="0.25">
      <c r="A494" s="3">
        <v>11</v>
      </c>
      <c r="B494" s="19">
        <v>16.8</v>
      </c>
    </row>
    <row r="495" spans="1:2" x14ac:dyDescent="0.25">
      <c r="A495" s="4">
        <v>54</v>
      </c>
      <c r="B495" s="20">
        <v>5.9</v>
      </c>
    </row>
    <row r="496" spans="1:2" x14ac:dyDescent="0.25">
      <c r="A496" s="3">
        <v>66</v>
      </c>
      <c r="B496" s="19">
        <v>13.6</v>
      </c>
    </row>
    <row r="497" spans="1:2" x14ac:dyDescent="0.25">
      <c r="A497" s="4">
        <v>11</v>
      </c>
      <c r="B497" s="20">
        <v>16.8</v>
      </c>
    </row>
    <row r="498" spans="1:2" x14ac:dyDescent="0.25">
      <c r="A498" s="3">
        <v>28</v>
      </c>
      <c r="B498" s="19">
        <v>36.4</v>
      </c>
    </row>
    <row r="499" spans="1:2" x14ac:dyDescent="0.25">
      <c r="A499" s="4">
        <v>17</v>
      </c>
      <c r="B499" s="20">
        <v>31.2</v>
      </c>
    </row>
    <row r="500" spans="1:2" x14ac:dyDescent="0.25">
      <c r="A500" s="3">
        <v>26</v>
      </c>
      <c r="B500" s="19">
        <v>24.9</v>
      </c>
    </row>
    <row r="501" spans="1:2" x14ac:dyDescent="0.25">
      <c r="A501" s="4">
        <v>35</v>
      </c>
      <c r="B501" s="20">
        <v>14.4</v>
      </c>
    </row>
    <row r="502" spans="1:2" x14ac:dyDescent="0.25">
      <c r="A502" s="3">
        <v>41</v>
      </c>
      <c r="B502" s="19">
        <v>7.7</v>
      </c>
    </row>
    <row r="503" spans="1:2" x14ac:dyDescent="0.25">
      <c r="A503" s="4">
        <v>39</v>
      </c>
      <c r="B503" s="20">
        <v>14.4</v>
      </c>
    </row>
    <row r="504" spans="1:2" x14ac:dyDescent="0.25">
      <c r="A504" s="3">
        <v>54</v>
      </c>
      <c r="B504" s="19">
        <v>5.9</v>
      </c>
    </row>
    <row r="505" spans="1:2" x14ac:dyDescent="0.25">
      <c r="A505" s="4">
        <v>19</v>
      </c>
      <c r="B505" s="20">
        <v>7.3</v>
      </c>
    </row>
    <row r="506" spans="1:2" x14ac:dyDescent="0.25">
      <c r="A506" s="3">
        <v>24</v>
      </c>
      <c r="B506" s="19">
        <v>3.6</v>
      </c>
    </row>
    <row r="507" spans="1:2" x14ac:dyDescent="0.25">
      <c r="A507" s="4">
        <v>31</v>
      </c>
      <c r="B507" s="20">
        <v>10</v>
      </c>
    </row>
    <row r="508" spans="1:2" x14ac:dyDescent="0.25">
      <c r="A508" s="3">
        <v>52</v>
      </c>
      <c r="B508" s="19">
        <v>5.6</v>
      </c>
    </row>
    <row r="509" spans="1:2" x14ac:dyDescent="0.25">
      <c r="A509" s="4">
        <v>19</v>
      </c>
      <c r="B509" s="20">
        <v>7.3</v>
      </c>
    </row>
    <row r="510" spans="1:2" x14ac:dyDescent="0.25">
      <c r="A510" s="3">
        <v>65</v>
      </c>
      <c r="B510" s="19">
        <v>16.8</v>
      </c>
    </row>
    <row r="511" spans="1:2" x14ac:dyDescent="0.25">
      <c r="A511" s="4">
        <v>71</v>
      </c>
      <c r="B511" s="20">
        <v>17.2</v>
      </c>
    </row>
    <row r="512" spans="1:2" x14ac:dyDescent="0.25">
      <c r="A512" s="3">
        <v>26</v>
      </c>
      <c r="B512" s="19">
        <v>24.9</v>
      </c>
    </row>
    <row r="513" spans="1:2" x14ac:dyDescent="0.25">
      <c r="A513" s="4">
        <v>40</v>
      </c>
      <c r="B513" s="20">
        <v>14.7</v>
      </c>
    </row>
    <row r="514" spans="1:2" x14ac:dyDescent="0.25">
      <c r="A514" s="3">
        <v>10</v>
      </c>
      <c r="B514" s="19">
        <v>24.8</v>
      </c>
    </row>
    <row r="515" spans="1:2" x14ac:dyDescent="0.25">
      <c r="A515" s="4">
        <v>52</v>
      </c>
      <c r="B515" s="20">
        <v>5.6</v>
      </c>
    </row>
    <row r="516" spans="1:2" x14ac:dyDescent="0.25">
      <c r="A516" s="3">
        <v>62</v>
      </c>
      <c r="B516" s="19">
        <v>39.4</v>
      </c>
    </row>
    <row r="517" spans="1:2" x14ac:dyDescent="0.25">
      <c r="A517" s="4">
        <v>10</v>
      </c>
      <c r="B517" s="20">
        <v>24.8</v>
      </c>
    </row>
    <row r="518" spans="1:2" x14ac:dyDescent="0.25">
      <c r="A518" s="3">
        <v>54</v>
      </c>
      <c r="B518" s="19">
        <v>5.9</v>
      </c>
    </row>
    <row r="519" spans="1:2" x14ac:dyDescent="0.25">
      <c r="A519" s="4">
        <v>55</v>
      </c>
      <c r="B519" s="20">
        <v>19.2</v>
      </c>
    </row>
    <row r="520" spans="1:2" x14ac:dyDescent="0.25">
      <c r="A520" s="3">
        <v>64</v>
      </c>
      <c r="B520" s="19">
        <v>26.6</v>
      </c>
    </row>
    <row r="521" spans="1:2" x14ac:dyDescent="0.25">
      <c r="A521" s="4">
        <v>65</v>
      </c>
      <c r="B521" s="20">
        <v>16.8</v>
      </c>
    </row>
    <row r="522" spans="1:2" x14ac:dyDescent="0.25">
      <c r="A522" s="3">
        <v>77</v>
      </c>
      <c r="B522" s="19">
        <v>10.4</v>
      </c>
    </row>
    <row r="523" spans="1:2" x14ac:dyDescent="0.25">
      <c r="A523" s="4">
        <v>28</v>
      </c>
      <c r="B523" s="20">
        <v>36.4</v>
      </c>
    </row>
    <row r="524" spans="1:2" x14ac:dyDescent="0.25">
      <c r="A524" s="3">
        <v>44</v>
      </c>
      <c r="B524" s="19">
        <v>15.5</v>
      </c>
    </row>
    <row r="525" spans="1:2" x14ac:dyDescent="0.25">
      <c r="A525" s="4">
        <v>48</v>
      </c>
      <c r="B525" s="20">
        <v>10.199999999999999</v>
      </c>
    </row>
    <row r="526" spans="1:2" x14ac:dyDescent="0.25">
      <c r="A526" s="3">
        <v>70</v>
      </c>
      <c r="B526" s="19">
        <v>12</v>
      </c>
    </row>
    <row r="527" spans="1:2" x14ac:dyDescent="0.25">
      <c r="A527" s="4">
        <v>16</v>
      </c>
      <c r="B527" s="20">
        <v>13.9</v>
      </c>
    </row>
    <row r="528" spans="1:2" x14ac:dyDescent="0.25">
      <c r="A528" s="3">
        <v>33</v>
      </c>
      <c r="B528" s="19">
        <v>2</v>
      </c>
    </row>
    <row r="529" spans="1:2" x14ac:dyDescent="0.25">
      <c r="A529" s="4">
        <v>46</v>
      </c>
      <c r="B529" s="20">
        <v>9.6</v>
      </c>
    </row>
    <row r="530" spans="1:2" x14ac:dyDescent="0.25">
      <c r="A530" s="3">
        <v>39</v>
      </c>
      <c r="B530" s="19">
        <v>14.4</v>
      </c>
    </row>
    <row r="531" spans="1:2" x14ac:dyDescent="0.25">
      <c r="A531" s="4">
        <v>53</v>
      </c>
      <c r="B531" s="20">
        <v>26.2</v>
      </c>
    </row>
    <row r="532" spans="1:2" x14ac:dyDescent="0.25">
      <c r="A532" s="3">
        <v>61</v>
      </c>
      <c r="B532" s="19">
        <v>22.8</v>
      </c>
    </row>
    <row r="533" spans="1:2" x14ac:dyDescent="0.25">
      <c r="A533" s="4">
        <v>71</v>
      </c>
      <c r="B533" s="20">
        <v>17.2</v>
      </c>
    </row>
    <row r="534" spans="1:2" x14ac:dyDescent="0.25">
      <c r="A534" s="3">
        <v>21</v>
      </c>
      <c r="B534" s="19">
        <v>8</v>
      </c>
    </row>
    <row r="535" spans="1:2" x14ac:dyDescent="0.25">
      <c r="A535" s="4">
        <v>49</v>
      </c>
      <c r="B535" s="20">
        <v>16</v>
      </c>
    </row>
    <row r="536" spans="1:2" x14ac:dyDescent="0.25">
      <c r="A536" s="3">
        <v>59</v>
      </c>
      <c r="B536" s="19">
        <v>44</v>
      </c>
    </row>
    <row r="537" spans="1:2" x14ac:dyDescent="0.25">
      <c r="A537" s="4">
        <v>26</v>
      </c>
      <c r="B537" s="20">
        <v>24.9</v>
      </c>
    </row>
    <row r="538" spans="1:2" x14ac:dyDescent="0.25">
      <c r="A538" s="3">
        <v>28</v>
      </c>
      <c r="B538" s="19">
        <v>36.4</v>
      </c>
    </row>
    <row r="539" spans="1:2" x14ac:dyDescent="0.25">
      <c r="A539" s="4">
        <v>43</v>
      </c>
      <c r="B539" s="20">
        <v>36.799999999999997</v>
      </c>
    </row>
    <row r="540" spans="1:2" x14ac:dyDescent="0.25">
      <c r="A540" s="3">
        <v>56</v>
      </c>
      <c r="B540" s="19">
        <v>30.4</v>
      </c>
    </row>
    <row r="541" spans="1:2" x14ac:dyDescent="0.25">
      <c r="A541" s="4">
        <v>71</v>
      </c>
      <c r="B541" s="20">
        <v>17.2</v>
      </c>
    </row>
    <row r="542" spans="1:2" x14ac:dyDescent="0.25">
      <c r="A542" s="3">
        <v>7</v>
      </c>
      <c r="B542" s="19">
        <v>24</v>
      </c>
    </row>
    <row r="543" spans="1:2" x14ac:dyDescent="0.25">
      <c r="A543" s="4">
        <v>46</v>
      </c>
      <c r="B543" s="20">
        <v>9.6</v>
      </c>
    </row>
    <row r="544" spans="1:2" x14ac:dyDescent="0.25">
      <c r="A544" s="3">
        <v>72</v>
      </c>
      <c r="B544" s="19">
        <v>27.8</v>
      </c>
    </row>
    <row r="545" spans="1:2" x14ac:dyDescent="0.25">
      <c r="A545" s="4">
        <v>68</v>
      </c>
      <c r="B545" s="20">
        <v>10</v>
      </c>
    </row>
    <row r="546" spans="1:2" x14ac:dyDescent="0.25">
      <c r="A546" s="3">
        <v>75</v>
      </c>
      <c r="B546" s="19">
        <v>6.2</v>
      </c>
    </row>
    <row r="547" spans="1:2" x14ac:dyDescent="0.25">
      <c r="A547" s="4">
        <v>21</v>
      </c>
      <c r="B547" s="20">
        <v>8</v>
      </c>
    </row>
    <row r="548" spans="1:2" x14ac:dyDescent="0.25">
      <c r="A548" s="3">
        <v>30</v>
      </c>
      <c r="B548" s="19">
        <v>20.7</v>
      </c>
    </row>
    <row r="549" spans="1:2" x14ac:dyDescent="0.25">
      <c r="A549" s="4">
        <v>55</v>
      </c>
      <c r="B549" s="20">
        <v>19.2</v>
      </c>
    </row>
    <row r="550" spans="1:2" x14ac:dyDescent="0.25">
      <c r="A550" s="3">
        <v>13</v>
      </c>
      <c r="B550" s="19">
        <v>4.8</v>
      </c>
    </row>
    <row r="551" spans="1:2" x14ac:dyDescent="0.25">
      <c r="A551" s="4">
        <v>23</v>
      </c>
      <c r="B551" s="20">
        <v>7.2</v>
      </c>
    </row>
    <row r="552" spans="1:2" x14ac:dyDescent="0.25">
      <c r="A552" s="3">
        <v>19</v>
      </c>
      <c r="B552" s="19">
        <v>7.3</v>
      </c>
    </row>
    <row r="553" spans="1:2" x14ac:dyDescent="0.25">
      <c r="A553" s="4">
        <v>42</v>
      </c>
      <c r="B553" s="20">
        <v>11.2</v>
      </c>
    </row>
    <row r="554" spans="1:2" x14ac:dyDescent="0.25">
      <c r="A554" s="3">
        <v>4</v>
      </c>
      <c r="B554" s="19">
        <v>17.600000000000001</v>
      </c>
    </row>
    <row r="555" spans="1:2" x14ac:dyDescent="0.25">
      <c r="A555" s="4">
        <v>43</v>
      </c>
      <c r="B555" s="20">
        <v>36.799999999999997</v>
      </c>
    </row>
    <row r="556" spans="1:2" x14ac:dyDescent="0.25">
      <c r="A556" s="3">
        <v>56</v>
      </c>
      <c r="B556" s="19">
        <v>30.4</v>
      </c>
    </row>
    <row r="557" spans="1:2" x14ac:dyDescent="0.25">
      <c r="A557" s="4">
        <v>60</v>
      </c>
      <c r="B557" s="20">
        <v>27.2</v>
      </c>
    </row>
    <row r="558" spans="1:2" x14ac:dyDescent="0.25">
      <c r="A558" s="3">
        <v>24</v>
      </c>
      <c r="B558" s="19">
        <v>3.6</v>
      </c>
    </row>
    <row r="559" spans="1:2" x14ac:dyDescent="0.25">
      <c r="A559" s="4">
        <v>29</v>
      </c>
      <c r="B559" s="20">
        <v>99</v>
      </c>
    </row>
    <row r="560" spans="1:2" x14ac:dyDescent="0.25">
      <c r="A560" s="3">
        <v>40</v>
      </c>
      <c r="B560" s="19">
        <v>14.7</v>
      </c>
    </row>
    <row r="561" spans="1:2" x14ac:dyDescent="0.25">
      <c r="A561" s="4">
        <v>45</v>
      </c>
      <c r="B561" s="20">
        <v>7.6</v>
      </c>
    </row>
    <row r="562" spans="1:2" x14ac:dyDescent="0.25">
      <c r="A562" s="3">
        <v>50</v>
      </c>
      <c r="B562" s="19">
        <v>13</v>
      </c>
    </row>
    <row r="563" spans="1:2" x14ac:dyDescent="0.25">
      <c r="A563" s="4">
        <v>11</v>
      </c>
      <c r="B563" s="20">
        <v>16.8</v>
      </c>
    </row>
    <row r="564" spans="1:2" x14ac:dyDescent="0.25">
      <c r="A564" s="3">
        <v>46</v>
      </c>
      <c r="B564" s="19">
        <v>9.6</v>
      </c>
    </row>
    <row r="565" spans="1:2" x14ac:dyDescent="0.25">
      <c r="A565" s="4">
        <v>24</v>
      </c>
      <c r="B565" s="20">
        <v>3.6</v>
      </c>
    </row>
    <row r="566" spans="1:2" x14ac:dyDescent="0.25">
      <c r="A566" s="3">
        <v>25</v>
      </c>
      <c r="B566" s="19">
        <v>11.2</v>
      </c>
    </row>
    <row r="567" spans="1:2" x14ac:dyDescent="0.25">
      <c r="A567" s="4">
        <v>30</v>
      </c>
      <c r="B567" s="20">
        <v>20.7</v>
      </c>
    </row>
    <row r="568" spans="1:2" x14ac:dyDescent="0.25">
      <c r="A568" s="3">
        <v>43</v>
      </c>
      <c r="B568" s="19">
        <v>36.799999999999997</v>
      </c>
    </row>
    <row r="569" spans="1:2" x14ac:dyDescent="0.25">
      <c r="A569" s="4">
        <v>2</v>
      </c>
      <c r="B569" s="20">
        <v>15.2</v>
      </c>
    </row>
    <row r="570" spans="1:2" x14ac:dyDescent="0.25">
      <c r="A570" s="3">
        <v>16</v>
      </c>
      <c r="B570" s="19">
        <v>13.9</v>
      </c>
    </row>
    <row r="571" spans="1:2" x14ac:dyDescent="0.25">
      <c r="A571" s="4">
        <v>44</v>
      </c>
      <c r="B571" s="20">
        <v>15.5</v>
      </c>
    </row>
    <row r="572" spans="1:2" x14ac:dyDescent="0.25">
      <c r="A572" s="3">
        <v>18</v>
      </c>
      <c r="B572" s="19">
        <v>50</v>
      </c>
    </row>
    <row r="573" spans="1:2" x14ac:dyDescent="0.25">
      <c r="A573" s="4">
        <v>23</v>
      </c>
      <c r="B573" s="20">
        <v>7.2</v>
      </c>
    </row>
    <row r="574" spans="1:2" x14ac:dyDescent="0.25">
      <c r="A574" s="3">
        <v>64</v>
      </c>
      <c r="B574" s="19">
        <v>26.6</v>
      </c>
    </row>
    <row r="575" spans="1:2" x14ac:dyDescent="0.25">
      <c r="A575" s="4">
        <v>7</v>
      </c>
      <c r="B575" s="20">
        <v>24</v>
      </c>
    </row>
    <row r="576" spans="1:2" x14ac:dyDescent="0.25">
      <c r="A576" s="3">
        <v>56</v>
      </c>
      <c r="B576" s="19">
        <v>30.4</v>
      </c>
    </row>
    <row r="577" spans="1:2" x14ac:dyDescent="0.25">
      <c r="A577" s="4">
        <v>24</v>
      </c>
      <c r="B577" s="20">
        <v>3.6</v>
      </c>
    </row>
    <row r="578" spans="1:2" x14ac:dyDescent="0.25">
      <c r="A578" s="3">
        <v>51</v>
      </c>
      <c r="B578" s="19">
        <v>42.4</v>
      </c>
    </row>
    <row r="579" spans="1:2" x14ac:dyDescent="0.25">
      <c r="A579" s="4">
        <v>33</v>
      </c>
      <c r="B579" s="20">
        <v>2</v>
      </c>
    </row>
    <row r="580" spans="1:2" x14ac:dyDescent="0.25">
      <c r="A580" s="3">
        <v>71</v>
      </c>
      <c r="B580" s="19">
        <v>17.2</v>
      </c>
    </row>
    <row r="581" spans="1:2" x14ac:dyDescent="0.25">
      <c r="A581" s="4">
        <v>14</v>
      </c>
      <c r="B581" s="20">
        <v>18.600000000000001</v>
      </c>
    </row>
    <row r="582" spans="1:2" x14ac:dyDescent="0.25">
      <c r="A582" s="3">
        <v>28</v>
      </c>
      <c r="B582" s="19">
        <v>36.4</v>
      </c>
    </row>
    <row r="583" spans="1:2" x14ac:dyDescent="0.25">
      <c r="A583" s="4">
        <v>40</v>
      </c>
      <c r="B583" s="20">
        <v>14.7</v>
      </c>
    </row>
    <row r="584" spans="1:2" x14ac:dyDescent="0.25">
      <c r="A584" s="3">
        <v>75</v>
      </c>
      <c r="B584" s="19">
        <v>6.2</v>
      </c>
    </row>
    <row r="585" spans="1:2" x14ac:dyDescent="0.25">
      <c r="A585" s="4">
        <v>31</v>
      </c>
      <c r="B585" s="20">
        <v>10</v>
      </c>
    </row>
    <row r="586" spans="1:2" x14ac:dyDescent="0.25">
      <c r="A586" s="3">
        <v>66</v>
      </c>
      <c r="B586" s="19">
        <v>13.6</v>
      </c>
    </row>
    <row r="587" spans="1:2" x14ac:dyDescent="0.25">
      <c r="A587" s="4">
        <v>76</v>
      </c>
      <c r="B587" s="20">
        <v>14.4</v>
      </c>
    </row>
    <row r="588" spans="1:2" x14ac:dyDescent="0.25">
      <c r="A588" s="3">
        <v>55</v>
      </c>
      <c r="B588" s="19">
        <v>19.2</v>
      </c>
    </row>
    <row r="589" spans="1:2" x14ac:dyDescent="0.25">
      <c r="A589" s="4">
        <v>70</v>
      </c>
      <c r="B589" s="20">
        <v>12</v>
      </c>
    </row>
    <row r="590" spans="1:2" x14ac:dyDescent="0.25">
      <c r="A590" s="3">
        <v>1</v>
      </c>
      <c r="B590" s="19">
        <v>14.4</v>
      </c>
    </row>
    <row r="591" spans="1:2" x14ac:dyDescent="0.25">
      <c r="A591" s="4">
        <v>21</v>
      </c>
      <c r="B591" s="20">
        <v>8</v>
      </c>
    </row>
    <row r="592" spans="1:2" x14ac:dyDescent="0.25">
      <c r="A592" s="3">
        <v>39</v>
      </c>
      <c r="B592" s="19">
        <v>14.4</v>
      </c>
    </row>
    <row r="593" spans="1:2" x14ac:dyDescent="0.25">
      <c r="A593" s="4">
        <v>10</v>
      </c>
      <c r="B593" s="20">
        <v>24.8</v>
      </c>
    </row>
    <row r="594" spans="1:2" x14ac:dyDescent="0.25">
      <c r="A594" s="3">
        <v>38</v>
      </c>
      <c r="B594" s="19">
        <v>210.8</v>
      </c>
    </row>
    <row r="595" spans="1:2" x14ac:dyDescent="0.25">
      <c r="A595" s="4">
        <v>53</v>
      </c>
      <c r="B595" s="20">
        <v>26.2</v>
      </c>
    </row>
    <row r="596" spans="1:2" x14ac:dyDescent="0.25">
      <c r="A596" s="3">
        <v>59</v>
      </c>
      <c r="B596" s="19">
        <v>44</v>
      </c>
    </row>
    <row r="597" spans="1:2" x14ac:dyDescent="0.25">
      <c r="A597" s="4">
        <v>64</v>
      </c>
      <c r="B597" s="20">
        <v>26.6</v>
      </c>
    </row>
    <row r="598" spans="1:2" x14ac:dyDescent="0.25">
      <c r="A598" s="3">
        <v>47</v>
      </c>
      <c r="B598" s="19">
        <v>7.6</v>
      </c>
    </row>
    <row r="599" spans="1:2" x14ac:dyDescent="0.25">
      <c r="A599" s="4">
        <v>59</v>
      </c>
      <c r="B599" s="20">
        <v>44</v>
      </c>
    </row>
    <row r="600" spans="1:2" x14ac:dyDescent="0.25">
      <c r="A600" s="3">
        <v>49</v>
      </c>
      <c r="B600" s="19">
        <v>16</v>
      </c>
    </row>
    <row r="601" spans="1:2" x14ac:dyDescent="0.25">
      <c r="A601" s="4">
        <v>60</v>
      </c>
      <c r="B601" s="20">
        <v>27.2</v>
      </c>
    </row>
    <row r="602" spans="1:2" x14ac:dyDescent="0.25">
      <c r="A602" s="3">
        <v>40</v>
      </c>
      <c r="B602" s="19">
        <v>14.7</v>
      </c>
    </row>
    <row r="603" spans="1:2" x14ac:dyDescent="0.25">
      <c r="A603" s="4">
        <v>34</v>
      </c>
      <c r="B603" s="20">
        <v>11.2</v>
      </c>
    </row>
    <row r="604" spans="1:2" x14ac:dyDescent="0.25">
      <c r="A604" s="3">
        <v>77</v>
      </c>
      <c r="B604" s="19">
        <v>10.4</v>
      </c>
    </row>
    <row r="605" spans="1:2" x14ac:dyDescent="0.25">
      <c r="A605" s="4">
        <v>21</v>
      </c>
      <c r="B605" s="20">
        <v>8</v>
      </c>
    </row>
    <row r="606" spans="1:2" x14ac:dyDescent="0.25">
      <c r="A606" s="3">
        <v>40</v>
      </c>
      <c r="B606" s="19">
        <v>14.7</v>
      </c>
    </row>
    <row r="607" spans="1:2" x14ac:dyDescent="0.25">
      <c r="A607" s="4">
        <v>51</v>
      </c>
      <c r="B607" s="20">
        <v>42.4</v>
      </c>
    </row>
    <row r="608" spans="1:2" x14ac:dyDescent="0.25">
      <c r="A608" s="3">
        <v>2</v>
      </c>
      <c r="B608" s="19">
        <v>15.2</v>
      </c>
    </row>
    <row r="609" spans="1:2" x14ac:dyDescent="0.25">
      <c r="A609" s="4">
        <v>3</v>
      </c>
      <c r="B609" s="20">
        <v>8</v>
      </c>
    </row>
    <row r="610" spans="1:2" x14ac:dyDescent="0.25">
      <c r="A610" s="3">
        <v>55</v>
      </c>
      <c r="B610" s="19">
        <v>19.2</v>
      </c>
    </row>
    <row r="611" spans="1:2" x14ac:dyDescent="0.25">
      <c r="A611" s="4">
        <v>70</v>
      </c>
      <c r="B611" s="20">
        <v>12</v>
      </c>
    </row>
    <row r="612" spans="1:2" x14ac:dyDescent="0.25">
      <c r="A612" s="3">
        <v>11</v>
      </c>
      <c r="B612" s="19">
        <v>16.8</v>
      </c>
    </row>
    <row r="613" spans="1:2" x14ac:dyDescent="0.25">
      <c r="A613" s="4">
        <v>51</v>
      </c>
      <c r="B613" s="20">
        <v>42.4</v>
      </c>
    </row>
    <row r="614" spans="1:2" x14ac:dyDescent="0.25">
      <c r="A614" s="3">
        <v>74</v>
      </c>
      <c r="B614" s="19">
        <v>8</v>
      </c>
    </row>
    <row r="615" spans="1:2" x14ac:dyDescent="0.25">
      <c r="A615" s="4">
        <v>19</v>
      </c>
      <c r="B615" s="20">
        <v>7.3</v>
      </c>
    </row>
    <row r="616" spans="1:2" x14ac:dyDescent="0.25">
      <c r="A616" s="3">
        <v>26</v>
      </c>
      <c r="B616" s="19">
        <v>24.9</v>
      </c>
    </row>
    <row r="617" spans="1:2" x14ac:dyDescent="0.25">
      <c r="A617" s="4">
        <v>54</v>
      </c>
      <c r="B617" s="20">
        <v>5.9</v>
      </c>
    </row>
    <row r="618" spans="1:2" x14ac:dyDescent="0.25">
      <c r="A618" s="3">
        <v>59</v>
      </c>
      <c r="B618" s="19">
        <v>44</v>
      </c>
    </row>
    <row r="619" spans="1:2" x14ac:dyDescent="0.25">
      <c r="A619" s="4">
        <v>73</v>
      </c>
      <c r="B619" s="20">
        <v>12</v>
      </c>
    </row>
    <row r="620" spans="1:2" x14ac:dyDescent="0.25">
      <c r="A620" s="3">
        <v>11</v>
      </c>
      <c r="B620" s="19">
        <v>16.8</v>
      </c>
    </row>
    <row r="621" spans="1:2" x14ac:dyDescent="0.25">
      <c r="A621" s="4">
        <v>16</v>
      </c>
      <c r="B621" s="20">
        <v>13.9</v>
      </c>
    </row>
    <row r="622" spans="1:2" x14ac:dyDescent="0.25">
      <c r="A622" s="3">
        <v>59</v>
      </c>
      <c r="B622" s="19">
        <v>44</v>
      </c>
    </row>
    <row r="623" spans="1:2" x14ac:dyDescent="0.25">
      <c r="A623" s="4">
        <v>68</v>
      </c>
      <c r="B623" s="20">
        <v>10</v>
      </c>
    </row>
    <row r="624" spans="1:2" x14ac:dyDescent="0.25">
      <c r="A624" s="3">
        <v>75</v>
      </c>
      <c r="B624" s="19">
        <v>6.2</v>
      </c>
    </row>
    <row r="625" spans="1:2" x14ac:dyDescent="0.25">
      <c r="A625" s="4">
        <v>44</v>
      </c>
      <c r="B625" s="20">
        <v>15.5</v>
      </c>
    </row>
    <row r="626" spans="1:2" x14ac:dyDescent="0.25">
      <c r="A626" s="3">
        <v>77</v>
      </c>
      <c r="B626" s="19">
        <v>10.4</v>
      </c>
    </row>
    <row r="627" spans="1:2" x14ac:dyDescent="0.25">
      <c r="A627" s="4">
        <v>25</v>
      </c>
      <c r="B627" s="20">
        <v>11.2</v>
      </c>
    </row>
    <row r="628" spans="1:2" x14ac:dyDescent="0.25">
      <c r="A628" s="3">
        <v>42</v>
      </c>
      <c r="B628" s="19">
        <v>11.2</v>
      </c>
    </row>
    <row r="629" spans="1:2" x14ac:dyDescent="0.25">
      <c r="A629" s="4">
        <v>65</v>
      </c>
      <c r="B629" s="20">
        <v>16.8</v>
      </c>
    </row>
    <row r="630" spans="1:2" x14ac:dyDescent="0.25">
      <c r="A630" s="3">
        <v>66</v>
      </c>
      <c r="B630" s="19">
        <v>13.6</v>
      </c>
    </row>
    <row r="631" spans="1:2" x14ac:dyDescent="0.25">
      <c r="A631" s="4">
        <v>69</v>
      </c>
      <c r="B631" s="20">
        <v>28.8</v>
      </c>
    </row>
    <row r="632" spans="1:2" x14ac:dyDescent="0.25">
      <c r="A632" s="3">
        <v>56</v>
      </c>
      <c r="B632" s="19">
        <v>30.4</v>
      </c>
    </row>
    <row r="633" spans="1:2" x14ac:dyDescent="0.25">
      <c r="A633" s="4">
        <v>23</v>
      </c>
      <c r="B633" s="20">
        <v>7.2</v>
      </c>
    </row>
    <row r="634" spans="1:2" x14ac:dyDescent="0.25">
      <c r="A634" s="3">
        <v>41</v>
      </c>
      <c r="B634" s="19">
        <v>7.7</v>
      </c>
    </row>
    <row r="635" spans="1:2" x14ac:dyDescent="0.25">
      <c r="A635" s="4">
        <v>77</v>
      </c>
      <c r="B635" s="20">
        <v>10.4</v>
      </c>
    </row>
    <row r="636" spans="1:2" x14ac:dyDescent="0.25">
      <c r="A636" s="3">
        <v>31</v>
      </c>
      <c r="B636" s="19">
        <v>10</v>
      </c>
    </row>
    <row r="637" spans="1:2" x14ac:dyDescent="0.25">
      <c r="A637" s="4">
        <v>56</v>
      </c>
      <c r="B637" s="20">
        <v>30.4</v>
      </c>
    </row>
    <row r="638" spans="1:2" x14ac:dyDescent="0.25">
      <c r="A638" s="3">
        <v>72</v>
      </c>
      <c r="B638" s="19">
        <v>27.8</v>
      </c>
    </row>
    <row r="639" spans="1:2" x14ac:dyDescent="0.25">
      <c r="A639" s="4">
        <v>77</v>
      </c>
      <c r="B639" s="20">
        <v>10.4</v>
      </c>
    </row>
    <row r="640" spans="1:2" x14ac:dyDescent="0.25">
      <c r="A640" s="3">
        <v>24</v>
      </c>
      <c r="B640" s="19">
        <v>4.5</v>
      </c>
    </row>
    <row r="641" spans="1:2" x14ac:dyDescent="0.25">
      <c r="A641" s="4">
        <v>40</v>
      </c>
      <c r="B641" s="20">
        <v>18.399999999999999</v>
      </c>
    </row>
    <row r="642" spans="1:2" x14ac:dyDescent="0.25">
      <c r="A642" s="3">
        <v>42</v>
      </c>
      <c r="B642" s="19">
        <v>14</v>
      </c>
    </row>
    <row r="643" spans="1:2" x14ac:dyDescent="0.25">
      <c r="A643" s="4">
        <v>28</v>
      </c>
      <c r="B643" s="20">
        <v>45.6</v>
      </c>
    </row>
    <row r="644" spans="1:2" x14ac:dyDescent="0.25">
      <c r="A644" s="3">
        <v>49</v>
      </c>
      <c r="B644" s="19">
        <v>20</v>
      </c>
    </row>
    <row r="645" spans="1:2" x14ac:dyDescent="0.25">
      <c r="A645" s="4">
        <v>15</v>
      </c>
      <c r="B645" s="20">
        <v>15.5</v>
      </c>
    </row>
    <row r="646" spans="1:2" x14ac:dyDescent="0.25">
      <c r="A646" s="3">
        <v>28</v>
      </c>
      <c r="B646" s="19">
        <v>45.6</v>
      </c>
    </row>
    <row r="647" spans="1:2" x14ac:dyDescent="0.25">
      <c r="A647" s="4">
        <v>54</v>
      </c>
      <c r="B647" s="20">
        <v>7.45</v>
      </c>
    </row>
    <row r="648" spans="1:2" x14ac:dyDescent="0.25">
      <c r="A648" s="3">
        <v>45</v>
      </c>
      <c r="B648" s="19">
        <v>9.5</v>
      </c>
    </row>
    <row r="649" spans="1:2" x14ac:dyDescent="0.25">
      <c r="A649" s="4">
        <v>53</v>
      </c>
      <c r="B649" s="20">
        <v>32.799999999999997</v>
      </c>
    </row>
    <row r="650" spans="1:2" x14ac:dyDescent="0.25">
      <c r="A650" s="3">
        <v>67</v>
      </c>
      <c r="B650" s="19">
        <v>14</v>
      </c>
    </row>
    <row r="651" spans="1:2" x14ac:dyDescent="0.25">
      <c r="A651" s="4">
        <v>2</v>
      </c>
      <c r="B651" s="20">
        <v>19</v>
      </c>
    </row>
    <row r="652" spans="1:2" x14ac:dyDescent="0.25">
      <c r="A652" s="3">
        <v>21</v>
      </c>
      <c r="B652" s="19">
        <v>10</v>
      </c>
    </row>
    <row r="653" spans="1:2" x14ac:dyDescent="0.25">
      <c r="A653" s="4">
        <v>53</v>
      </c>
      <c r="B653" s="20">
        <v>32.799999999999997</v>
      </c>
    </row>
    <row r="654" spans="1:2" x14ac:dyDescent="0.25">
      <c r="A654" s="3">
        <v>61</v>
      </c>
      <c r="B654" s="19">
        <v>28.5</v>
      </c>
    </row>
    <row r="655" spans="1:2" x14ac:dyDescent="0.25">
      <c r="A655" s="4">
        <v>62</v>
      </c>
      <c r="B655" s="20">
        <v>49.3</v>
      </c>
    </row>
    <row r="656" spans="1:2" x14ac:dyDescent="0.25">
      <c r="A656" s="3">
        <v>25</v>
      </c>
      <c r="B656" s="19">
        <v>14</v>
      </c>
    </row>
    <row r="657" spans="1:2" x14ac:dyDescent="0.25">
      <c r="A657" s="4">
        <v>70</v>
      </c>
      <c r="B657" s="20">
        <v>15</v>
      </c>
    </row>
    <row r="658" spans="1:2" x14ac:dyDescent="0.25">
      <c r="A658" s="3">
        <v>43</v>
      </c>
      <c r="B658" s="19">
        <v>46</v>
      </c>
    </row>
    <row r="659" spans="1:2" x14ac:dyDescent="0.25">
      <c r="A659" s="4">
        <v>48</v>
      </c>
      <c r="B659" s="20">
        <v>12.75</v>
      </c>
    </row>
    <row r="660" spans="1:2" x14ac:dyDescent="0.25">
      <c r="A660" s="3">
        <v>13</v>
      </c>
      <c r="B660" s="19">
        <v>6</v>
      </c>
    </row>
    <row r="661" spans="1:2" x14ac:dyDescent="0.25">
      <c r="A661" s="4">
        <v>39</v>
      </c>
      <c r="B661" s="20">
        <v>18</v>
      </c>
    </row>
    <row r="662" spans="1:2" x14ac:dyDescent="0.25">
      <c r="A662" s="3">
        <v>28</v>
      </c>
      <c r="B662" s="19">
        <v>45.6</v>
      </c>
    </row>
    <row r="663" spans="1:2" x14ac:dyDescent="0.25">
      <c r="A663" s="4">
        <v>29</v>
      </c>
      <c r="B663" s="20">
        <v>123.79</v>
      </c>
    </row>
    <row r="664" spans="1:2" x14ac:dyDescent="0.25">
      <c r="A664" s="3">
        <v>75</v>
      </c>
      <c r="B664" s="19">
        <v>7.75</v>
      </c>
    </row>
    <row r="665" spans="1:2" x14ac:dyDescent="0.25">
      <c r="A665" s="4">
        <v>4</v>
      </c>
      <c r="B665" s="20">
        <v>22</v>
      </c>
    </row>
    <row r="666" spans="1:2" x14ac:dyDescent="0.25">
      <c r="A666" s="3">
        <v>7</v>
      </c>
      <c r="B666" s="19">
        <v>30</v>
      </c>
    </row>
    <row r="667" spans="1:2" x14ac:dyDescent="0.25">
      <c r="A667" s="4">
        <v>8</v>
      </c>
      <c r="B667" s="20">
        <v>40</v>
      </c>
    </row>
    <row r="668" spans="1:2" x14ac:dyDescent="0.25">
      <c r="A668" s="3">
        <v>24</v>
      </c>
      <c r="B668" s="19">
        <v>4.5</v>
      </c>
    </row>
    <row r="669" spans="1:2" x14ac:dyDescent="0.25">
      <c r="A669" s="4">
        <v>46</v>
      </c>
      <c r="B669" s="20">
        <v>12</v>
      </c>
    </row>
    <row r="670" spans="1:2" x14ac:dyDescent="0.25">
      <c r="A670" s="3">
        <v>47</v>
      </c>
      <c r="B670" s="19">
        <v>9.5</v>
      </c>
    </row>
    <row r="671" spans="1:2" x14ac:dyDescent="0.25">
      <c r="A671" s="4">
        <v>60</v>
      </c>
      <c r="B671" s="20">
        <v>34</v>
      </c>
    </row>
    <row r="672" spans="1:2" x14ac:dyDescent="0.25">
      <c r="A672" s="3">
        <v>21</v>
      </c>
      <c r="B672" s="19">
        <v>10</v>
      </c>
    </row>
    <row r="673" spans="1:2" x14ac:dyDescent="0.25">
      <c r="A673" s="4">
        <v>32</v>
      </c>
      <c r="B673" s="20">
        <v>32</v>
      </c>
    </row>
    <row r="674" spans="1:2" x14ac:dyDescent="0.25">
      <c r="A674" s="3">
        <v>61</v>
      </c>
      <c r="B674" s="19">
        <v>28.5</v>
      </c>
    </row>
    <row r="675" spans="1:2" x14ac:dyDescent="0.25">
      <c r="A675" s="4">
        <v>20</v>
      </c>
      <c r="B675" s="20">
        <v>81</v>
      </c>
    </row>
    <row r="676" spans="1:2" x14ac:dyDescent="0.25">
      <c r="A676" s="3">
        <v>28</v>
      </c>
      <c r="B676" s="19">
        <v>45.6</v>
      </c>
    </row>
    <row r="677" spans="1:2" x14ac:dyDescent="0.25">
      <c r="A677" s="4">
        <v>56</v>
      </c>
      <c r="B677" s="20">
        <v>38</v>
      </c>
    </row>
    <row r="678" spans="1:2" x14ac:dyDescent="0.25">
      <c r="A678" s="3">
        <v>65</v>
      </c>
      <c r="B678" s="19">
        <v>21.05</v>
      </c>
    </row>
    <row r="679" spans="1:2" x14ac:dyDescent="0.25">
      <c r="A679" s="4">
        <v>75</v>
      </c>
      <c r="B679" s="20">
        <v>7.75</v>
      </c>
    </row>
    <row r="680" spans="1:2" x14ac:dyDescent="0.25">
      <c r="A680" s="3">
        <v>9</v>
      </c>
      <c r="B680" s="19">
        <v>97</v>
      </c>
    </row>
    <row r="681" spans="1:2" x14ac:dyDescent="0.25">
      <c r="A681" s="4">
        <v>16</v>
      </c>
      <c r="B681" s="20">
        <v>17.45</v>
      </c>
    </row>
    <row r="682" spans="1:2" x14ac:dyDescent="0.25">
      <c r="A682" s="3">
        <v>27</v>
      </c>
      <c r="B682" s="19">
        <v>43.9</v>
      </c>
    </row>
    <row r="683" spans="1:2" x14ac:dyDescent="0.25">
      <c r="A683" s="4">
        <v>33</v>
      </c>
      <c r="B683" s="20">
        <v>2.5</v>
      </c>
    </row>
    <row r="684" spans="1:2" x14ac:dyDescent="0.25">
      <c r="A684" s="3">
        <v>60</v>
      </c>
      <c r="B684" s="19">
        <v>34</v>
      </c>
    </row>
    <row r="685" spans="1:2" x14ac:dyDescent="0.25">
      <c r="A685" s="4">
        <v>52</v>
      </c>
      <c r="B685" s="20">
        <v>7</v>
      </c>
    </row>
    <row r="686" spans="1:2" x14ac:dyDescent="0.25">
      <c r="A686" s="3">
        <v>59</v>
      </c>
      <c r="B686" s="19">
        <v>55</v>
      </c>
    </row>
    <row r="687" spans="1:2" x14ac:dyDescent="0.25">
      <c r="A687" s="4">
        <v>70</v>
      </c>
      <c r="B687" s="20">
        <v>15</v>
      </c>
    </row>
    <row r="688" spans="1:2" x14ac:dyDescent="0.25">
      <c r="A688" s="3">
        <v>24</v>
      </c>
      <c r="B688" s="19">
        <v>4.5</v>
      </c>
    </row>
    <row r="689" spans="1:2" x14ac:dyDescent="0.25">
      <c r="A689" s="4">
        <v>38</v>
      </c>
      <c r="B689" s="20">
        <v>263.5</v>
      </c>
    </row>
    <row r="690" spans="1:2" x14ac:dyDescent="0.25">
      <c r="A690" s="3">
        <v>44</v>
      </c>
      <c r="B690" s="19">
        <v>19.45</v>
      </c>
    </row>
    <row r="691" spans="1:2" x14ac:dyDescent="0.25">
      <c r="A691" s="4">
        <v>10</v>
      </c>
      <c r="B691" s="20">
        <v>31</v>
      </c>
    </row>
    <row r="692" spans="1:2" x14ac:dyDescent="0.25">
      <c r="A692" s="3">
        <v>56</v>
      </c>
      <c r="B692" s="19">
        <v>38</v>
      </c>
    </row>
    <row r="693" spans="1:2" x14ac:dyDescent="0.25">
      <c r="A693" s="4">
        <v>60</v>
      </c>
      <c r="B693" s="20">
        <v>34</v>
      </c>
    </row>
    <row r="694" spans="1:2" x14ac:dyDescent="0.25">
      <c r="A694" s="3">
        <v>24</v>
      </c>
      <c r="B694" s="19">
        <v>4.5</v>
      </c>
    </row>
    <row r="695" spans="1:2" x14ac:dyDescent="0.25">
      <c r="A695" s="4">
        <v>53</v>
      </c>
      <c r="B695" s="20">
        <v>32.799999999999997</v>
      </c>
    </row>
    <row r="696" spans="1:2" x14ac:dyDescent="0.25">
      <c r="A696" s="3">
        <v>35</v>
      </c>
      <c r="B696" s="19">
        <v>18</v>
      </c>
    </row>
    <row r="697" spans="1:2" x14ac:dyDescent="0.25">
      <c r="A697" s="4">
        <v>41</v>
      </c>
      <c r="B697" s="20">
        <v>9.65</v>
      </c>
    </row>
    <row r="698" spans="1:2" x14ac:dyDescent="0.25">
      <c r="A698" s="3">
        <v>68</v>
      </c>
      <c r="B698" s="19">
        <v>12.5</v>
      </c>
    </row>
    <row r="699" spans="1:2" x14ac:dyDescent="0.25">
      <c r="A699" s="4">
        <v>1</v>
      </c>
      <c r="B699" s="20">
        <v>18</v>
      </c>
    </row>
    <row r="700" spans="1:2" x14ac:dyDescent="0.25">
      <c r="A700" s="3">
        <v>8</v>
      </c>
      <c r="B700" s="19">
        <v>40</v>
      </c>
    </row>
    <row r="701" spans="1:2" x14ac:dyDescent="0.25">
      <c r="A701" s="4">
        <v>30</v>
      </c>
      <c r="B701" s="20">
        <v>25.89</v>
      </c>
    </row>
    <row r="702" spans="1:2" x14ac:dyDescent="0.25">
      <c r="A702" s="3">
        <v>40</v>
      </c>
      <c r="B702" s="19">
        <v>18.399999999999999</v>
      </c>
    </row>
    <row r="703" spans="1:2" x14ac:dyDescent="0.25">
      <c r="A703" s="4">
        <v>17</v>
      </c>
      <c r="B703" s="20">
        <v>39</v>
      </c>
    </row>
    <row r="704" spans="1:2" x14ac:dyDescent="0.25">
      <c r="A704" s="3">
        <v>20</v>
      </c>
      <c r="B704" s="19">
        <v>81</v>
      </c>
    </row>
    <row r="705" spans="1:2" x14ac:dyDescent="0.25">
      <c r="A705" s="4">
        <v>37</v>
      </c>
      <c r="B705" s="20">
        <v>26</v>
      </c>
    </row>
    <row r="706" spans="1:2" x14ac:dyDescent="0.25">
      <c r="A706" s="3">
        <v>41</v>
      </c>
      <c r="B706" s="19">
        <v>9.65</v>
      </c>
    </row>
    <row r="707" spans="1:2" x14ac:dyDescent="0.25">
      <c r="A707" s="4">
        <v>10</v>
      </c>
      <c r="B707" s="20">
        <v>31</v>
      </c>
    </row>
    <row r="708" spans="1:2" x14ac:dyDescent="0.25">
      <c r="A708" s="3">
        <v>30</v>
      </c>
      <c r="B708" s="19">
        <v>25.89</v>
      </c>
    </row>
    <row r="709" spans="1:2" x14ac:dyDescent="0.25">
      <c r="A709" s="4">
        <v>43</v>
      </c>
      <c r="B709" s="20">
        <v>46</v>
      </c>
    </row>
    <row r="710" spans="1:2" x14ac:dyDescent="0.25">
      <c r="A710" s="3">
        <v>54</v>
      </c>
      <c r="B710" s="19">
        <v>7.45</v>
      </c>
    </row>
    <row r="711" spans="1:2" x14ac:dyDescent="0.25">
      <c r="A711" s="4">
        <v>36</v>
      </c>
      <c r="B711" s="20">
        <v>19</v>
      </c>
    </row>
    <row r="712" spans="1:2" x14ac:dyDescent="0.25">
      <c r="A712" s="3">
        <v>40</v>
      </c>
      <c r="B712" s="19">
        <v>18.399999999999999</v>
      </c>
    </row>
    <row r="713" spans="1:2" x14ac:dyDescent="0.25">
      <c r="A713" s="4">
        <v>1</v>
      </c>
      <c r="B713" s="20">
        <v>18</v>
      </c>
    </row>
    <row r="714" spans="1:2" x14ac:dyDescent="0.25">
      <c r="A714" s="3">
        <v>13</v>
      </c>
      <c r="B714" s="19">
        <v>6</v>
      </c>
    </row>
    <row r="715" spans="1:2" x14ac:dyDescent="0.25">
      <c r="A715" s="4">
        <v>56</v>
      </c>
      <c r="B715" s="20">
        <v>38</v>
      </c>
    </row>
    <row r="716" spans="1:2" x14ac:dyDescent="0.25">
      <c r="A716" s="3">
        <v>4</v>
      </c>
      <c r="B716" s="19">
        <v>22</v>
      </c>
    </row>
    <row r="717" spans="1:2" x14ac:dyDescent="0.25">
      <c r="A717" s="4">
        <v>36</v>
      </c>
      <c r="B717" s="20">
        <v>19</v>
      </c>
    </row>
    <row r="718" spans="1:2" x14ac:dyDescent="0.25">
      <c r="A718" s="3">
        <v>11</v>
      </c>
      <c r="B718" s="19">
        <v>21</v>
      </c>
    </row>
    <row r="719" spans="1:2" x14ac:dyDescent="0.25">
      <c r="A719" s="4">
        <v>33</v>
      </c>
      <c r="B719" s="20">
        <v>2.5</v>
      </c>
    </row>
    <row r="720" spans="1:2" x14ac:dyDescent="0.25">
      <c r="A720" s="3">
        <v>72</v>
      </c>
      <c r="B720" s="19">
        <v>34.799999999999997</v>
      </c>
    </row>
    <row r="721" spans="1:2" x14ac:dyDescent="0.25">
      <c r="A721" s="4">
        <v>55</v>
      </c>
      <c r="B721" s="20">
        <v>24</v>
      </c>
    </row>
    <row r="722" spans="1:2" x14ac:dyDescent="0.25">
      <c r="A722" s="3">
        <v>68</v>
      </c>
      <c r="B722" s="19">
        <v>12.5</v>
      </c>
    </row>
    <row r="723" spans="1:2" x14ac:dyDescent="0.25">
      <c r="A723" s="4">
        <v>69</v>
      </c>
      <c r="B723" s="20">
        <v>36</v>
      </c>
    </row>
    <row r="724" spans="1:2" x14ac:dyDescent="0.25">
      <c r="A724" s="3">
        <v>17</v>
      </c>
      <c r="B724" s="19">
        <v>39</v>
      </c>
    </row>
    <row r="725" spans="1:2" x14ac:dyDescent="0.25">
      <c r="A725" s="4">
        <v>43</v>
      </c>
      <c r="B725" s="20">
        <v>46</v>
      </c>
    </row>
    <row r="726" spans="1:2" x14ac:dyDescent="0.25">
      <c r="A726" s="3">
        <v>61</v>
      </c>
      <c r="B726" s="19">
        <v>28.5</v>
      </c>
    </row>
    <row r="727" spans="1:2" x14ac:dyDescent="0.25">
      <c r="A727" s="4">
        <v>76</v>
      </c>
      <c r="B727" s="20">
        <v>18</v>
      </c>
    </row>
    <row r="728" spans="1:2" x14ac:dyDescent="0.25">
      <c r="A728" s="3">
        <v>59</v>
      </c>
      <c r="B728" s="19">
        <v>55</v>
      </c>
    </row>
    <row r="729" spans="1:2" x14ac:dyDescent="0.25">
      <c r="A729" s="4">
        <v>30</v>
      </c>
      <c r="B729" s="20">
        <v>25.89</v>
      </c>
    </row>
    <row r="730" spans="1:2" x14ac:dyDescent="0.25">
      <c r="A730" s="3">
        <v>66</v>
      </c>
      <c r="B730" s="19">
        <v>17</v>
      </c>
    </row>
    <row r="731" spans="1:2" x14ac:dyDescent="0.25">
      <c r="A731" s="4">
        <v>4</v>
      </c>
      <c r="B731" s="20">
        <v>22</v>
      </c>
    </row>
    <row r="732" spans="1:2" x14ac:dyDescent="0.25">
      <c r="A732" s="3">
        <v>72</v>
      </c>
      <c r="B732" s="19">
        <v>34.799999999999997</v>
      </c>
    </row>
    <row r="733" spans="1:2" x14ac:dyDescent="0.25">
      <c r="A733" s="4">
        <v>73</v>
      </c>
      <c r="B733" s="20">
        <v>15</v>
      </c>
    </row>
    <row r="734" spans="1:2" x14ac:dyDescent="0.25">
      <c r="A734" s="3">
        <v>30</v>
      </c>
      <c r="B734" s="19">
        <v>25.89</v>
      </c>
    </row>
    <row r="735" spans="1:2" x14ac:dyDescent="0.25">
      <c r="A735" s="4">
        <v>40</v>
      </c>
      <c r="B735" s="20">
        <v>18.399999999999999</v>
      </c>
    </row>
    <row r="736" spans="1:2" x14ac:dyDescent="0.25">
      <c r="A736" s="3">
        <v>54</v>
      </c>
      <c r="B736" s="19">
        <v>7.45</v>
      </c>
    </row>
    <row r="737" spans="1:2" x14ac:dyDescent="0.25">
      <c r="A737" s="4">
        <v>11</v>
      </c>
      <c r="B737" s="20">
        <v>21</v>
      </c>
    </row>
    <row r="738" spans="1:2" x14ac:dyDescent="0.25">
      <c r="A738" s="3">
        <v>40</v>
      </c>
      <c r="B738" s="19">
        <v>18.399999999999999</v>
      </c>
    </row>
    <row r="739" spans="1:2" x14ac:dyDescent="0.25">
      <c r="A739" s="4">
        <v>57</v>
      </c>
      <c r="B739" s="20">
        <v>19.5</v>
      </c>
    </row>
    <row r="740" spans="1:2" x14ac:dyDescent="0.25">
      <c r="A740" s="3">
        <v>59</v>
      </c>
      <c r="B740" s="19">
        <v>55</v>
      </c>
    </row>
    <row r="741" spans="1:2" x14ac:dyDescent="0.25">
      <c r="A741" s="4">
        <v>12</v>
      </c>
      <c r="B741" s="20">
        <v>38</v>
      </c>
    </row>
    <row r="742" spans="1:2" x14ac:dyDescent="0.25">
      <c r="A742" s="3">
        <v>31</v>
      </c>
      <c r="B742" s="19">
        <v>12.5</v>
      </c>
    </row>
    <row r="743" spans="1:2" x14ac:dyDescent="0.25">
      <c r="A743" s="4">
        <v>33</v>
      </c>
      <c r="B743" s="20">
        <v>2.5</v>
      </c>
    </row>
    <row r="744" spans="1:2" x14ac:dyDescent="0.25">
      <c r="A744" s="3">
        <v>60</v>
      </c>
      <c r="B744" s="19">
        <v>34</v>
      </c>
    </row>
    <row r="745" spans="1:2" x14ac:dyDescent="0.25">
      <c r="A745" s="4">
        <v>31</v>
      </c>
      <c r="B745" s="20">
        <v>12.5</v>
      </c>
    </row>
    <row r="746" spans="1:2" x14ac:dyDescent="0.25">
      <c r="A746" s="3">
        <v>51</v>
      </c>
      <c r="B746" s="19">
        <v>53</v>
      </c>
    </row>
    <row r="747" spans="1:2" x14ac:dyDescent="0.25">
      <c r="A747" s="4">
        <v>58</v>
      </c>
      <c r="B747" s="20">
        <v>13.25</v>
      </c>
    </row>
    <row r="748" spans="1:2" x14ac:dyDescent="0.25">
      <c r="A748" s="3">
        <v>72</v>
      </c>
      <c r="B748" s="19">
        <v>34.799999999999997</v>
      </c>
    </row>
    <row r="749" spans="1:2" x14ac:dyDescent="0.25">
      <c r="A749" s="4">
        <v>73</v>
      </c>
      <c r="B749" s="20">
        <v>15</v>
      </c>
    </row>
    <row r="750" spans="1:2" x14ac:dyDescent="0.25">
      <c r="A750" s="3">
        <v>70</v>
      </c>
      <c r="B750" s="19">
        <v>15</v>
      </c>
    </row>
    <row r="751" spans="1:2" x14ac:dyDescent="0.25">
      <c r="A751" s="4">
        <v>72</v>
      </c>
      <c r="B751" s="20">
        <v>34.799999999999997</v>
      </c>
    </row>
    <row r="752" spans="1:2" x14ac:dyDescent="0.25">
      <c r="A752" s="3">
        <v>13</v>
      </c>
      <c r="B752" s="19">
        <v>6</v>
      </c>
    </row>
    <row r="753" spans="1:2" x14ac:dyDescent="0.25">
      <c r="A753" s="4">
        <v>21</v>
      </c>
      <c r="B753" s="20">
        <v>10</v>
      </c>
    </row>
    <row r="754" spans="1:2" x14ac:dyDescent="0.25">
      <c r="A754" s="3">
        <v>33</v>
      </c>
      <c r="B754" s="19">
        <v>2.5</v>
      </c>
    </row>
    <row r="755" spans="1:2" x14ac:dyDescent="0.25">
      <c r="A755" s="4">
        <v>49</v>
      </c>
      <c r="B755" s="20">
        <v>20</v>
      </c>
    </row>
    <row r="756" spans="1:2" x14ac:dyDescent="0.25">
      <c r="A756" s="3">
        <v>3</v>
      </c>
      <c r="B756" s="19">
        <v>10</v>
      </c>
    </row>
    <row r="757" spans="1:2" x14ac:dyDescent="0.25">
      <c r="A757" s="4">
        <v>26</v>
      </c>
      <c r="B757" s="20">
        <v>31.23</v>
      </c>
    </row>
    <row r="758" spans="1:2" x14ac:dyDescent="0.25">
      <c r="A758" s="3">
        <v>38</v>
      </c>
      <c r="B758" s="19">
        <v>263.5</v>
      </c>
    </row>
    <row r="759" spans="1:2" x14ac:dyDescent="0.25">
      <c r="A759" s="4">
        <v>68</v>
      </c>
      <c r="B759" s="20">
        <v>12.5</v>
      </c>
    </row>
    <row r="760" spans="1:2" x14ac:dyDescent="0.25">
      <c r="A760" s="3">
        <v>24</v>
      </c>
      <c r="B760" s="19">
        <v>4.5</v>
      </c>
    </row>
    <row r="761" spans="1:2" x14ac:dyDescent="0.25">
      <c r="A761" s="4">
        <v>38</v>
      </c>
      <c r="B761" s="20">
        <v>263.5</v>
      </c>
    </row>
    <row r="762" spans="1:2" x14ac:dyDescent="0.25">
      <c r="A762" s="3">
        <v>65</v>
      </c>
      <c r="B762" s="19">
        <v>21.05</v>
      </c>
    </row>
    <row r="763" spans="1:2" x14ac:dyDescent="0.25">
      <c r="A763" s="4">
        <v>71</v>
      </c>
      <c r="B763" s="20">
        <v>21.5</v>
      </c>
    </row>
    <row r="764" spans="1:2" x14ac:dyDescent="0.25">
      <c r="A764" s="3">
        <v>11</v>
      </c>
      <c r="B764" s="19">
        <v>21</v>
      </c>
    </row>
    <row r="765" spans="1:2" x14ac:dyDescent="0.25">
      <c r="A765" s="4">
        <v>54</v>
      </c>
      <c r="B765" s="20">
        <v>7.45</v>
      </c>
    </row>
    <row r="766" spans="1:2" x14ac:dyDescent="0.25">
      <c r="A766" s="3">
        <v>12</v>
      </c>
      <c r="B766" s="19">
        <v>38</v>
      </c>
    </row>
    <row r="767" spans="1:2" x14ac:dyDescent="0.25">
      <c r="A767" s="4">
        <v>23</v>
      </c>
      <c r="B767" s="20">
        <v>9</v>
      </c>
    </row>
    <row r="768" spans="1:2" x14ac:dyDescent="0.25">
      <c r="A768" s="3">
        <v>28</v>
      </c>
      <c r="B768" s="19">
        <v>45.6</v>
      </c>
    </row>
    <row r="769" spans="1:2" x14ac:dyDescent="0.25">
      <c r="A769" s="4">
        <v>67</v>
      </c>
      <c r="B769" s="20">
        <v>14</v>
      </c>
    </row>
    <row r="770" spans="1:2" x14ac:dyDescent="0.25">
      <c r="A770" s="3">
        <v>11</v>
      </c>
      <c r="B770" s="19">
        <v>21</v>
      </c>
    </row>
    <row r="771" spans="1:2" x14ac:dyDescent="0.25">
      <c r="A771" s="4">
        <v>7</v>
      </c>
      <c r="B771" s="20">
        <v>30</v>
      </c>
    </row>
    <row r="772" spans="1:2" x14ac:dyDescent="0.25">
      <c r="A772" s="3">
        <v>35</v>
      </c>
      <c r="B772" s="19">
        <v>18</v>
      </c>
    </row>
    <row r="773" spans="1:2" x14ac:dyDescent="0.25">
      <c r="A773" s="4">
        <v>62</v>
      </c>
      <c r="B773" s="20">
        <v>49.3</v>
      </c>
    </row>
    <row r="774" spans="1:2" x14ac:dyDescent="0.25">
      <c r="A774" s="3">
        <v>32</v>
      </c>
      <c r="B774" s="19">
        <v>32</v>
      </c>
    </row>
    <row r="775" spans="1:2" x14ac:dyDescent="0.25">
      <c r="A775" s="4">
        <v>36</v>
      </c>
      <c r="B775" s="20">
        <v>19</v>
      </c>
    </row>
    <row r="776" spans="1:2" x14ac:dyDescent="0.25">
      <c r="A776" s="3">
        <v>34</v>
      </c>
      <c r="B776" s="19">
        <v>14</v>
      </c>
    </row>
    <row r="777" spans="1:2" x14ac:dyDescent="0.25">
      <c r="A777" s="4">
        <v>41</v>
      </c>
      <c r="B777" s="20">
        <v>9.65</v>
      </c>
    </row>
    <row r="778" spans="1:2" x14ac:dyDescent="0.25">
      <c r="A778" s="3">
        <v>31</v>
      </c>
      <c r="B778" s="19">
        <v>12.5</v>
      </c>
    </row>
    <row r="779" spans="1:2" x14ac:dyDescent="0.25">
      <c r="A779" s="4">
        <v>45</v>
      </c>
      <c r="B779" s="20">
        <v>9.5</v>
      </c>
    </row>
    <row r="780" spans="1:2" x14ac:dyDescent="0.25">
      <c r="A780" s="3">
        <v>51</v>
      </c>
      <c r="B780" s="19">
        <v>53</v>
      </c>
    </row>
    <row r="781" spans="1:2" x14ac:dyDescent="0.25">
      <c r="A781" s="4">
        <v>17</v>
      </c>
      <c r="B781" s="20">
        <v>39</v>
      </c>
    </row>
    <row r="782" spans="1:2" x14ac:dyDescent="0.25">
      <c r="A782" s="3">
        <v>19</v>
      </c>
      <c r="B782" s="19">
        <v>9.1999999999999993</v>
      </c>
    </row>
    <row r="783" spans="1:2" x14ac:dyDescent="0.25">
      <c r="A783" s="4">
        <v>21</v>
      </c>
      <c r="B783" s="20">
        <v>10</v>
      </c>
    </row>
    <row r="784" spans="1:2" x14ac:dyDescent="0.25">
      <c r="A784" s="3">
        <v>61</v>
      </c>
      <c r="B784" s="19">
        <v>28.5</v>
      </c>
    </row>
    <row r="785" spans="1:2" x14ac:dyDescent="0.25">
      <c r="A785" s="4">
        <v>16</v>
      </c>
      <c r="B785" s="20">
        <v>17.45</v>
      </c>
    </row>
    <row r="786" spans="1:2" x14ac:dyDescent="0.25">
      <c r="A786" s="3">
        <v>35</v>
      </c>
      <c r="B786" s="19">
        <v>18</v>
      </c>
    </row>
    <row r="787" spans="1:2" x14ac:dyDescent="0.25">
      <c r="A787" s="4">
        <v>44</v>
      </c>
      <c r="B787" s="20">
        <v>19.45</v>
      </c>
    </row>
    <row r="788" spans="1:2" x14ac:dyDescent="0.25">
      <c r="A788" s="3">
        <v>69</v>
      </c>
      <c r="B788" s="19">
        <v>36</v>
      </c>
    </row>
    <row r="789" spans="1:2" x14ac:dyDescent="0.25">
      <c r="A789" s="4">
        <v>75</v>
      </c>
      <c r="B789" s="20">
        <v>7.75</v>
      </c>
    </row>
    <row r="790" spans="1:2" x14ac:dyDescent="0.25">
      <c r="A790" s="3">
        <v>11</v>
      </c>
      <c r="B790" s="19">
        <v>21</v>
      </c>
    </row>
    <row r="791" spans="1:2" x14ac:dyDescent="0.25">
      <c r="A791" s="4">
        <v>16</v>
      </c>
      <c r="B791" s="20">
        <v>17.45</v>
      </c>
    </row>
    <row r="792" spans="1:2" x14ac:dyDescent="0.25">
      <c r="A792" s="3">
        <v>22</v>
      </c>
      <c r="B792" s="19">
        <v>21</v>
      </c>
    </row>
    <row r="793" spans="1:2" x14ac:dyDescent="0.25">
      <c r="A793" s="4">
        <v>31</v>
      </c>
      <c r="B793" s="20">
        <v>12.5</v>
      </c>
    </row>
    <row r="794" spans="1:2" x14ac:dyDescent="0.25">
      <c r="A794" s="3">
        <v>35</v>
      </c>
      <c r="B794" s="19">
        <v>18</v>
      </c>
    </row>
    <row r="795" spans="1:2" x14ac:dyDescent="0.25">
      <c r="A795" s="4">
        <v>16</v>
      </c>
      <c r="B795" s="20">
        <v>17.45</v>
      </c>
    </row>
    <row r="796" spans="1:2" x14ac:dyDescent="0.25">
      <c r="A796" s="3">
        <v>23</v>
      </c>
      <c r="B796" s="19">
        <v>9</v>
      </c>
    </row>
    <row r="797" spans="1:2" x14ac:dyDescent="0.25">
      <c r="A797" s="4">
        <v>62</v>
      </c>
      <c r="B797" s="20">
        <v>49.3</v>
      </c>
    </row>
    <row r="798" spans="1:2" x14ac:dyDescent="0.25">
      <c r="A798" s="3">
        <v>77</v>
      </c>
      <c r="B798" s="19">
        <v>13</v>
      </c>
    </row>
    <row r="799" spans="1:2" x14ac:dyDescent="0.25">
      <c r="A799" s="4">
        <v>14</v>
      </c>
      <c r="B799" s="20">
        <v>23.25</v>
      </c>
    </row>
    <row r="800" spans="1:2" x14ac:dyDescent="0.25">
      <c r="A800" s="3">
        <v>19</v>
      </c>
      <c r="B800" s="19">
        <v>9.1999999999999993</v>
      </c>
    </row>
    <row r="801" spans="1:2" x14ac:dyDescent="0.25">
      <c r="A801" s="4">
        <v>24</v>
      </c>
      <c r="B801" s="20">
        <v>4.5</v>
      </c>
    </row>
    <row r="802" spans="1:2" x14ac:dyDescent="0.25">
      <c r="A802" s="3">
        <v>51</v>
      </c>
      <c r="B802" s="19">
        <v>53</v>
      </c>
    </row>
    <row r="803" spans="1:2" x14ac:dyDescent="0.25">
      <c r="A803" s="4">
        <v>56</v>
      </c>
      <c r="B803" s="20">
        <v>38</v>
      </c>
    </row>
    <row r="804" spans="1:2" x14ac:dyDescent="0.25">
      <c r="A804" s="3">
        <v>72</v>
      </c>
      <c r="B804" s="19">
        <v>34.799999999999997</v>
      </c>
    </row>
    <row r="805" spans="1:2" x14ac:dyDescent="0.25">
      <c r="A805" s="4">
        <v>64</v>
      </c>
      <c r="B805" s="20">
        <v>33.25</v>
      </c>
    </row>
    <row r="806" spans="1:2" x14ac:dyDescent="0.25">
      <c r="A806" s="3">
        <v>75</v>
      </c>
      <c r="B806" s="19">
        <v>7.75</v>
      </c>
    </row>
    <row r="807" spans="1:2" x14ac:dyDescent="0.25">
      <c r="A807" s="4">
        <v>47</v>
      </c>
      <c r="B807" s="20">
        <v>9.5</v>
      </c>
    </row>
    <row r="808" spans="1:2" x14ac:dyDescent="0.25">
      <c r="A808" s="3">
        <v>51</v>
      </c>
      <c r="B808" s="19">
        <v>53</v>
      </c>
    </row>
    <row r="809" spans="1:2" x14ac:dyDescent="0.25">
      <c r="A809" s="4">
        <v>52</v>
      </c>
      <c r="B809" s="20">
        <v>7</v>
      </c>
    </row>
    <row r="810" spans="1:2" x14ac:dyDescent="0.25">
      <c r="A810" s="3">
        <v>53</v>
      </c>
      <c r="B810" s="19">
        <v>32.799999999999997</v>
      </c>
    </row>
    <row r="811" spans="1:2" x14ac:dyDescent="0.25">
      <c r="A811" s="4">
        <v>73</v>
      </c>
      <c r="B811" s="20">
        <v>15</v>
      </c>
    </row>
    <row r="812" spans="1:2" x14ac:dyDescent="0.25">
      <c r="A812" s="3">
        <v>41</v>
      </c>
      <c r="B812" s="19">
        <v>9.65</v>
      </c>
    </row>
    <row r="813" spans="1:2" x14ac:dyDescent="0.25">
      <c r="A813" s="4">
        <v>55</v>
      </c>
      <c r="B813" s="20">
        <v>24</v>
      </c>
    </row>
    <row r="814" spans="1:2" x14ac:dyDescent="0.25">
      <c r="A814" s="3">
        <v>30</v>
      </c>
      <c r="B814" s="19">
        <v>25.89</v>
      </c>
    </row>
    <row r="815" spans="1:2" x14ac:dyDescent="0.25">
      <c r="A815" s="4">
        <v>62</v>
      </c>
      <c r="B815" s="20">
        <v>49.3</v>
      </c>
    </row>
    <row r="816" spans="1:2" x14ac:dyDescent="0.25">
      <c r="A816" s="3">
        <v>44</v>
      </c>
      <c r="B816" s="19">
        <v>19.45</v>
      </c>
    </row>
    <row r="817" spans="1:2" x14ac:dyDescent="0.25">
      <c r="A817" s="4">
        <v>51</v>
      </c>
      <c r="B817" s="20">
        <v>53</v>
      </c>
    </row>
    <row r="818" spans="1:2" x14ac:dyDescent="0.25">
      <c r="A818" s="3">
        <v>33</v>
      </c>
      <c r="B818" s="19">
        <v>2.5</v>
      </c>
    </row>
    <row r="819" spans="1:2" x14ac:dyDescent="0.25">
      <c r="A819" s="4">
        <v>62</v>
      </c>
      <c r="B819" s="20">
        <v>49.3</v>
      </c>
    </row>
    <row r="820" spans="1:2" x14ac:dyDescent="0.25">
      <c r="A820" s="3">
        <v>36</v>
      </c>
      <c r="B820" s="19">
        <v>19</v>
      </c>
    </row>
    <row r="821" spans="1:2" x14ac:dyDescent="0.25">
      <c r="A821" s="4">
        <v>52</v>
      </c>
      <c r="B821" s="20">
        <v>7</v>
      </c>
    </row>
    <row r="822" spans="1:2" x14ac:dyDescent="0.25">
      <c r="A822" s="3">
        <v>17</v>
      </c>
      <c r="B822" s="19">
        <v>39</v>
      </c>
    </row>
    <row r="823" spans="1:2" x14ac:dyDescent="0.25">
      <c r="A823" s="4">
        <v>31</v>
      </c>
      <c r="B823" s="20">
        <v>12.5</v>
      </c>
    </row>
    <row r="824" spans="1:2" x14ac:dyDescent="0.25">
      <c r="A824" s="3">
        <v>55</v>
      </c>
      <c r="B824" s="19">
        <v>24</v>
      </c>
    </row>
    <row r="825" spans="1:2" x14ac:dyDescent="0.25">
      <c r="A825" s="4">
        <v>24</v>
      </c>
      <c r="B825" s="20">
        <v>4.5</v>
      </c>
    </row>
    <row r="826" spans="1:2" x14ac:dyDescent="0.25">
      <c r="A826" s="3">
        <v>64</v>
      </c>
      <c r="B826" s="19">
        <v>33.25</v>
      </c>
    </row>
    <row r="827" spans="1:2" x14ac:dyDescent="0.25">
      <c r="A827" s="4">
        <v>11</v>
      </c>
      <c r="B827" s="20">
        <v>21</v>
      </c>
    </row>
    <row r="828" spans="1:2" x14ac:dyDescent="0.25">
      <c r="A828" s="3">
        <v>18</v>
      </c>
      <c r="B828" s="19">
        <v>62.5</v>
      </c>
    </row>
    <row r="829" spans="1:2" x14ac:dyDescent="0.25">
      <c r="A829" s="4">
        <v>76</v>
      </c>
      <c r="B829" s="20">
        <v>18</v>
      </c>
    </row>
    <row r="830" spans="1:2" x14ac:dyDescent="0.25">
      <c r="A830" s="3">
        <v>10</v>
      </c>
      <c r="B830" s="19">
        <v>31</v>
      </c>
    </row>
    <row r="831" spans="1:2" x14ac:dyDescent="0.25">
      <c r="A831" s="4">
        <v>31</v>
      </c>
      <c r="B831" s="20">
        <v>12.5</v>
      </c>
    </row>
    <row r="832" spans="1:2" x14ac:dyDescent="0.25">
      <c r="A832" s="3">
        <v>76</v>
      </c>
      <c r="B832" s="19">
        <v>18</v>
      </c>
    </row>
    <row r="833" spans="1:2" x14ac:dyDescent="0.25">
      <c r="A833" s="4">
        <v>11</v>
      </c>
      <c r="B833" s="20">
        <v>21</v>
      </c>
    </row>
    <row r="834" spans="1:2" x14ac:dyDescent="0.25">
      <c r="A834" s="3">
        <v>56</v>
      </c>
      <c r="B834" s="19">
        <v>38</v>
      </c>
    </row>
    <row r="835" spans="1:2" x14ac:dyDescent="0.25">
      <c r="A835" s="4">
        <v>14</v>
      </c>
      <c r="B835" s="20">
        <v>23.25</v>
      </c>
    </row>
    <row r="836" spans="1:2" x14ac:dyDescent="0.25">
      <c r="A836" s="3">
        <v>42</v>
      </c>
      <c r="B836" s="19">
        <v>14</v>
      </c>
    </row>
    <row r="837" spans="1:2" x14ac:dyDescent="0.25">
      <c r="A837" s="4">
        <v>16</v>
      </c>
      <c r="B837" s="20">
        <v>17.45</v>
      </c>
    </row>
    <row r="838" spans="1:2" x14ac:dyDescent="0.25">
      <c r="A838" s="3">
        <v>32</v>
      </c>
      <c r="B838" s="19">
        <v>32</v>
      </c>
    </row>
    <row r="839" spans="1:2" x14ac:dyDescent="0.25">
      <c r="A839" s="4">
        <v>40</v>
      </c>
      <c r="B839" s="20">
        <v>18.399999999999999</v>
      </c>
    </row>
    <row r="840" spans="1:2" x14ac:dyDescent="0.25">
      <c r="A840" s="3">
        <v>75</v>
      </c>
      <c r="B840" s="19">
        <v>7.75</v>
      </c>
    </row>
    <row r="841" spans="1:2" x14ac:dyDescent="0.25">
      <c r="A841" s="4">
        <v>17</v>
      </c>
      <c r="B841" s="20">
        <v>39</v>
      </c>
    </row>
    <row r="842" spans="1:2" x14ac:dyDescent="0.25">
      <c r="A842" s="3">
        <v>34</v>
      </c>
      <c r="B842" s="19">
        <v>14</v>
      </c>
    </row>
    <row r="843" spans="1:2" x14ac:dyDescent="0.25">
      <c r="A843" s="4">
        <v>53</v>
      </c>
      <c r="B843" s="20">
        <v>32.799999999999997</v>
      </c>
    </row>
    <row r="844" spans="1:2" x14ac:dyDescent="0.25">
      <c r="A844" s="3">
        <v>33</v>
      </c>
      <c r="B844" s="19">
        <v>2.5</v>
      </c>
    </row>
    <row r="845" spans="1:2" x14ac:dyDescent="0.25">
      <c r="A845" s="4">
        <v>40</v>
      </c>
      <c r="B845" s="20">
        <v>18.399999999999999</v>
      </c>
    </row>
    <row r="846" spans="1:2" x14ac:dyDescent="0.25">
      <c r="A846" s="3">
        <v>62</v>
      </c>
      <c r="B846" s="19">
        <v>49.3</v>
      </c>
    </row>
    <row r="847" spans="1:2" x14ac:dyDescent="0.25">
      <c r="A847" s="4">
        <v>64</v>
      </c>
      <c r="B847" s="20">
        <v>33.25</v>
      </c>
    </row>
    <row r="848" spans="1:2" x14ac:dyDescent="0.25">
      <c r="A848" s="3">
        <v>59</v>
      </c>
      <c r="B848" s="19">
        <v>55</v>
      </c>
    </row>
    <row r="849" spans="1:2" x14ac:dyDescent="0.25">
      <c r="A849" s="4">
        <v>63</v>
      </c>
      <c r="B849" s="20">
        <v>43.9</v>
      </c>
    </row>
    <row r="850" spans="1:2" x14ac:dyDescent="0.25">
      <c r="A850" s="3">
        <v>72</v>
      </c>
      <c r="B850" s="19">
        <v>34.799999999999997</v>
      </c>
    </row>
    <row r="851" spans="1:2" x14ac:dyDescent="0.25">
      <c r="A851" s="4">
        <v>76</v>
      </c>
      <c r="B851" s="20">
        <v>18</v>
      </c>
    </row>
    <row r="852" spans="1:2" x14ac:dyDescent="0.25">
      <c r="A852" s="3">
        <v>1</v>
      </c>
      <c r="B852" s="19">
        <v>18</v>
      </c>
    </row>
    <row r="853" spans="1:2" x14ac:dyDescent="0.25">
      <c r="A853" s="4">
        <v>31</v>
      </c>
      <c r="B853" s="20">
        <v>12.5</v>
      </c>
    </row>
    <row r="854" spans="1:2" x14ac:dyDescent="0.25">
      <c r="A854" s="3">
        <v>44</v>
      </c>
      <c r="B854" s="19">
        <v>19.45</v>
      </c>
    </row>
    <row r="855" spans="1:2" x14ac:dyDescent="0.25">
      <c r="A855" s="4">
        <v>39</v>
      </c>
      <c r="B855" s="20">
        <v>18</v>
      </c>
    </row>
    <row r="856" spans="1:2" x14ac:dyDescent="0.25">
      <c r="A856" s="3">
        <v>75</v>
      </c>
      <c r="B856" s="19">
        <v>7.75</v>
      </c>
    </row>
    <row r="857" spans="1:2" x14ac:dyDescent="0.25">
      <c r="A857" s="4">
        <v>77</v>
      </c>
      <c r="B857" s="20">
        <v>13</v>
      </c>
    </row>
    <row r="858" spans="1:2" x14ac:dyDescent="0.25">
      <c r="A858" s="3">
        <v>35</v>
      </c>
      <c r="B858" s="19">
        <v>18</v>
      </c>
    </row>
    <row r="859" spans="1:2" x14ac:dyDescent="0.25">
      <c r="A859" s="4">
        <v>57</v>
      </c>
      <c r="B859" s="20">
        <v>19.5</v>
      </c>
    </row>
    <row r="860" spans="1:2" x14ac:dyDescent="0.25">
      <c r="A860" s="3">
        <v>15</v>
      </c>
      <c r="B860" s="19">
        <v>15.5</v>
      </c>
    </row>
    <row r="861" spans="1:2" x14ac:dyDescent="0.25">
      <c r="A861" s="4">
        <v>75</v>
      </c>
      <c r="B861" s="20">
        <v>7.75</v>
      </c>
    </row>
    <row r="862" spans="1:2" x14ac:dyDescent="0.25">
      <c r="A862" s="3">
        <v>14</v>
      </c>
      <c r="B862" s="19">
        <v>23.25</v>
      </c>
    </row>
    <row r="863" spans="1:2" x14ac:dyDescent="0.25">
      <c r="A863" s="4">
        <v>41</v>
      </c>
      <c r="B863" s="20">
        <v>9.65</v>
      </c>
    </row>
    <row r="864" spans="1:2" x14ac:dyDescent="0.25">
      <c r="A864" s="3">
        <v>65</v>
      </c>
      <c r="B864" s="19">
        <v>21.05</v>
      </c>
    </row>
    <row r="865" spans="1:2" x14ac:dyDescent="0.25">
      <c r="A865" s="4">
        <v>75</v>
      </c>
      <c r="B865" s="20">
        <v>7.75</v>
      </c>
    </row>
    <row r="866" spans="1:2" x14ac:dyDescent="0.25">
      <c r="A866" s="3">
        <v>57</v>
      </c>
      <c r="B866" s="19">
        <v>19.5</v>
      </c>
    </row>
    <row r="867" spans="1:2" x14ac:dyDescent="0.25">
      <c r="A867" s="4">
        <v>76</v>
      </c>
      <c r="B867" s="20">
        <v>18</v>
      </c>
    </row>
    <row r="868" spans="1:2" x14ac:dyDescent="0.25">
      <c r="A868" s="3">
        <v>29</v>
      </c>
      <c r="B868" s="19">
        <v>123.79</v>
      </c>
    </row>
    <row r="869" spans="1:2" x14ac:dyDescent="0.25">
      <c r="A869" s="4">
        <v>60</v>
      </c>
      <c r="B869" s="20">
        <v>34</v>
      </c>
    </row>
    <row r="870" spans="1:2" x14ac:dyDescent="0.25">
      <c r="A870" s="3">
        <v>69</v>
      </c>
      <c r="B870" s="19">
        <v>36</v>
      </c>
    </row>
    <row r="871" spans="1:2" x14ac:dyDescent="0.25">
      <c r="A871" s="4">
        <v>31</v>
      </c>
      <c r="B871" s="20">
        <v>12.5</v>
      </c>
    </row>
    <row r="872" spans="1:2" x14ac:dyDescent="0.25">
      <c r="A872" s="3">
        <v>47</v>
      </c>
      <c r="B872" s="19">
        <v>9.5</v>
      </c>
    </row>
    <row r="873" spans="1:2" x14ac:dyDescent="0.25">
      <c r="A873" s="4">
        <v>52</v>
      </c>
      <c r="B873" s="20">
        <v>7</v>
      </c>
    </row>
    <row r="874" spans="1:2" x14ac:dyDescent="0.25">
      <c r="A874" s="3">
        <v>26</v>
      </c>
      <c r="B874" s="19">
        <v>31.23</v>
      </c>
    </row>
    <row r="875" spans="1:2" x14ac:dyDescent="0.25">
      <c r="A875" s="4">
        <v>35</v>
      </c>
      <c r="B875" s="20">
        <v>18</v>
      </c>
    </row>
    <row r="876" spans="1:2" x14ac:dyDescent="0.25">
      <c r="A876" s="3">
        <v>77</v>
      </c>
      <c r="B876" s="19">
        <v>13</v>
      </c>
    </row>
    <row r="877" spans="1:2" x14ac:dyDescent="0.25">
      <c r="A877" s="4">
        <v>18</v>
      </c>
      <c r="B877" s="20">
        <v>62.5</v>
      </c>
    </row>
    <row r="878" spans="1:2" x14ac:dyDescent="0.25">
      <c r="A878" s="3">
        <v>42</v>
      </c>
      <c r="B878" s="19">
        <v>14</v>
      </c>
    </row>
    <row r="879" spans="1:2" x14ac:dyDescent="0.25">
      <c r="A879" s="4">
        <v>35</v>
      </c>
      <c r="B879" s="20">
        <v>18</v>
      </c>
    </row>
    <row r="880" spans="1:2" x14ac:dyDescent="0.25">
      <c r="A880" s="3">
        <v>1</v>
      </c>
      <c r="B880" s="19">
        <v>18</v>
      </c>
    </row>
    <row r="881" spans="1:2" x14ac:dyDescent="0.25">
      <c r="A881" s="4">
        <v>77</v>
      </c>
      <c r="B881" s="20">
        <v>13</v>
      </c>
    </row>
    <row r="882" spans="1:2" x14ac:dyDescent="0.25">
      <c r="A882" s="3">
        <v>3</v>
      </c>
      <c r="B882" s="19">
        <v>10</v>
      </c>
    </row>
    <row r="883" spans="1:2" x14ac:dyDescent="0.25">
      <c r="A883" s="4">
        <v>7</v>
      </c>
      <c r="B883" s="20">
        <v>30</v>
      </c>
    </row>
    <row r="884" spans="1:2" x14ac:dyDescent="0.25">
      <c r="A884" s="3">
        <v>54</v>
      </c>
      <c r="B884" s="19">
        <v>7.45</v>
      </c>
    </row>
    <row r="885" spans="1:2" x14ac:dyDescent="0.25">
      <c r="A885" s="4">
        <v>15</v>
      </c>
      <c r="B885" s="20">
        <v>15.5</v>
      </c>
    </row>
    <row r="886" spans="1:2" x14ac:dyDescent="0.25">
      <c r="A886" s="3">
        <v>26</v>
      </c>
      <c r="B886" s="19">
        <v>31.23</v>
      </c>
    </row>
    <row r="887" spans="1:2" x14ac:dyDescent="0.25">
      <c r="A887" s="4">
        <v>20</v>
      </c>
      <c r="B887" s="20">
        <v>81</v>
      </c>
    </row>
    <row r="888" spans="1:2" x14ac:dyDescent="0.25">
      <c r="A888" s="3">
        <v>69</v>
      </c>
      <c r="B888" s="19">
        <v>36</v>
      </c>
    </row>
    <row r="889" spans="1:2" x14ac:dyDescent="0.25">
      <c r="A889" s="4">
        <v>76</v>
      </c>
      <c r="B889" s="20">
        <v>18</v>
      </c>
    </row>
    <row r="890" spans="1:2" x14ac:dyDescent="0.25">
      <c r="A890" s="3">
        <v>52</v>
      </c>
      <c r="B890" s="19">
        <v>7</v>
      </c>
    </row>
    <row r="891" spans="1:2" x14ac:dyDescent="0.25">
      <c r="A891" s="4">
        <v>58</v>
      </c>
      <c r="B891" s="20">
        <v>13.25</v>
      </c>
    </row>
    <row r="892" spans="1:2" x14ac:dyDescent="0.25">
      <c r="A892" s="3">
        <v>35</v>
      </c>
      <c r="B892" s="19">
        <v>18</v>
      </c>
    </row>
    <row r="893" spans="1:2" x14ac:dyDescent="0.25">
      <c r="A893" s="4">
        <v>61</v>
      </c>
      <c r="B893" s="20">
        <v>28.5</v>
      </c>
    </row>
    <row r="894" spans="1:2" x14ac:dyDescent="0.25">
      <c r="A894" s="3">
        <v>69</v>
      </c>
      <c r="B894" s="19">
        <v>36</v>
      </c>
    </row>
    <row r="895" spans="1:2" x14ac:dyDescent="0.25">
      <c r="A895" s="4">
        <v>56</v>
      </c>
      <c r="B895" s="20">
        <v>38</v>
      </c>
    </row>
    <row r="896" spans="1:2" x14ac:dyDescent="0.25">
      <c r="A896" s="3">
        <v>63</v>
      </c>
      <c r="B896" s="19">
        <v>43.9</v>
      </c>
    </row>
    <row r="897" spans="1:2" x14ac:dyDescent="0.25">
      <c r="A897" s="4">
        <v>75</v>
      </c>
      <c r="B897" s="20">
        <v>7.75</v>
      </c>
    </row>
    <row r="898" spans="1:2" x14ac:dyDescent="0.25">
      <c r="A898" s="3">
        <v>24</v>
      </c>
      <c r="B898" s="19">
        <v>4.5</v>
      </c>
    </row>
    <row r="899" spans="1:2" x14ac:dyDescent="0.25">
      <c r="A899" s="4">
        <v>57</v>
      </c>
      <c r="B899" s="20">
        <v>19.5</v>
      </c>
    </row>
    <row r="900" spans="1:2" x14ac:dyDescent="0.25">
      <c r="A900" s="3">
        <v>65</v>
      </c>
      <c r="B900" s="19">
        <v>21.05</v>
      </c>
    </row>
    <row r="901" spans="1:2" x14ac:dyDescent="0.25">
      <c r="A901" s="4">
        <v>27</v>
      </c>
      <c r="B901" s="20">
        <v>43.9</v>
      </c>
    </row>
    <row r="902" spans="1:2" x14ac:dyDescent="0.25">
      <c r="A902" s="3">
        <v>71</v>
      </c>
      <c r="B902" s="19">
        <v>21.5</v>
      </c>
    </row>
    <row r="903" spans="1:2" x14ac:dyDescent="0.25">
      <c r="A903" s="4">
        <v>62</v>
      </c>
      <c r="B903" s="20">
        <v>49.3</v>
      </c>
    </row>
    <row r="904" spans="1:2" x14ac:dyDescent="0.25">
      <c r="A904" s="3">
        <v>54</v>
      </c>
      <c r="B904" s="19">
        <v>7.45</v>
      </c>
    </row>
    <row r="905" spans="1:2" x14ac:dyDescent="0.25">
      <c r="A905" s="4">
        <v>73</v>
      </c>
      <c r="B905" s="20">
        <v>15</v>
      </c>
    </row>
    <row r="906" spans="1:2" x14ac:dyDescent="0.25">
      <c r="A906" s="3">
        <v>13</v>
      </c>
      <c r="B906" s="19">
        <v>6</v>
      </c>
    </row>
    <row r="907" spans="1:2" x14ac:dyDescent="0.25">
      <c r="A907" s="4">
        <v>59</v>
      </c>
      <c r="B907" s="20">
        <v>55</v>
      </c>
    </row>
    <row r="908" spans="1:2" x14ac:dyDescent="0.25">
      <c r="A908" s="3">
        <v>77</v>
      </c>
      <c r="B908" s="19">
        <v>13</v>
      </c>
    </row>
    <row r="909" spans="1:2" x14ac:dyDescent="0.25">
      <c r="A909" s="4">
        <v>22</v>
      </c>
      <c r="B909" s="20">
        <v>21</v>
      </c>
    </row>
    <row r="910" spans="1:2" x14ac:dyDescent="0.25">
      <c r="A910" s="3">
        <v>49</v>
      </c>
      <c r="B910" s="19">
        <v>20</v>
      </c>
    </row>
    <row r="911" spans="1:2" x14ac:dyDescent="0.25">
      <c r="A911" s="4">
        <v>48</v>
      </c>
      <c r="B911" s="20">
        <v>12.75</v>
      </c>
    </row>
    <row r="912" spans="1:2" x14ac:dyDescent="0.25">
      <c r="A912" s="3">
        <v>76</v>
      </c>
      <c r="B912" s="19">
        <v>18</v>
      </c>
    </row>
    <row r="913" spans="1:2" x14ac:dyDescent="0.25">
      <c r="A913" s="4">
        <v>16</v>
      </c>
      <c r="B913" s="20">
        <v>17.45</v>
      </c>
    </row>
    <row r="914" spans="1:2" x14ac:dyDescent="0.25">
      <c r="A914" s="3">
        <v>59</v>
      </c>
      <c r="B914" s="19">
        <v>55</v>
      </c>
    </row>
    <row r="915" spans="1:2" x14ac:dyDescent="0.25">
      <c r="A915" s="4">
        <v>60</v>
      </c>
      <c r="B915" s="20">
        <v>34</v>
      </c>
    </row>
    <row r="916" spans="1:2" x14ac:dyDescent="0.25">
      <c r="A916" s="3">
        <v>71</v>
      </c>
      <c r="B916" s="19">
        <v>21.5</v>
      </c>
    </row>
    <row r="917" spans="1:2" x14ac:dyDescent="0.25">
      <c r="A917" s="4">
        <v>4</v>
      </c>
      <c r="B917" s="20">
        <v>22</v>
      </c>
    </row>
    <row r="918" spans="1:2" x14ac:dyDescent="0.25">
      <c r="A918" s="3">
        <v>55</v>
      </c>
      <c r="B918" s="19">
        <v>24</v>
      </c>
    </row>
    <row r="919" spans="1:2" x14ac:dyDescent="0.25">
      <c r="A919" s="4">
        <v>62</v>
      </c>
      <c r="B919" s="20">
        <v>49.3</v>
      </c>
    </row>
    <row r="920" spans="1:2" x14ac:dyDescent="0.25">
      <c r="A920" s="3">
        <v>7</v>
      </c>
      <c r="B920" s="19">
        <v>30</v>
      </c>
    </row>
    <row r="921" spans="1:2" x14ac:dyDescent="0.25">
      <c r="A921" s="4">
        <v>17</v>
      </c>
      <c r="B921" s="20">
        <v>39</v>
      </c>
    </row>
    <row r="922" spans="1:2" x14ac:dyDescent="0.25">
      <c r="A922" s="3">
        <v>33</v>
      </c>
      <c r="B922" s="19">
        <v>2.5</v>
      </c>
    </row>
    <row r="923" spans="1:2" x14ac:dyDescent="0.25">
      <c r="A923" s="4">
        <v>40</v>
      </c>
      <c r="B923" s="20">
        <v>18.399999999999999</v>
      </c>
    </row>
    <row r="924" spans="1:2" x14ac:dyDescent="0.25">
      <c r="A924" s="3">
        <v>72</v>
      </c>
      <c r="B924" s="19">
        <v>34.799999999999997</v>
      </c>
    </row>
    <row r="925" spans="1:2" x14ac:dyDescent="0.25">
      <c r="A925" s="4">
        <v>56</v>
      </c>
      <c r="B925" s="20">
        <v>38</v>
      </c>
    </row>
    <row r="926" spans="1:2" x14ac:dyDescent="0.25">
      <c r="A926" s="3">
        <v>1</v>
      </c>
      <c r="B926" s="19">
        <v>18</v>
      </c>
    </row>
    <row r="927" spans="1:2" x14ac:dyDescent="0.25">
      <c r="A927" s="4">
        <v>10</v>
      </c>
      <c r="B927" s="20">
        <v>31</v>
      </c>
    </row>
    <row r="928" spans="1:2" x14ac:dyDescent="0.25">
      <c r="A928" s="3">
        <v>21</v>
      </c>
      <c r="B928" s="19">
        <v>10</v>
      </c>
    </row>
    <row r="929" spans="1:2" x14ac:dyDescent="0.25">
      <c r="A929" s="4">
        <v>36</v>
      </c>
      <c r="B929" s="20">
        <v>19</v>
      </c>
    </row>
    <row r="930" spans="1:2" x14ac:dyDescent="0.25">
      <c r="A930" s="3">
        <v>1</v>
      </c>
      <c r="B930" s="19">
        <v>18</v>
      </c>
    </row>
    <row r="931" spans="1:2" x14ac:dyDescent="0.25">
      <c r="A931" s="4">
        <v>2</v>
      </c>
      <c r="B931" s="20">
        <v>19</v>
      </c>
    </row>
    <row r="932" spans="1:2" x14ac:dyDescent="0.25">
      <c r="A932" s="3">
        <v>60</v>
      </c>
      <c r="B932" s="19">
        <v>34</v>
      </c>
    </row>
    <row r="933" spans="1:2" x14ac:dyDescent="0.25">
      <c r="A933" s="4">
        <v>10</v>
      </c>
      <c r="B933" s="20">
        <v>31</v>
      </c>
    </row>
    <row r="934" spans="1:2" x14ac:dyDescent="0.25">
      <c r="A934" s="3">
        <v>36</v>
      </c>
      <c r="B934" s="19">
        <v>19</v>
      </c>
    </row>
    <row r="935" spans="1:2" x14ac:dyDescent="0.25">
      <c r="A935" s="4">
        <v>49</v>
      </c>
      <c r="B935" s="20">
        <v>20</v>
      </c>
    </row>
    <row r="936" spans="1:2" x14ac:dyDescent="0.25">
      <c r="A936" s="3">
        <v>60</v>
      </c>
      <c r="B936" s="19">
        <v>34</v>
      </c>
    </row>
    <row r="937" spans="1:2" x14ac:dyDescent="0.25">
      <c r="A937" s="4">
        <v>76</v>
      </c>
      <c r="B937" s="20">
        <v>18</v>
      </c>
    </row>
    <row r="938" spans="1:2" x14ac:dyDescent="0.25">
      <c r="A938" s="3">
        <v>13</v>
      </c>
      <c r="B938" s="19">
        <v>6</v>
      </c>
    </row>
    <row r="939" spans="1:2" x14ac:dyDescent="0.25">
      <c r="A939" s="4">
        <v>75</v>
      </c>
      <c r="B939" s="20">
        <v>7.75</v>
      </c>
    </row>
    <row r="940" spans="1:2" x14ac:dyDescent="0.25">
      <c r="A940" s="3">
        <v>11</v>
      </c>
      <c r="B940" s="19">
        <v>21</v>
      </c>
    </row>
    <row r="941" spans="1:2" x14ac:dyDescent="0.25">
      <c r="A941" s="4">
        <v>21</v>
      </c>
      <c r="B941" s="20">
        <v>10</v>
      </c>
    </row>
    <row r="942" spans="1:2" x14ac:dyDescent="0.25">
      <c r="A942" s="3">
        <v>39</v>
      </c>
      <c r="B942" s="19">
        <v>18</v>
      </c>
    </row>
    <row r="943" spans="1:2" x14ac:dyDescent="0.25">
      <c r="A943" s="4">
        <v>55</v>
      </c>
      <c r="B943" s="20">
        <v>24</v>
      </c>
    </row>
    <row r="944" spans="1:2" x14ac:dyDescent="0.25">
      <c r="A944" s="3">
        <v>38</v>
      </c>
      <c r="B944" s="19">
        <v>263.5</v>
      </c>
    </row>
    <row r="945" spans="1:2" x14ac:dyDescent="0.25">
      <c r="A945" s="4">
        <v>56</v>
      </c>
      <c r="B945" s="20">
        <v>38</v>
      </c>
    </row>
    <row r="946" spans="1:2" x14ac:dyDescent="0.25">
      <c r="A946" s="3">
        <v>70</v>
      </c>
      <c r="B946" s="19">
        <v>15</v>
      </c>
    </row>
    <row r="947" spans="1:2" x14ac:dyDescent="0.25">
      <c r="A947" s="4">
        <v>71</v>
      </c>
      <c r="B947" s="20">
        <v>21.5</v>
      </c>
    </row>
    <row r="948" spans="1:2" x14ac:dyDescent="0.25">
      <c r="A948" s="3">
        <v>59</v>
      </c>
      <c r="B948" s="19">
        <v>55</v>
      </c>
    </row>
    <row r="949" spans="1:2" x14ac:dyDescent="0.25">
      <c r="A949" s="4">
        <v>6</v>
      </c>
      <c r="B949" s="20">
        <v>25</v>
      </c>
    </row>
    <row r="950" spans="1:2" x14ac:dyDescent="0.25">
      <c r="A950" s="3">
        <v>56</v>
      </c>
      <c r="B950" s="19">
        <v>38</v>
      </c>
    </row>
    <row r="951" spans="1:2" x14ac:dyDescent="0.25">
      <c r="A951" s="4">
        <v>68</v>
      </c>
      <c r="B951" s="20">
        <v>12.5</v>
      </c>
    </row>
    <row r="952" spans="1:2" x14ac:dyDescent="0.25">
      <c r="A952" s="3">
        <v>21</v>
      </c>
      <c r="B952" s="19">
        <v>10</v>
      </c>
    </row>
    <row r="953" spans="1:2" x14ac:dyDescent="0.25">
      <c r="A953" s="4">
        <v>22</v>
      </c>
      <c r="B953" s="20">
        <v>21</v>
      </c>
    </row>
    <row r="954" spans="1:2" x14ac:dyDescent="0.25">
      <c r="A954" s="3">
        <v>24</v>
      </c>
      <c r="B954" s="19">
        <v>4.5</v>
      </c>
    </row>
    <row r="955" spans="1:2" x14ac:dyDescent="0.25">
      <c r="A955" s="4">
        <v>52</v>
      </c>
      <c r="B955" s="20">
        <v>7</v>
      </c>
    </row>
    <row r="956" spans="1:2" x14ac:dyDescent="0.25">
      <c r="A956" s="3">
        <v>19</v>
      </c>
      <c r="B956" s="19">
        <v>9.1999999999999993</v>
      </c>
    </row>
    <row r="957" spans="1:2" x14ac:dyDescent="0.25">
      <c r="A957" s="4">
        <v>23</v>
      </c>
      <c r="B957" s="20">
        <v>9</v>
      </c>
    </row>
    <row r="958" spans="1:2" x14ac:dyDescent="0.25">
      <c r="A958" s="3">
        <v>70</v>
      </c>
      <c r="B958" s="19">
        <v>15</v>
      </c>
    </row>
    <row r="959" spans="1:2" x14ac:dyDescent="0.25">
      <c r="A959" s="4">
        <v>71</v>
      </c>
      <c r="B959" s="20">
        <v>21.5</v>
      </c>
    </row>
    <row r="960" spans="1:2" x14ac:dyDescent="0.25">
      <c r="A960" s="3">
        <v>2</v>
      </c>
      <c r="B960" s="19">
        <v>19</v>
      </c>
    </row>
    <row r="961" spans="1:2" x14ac:dyDescent="0.25">
      <c r="A961" s="4">
        <v>68</v>
      </c>
      <c r="B961" s="20">
        <v>12.5</v>
      </c>
    </row>
    <row r="962" spans="1:2" x14ac:dyDescent="0.25">
      <c r="A962" s="3">
        <v>14</v>
      </c>
      <c r="B962" s="19">
        <v>23.25</v>
      </c>
    </row>
    <row r="963" spans="1:2" x14ac:dyDescent="0.25">
      <c r="A963" s="4">
        <v>19</v>
      </c>
      <c r="B963" s="20">
        <v>9.1999999999999993</v>
      </c>
    </row>
    <row r="964" spans="1:2" x14ac:dyDescent="0.25">
      <c r="A964" s="3">
        <v>21</v>
      </c>
      <c r="B964" s="19">
        <v>10</v>
      </c>
    </row>
    <row r="965" spans="1:2" x14ac:dyDescent="0.25">
      <c r="A965" s="4">
        <v>24</v>
      </c>
      <c r="B965" s="20">
        <v>4.5</v>
      </c>
    </row>
    <row r="966" spans="1:2" x14ac:dyDescent="0.25">
      <c r="A966" s="3">
        <v>35</v>
      </c>
      <c r="B966" s="19">
        <v>18</v>
      </c>
    </row>
    <row r="967" spans="1:2" x14ac:dyDescent="0.25">
      <c r="A967" s="4">
        <v>28</v>
      </c>
      <c r="B967" s="20">
        <v>45.6</v>
      </c>
    </row>
    <row r="968" spans="1:2" x14ac:dyDescent="0.25">
      <c r="A968" s="3">
        <v>29</v>
      </c>
      <c r="B968" s="19">
        <v>123.79</v>
      </c>
    </row>
    <row r="969" spans="1:2" x14ac:dyDescent="0.25">
      <c r="A969" s="4">
        <v>44</v>
      </c>
      <c r="B969" s="20">
        <v>19.45</v>
      </c>
    </row>
    <row r="970" spans="1:2" x14ac:dyDescent="0.25">
      <c r="A970" s="3">
        <v>14</v>
      </c>
      <c r="B970" s="19">
        <v>23.25</v>
      </c>
    </row>
    <row r="971" spans="1:2" x14ac:dyDescent="0.25">
      <c r="A971" s="4">
        <v>42</v>
      </c>
      <c r="B971" s="20">
        <v>14</v>
      </c>
    </row>
    <row r="972" spans="1:2" x14ac:dyDescent="0.25">
      <c r="A972" s="3">
        <v>60</v>
      </c>
      <c r="B972" s="19">
        <v>34</v>
      </c>
    </row>
    <row r="973" spans="1:2" x14ac:dyDescent="0.25">
      <c r="A973" s="4">
        <v>53</v>
      </c>
      <c r="B973" s="20">
        <v>32.799999999999997</v>
      </c>
    </row>
    <row r="974" spans="1:2" x14ac:dyDescent="0.25">
      <c r="A974" s="3">
        <v>60</v>
      </c>
      <c r="B974" s="19">
        <v>34</v>
      </c>
    </row>
    <row r="975" spans="1:2" x14ac:dyDescent="0.25">
      <c r="A975" s="4">
        <v>71</v>
      </c>
      <c r="B975" s="20">
        <v>21.5</v>
      </c>
    </row>
    <row r="976" spans="1:2" x14ac:dyDescent="0.25">
      <c r="A976" s="3">
        <v>62</v>
      </c>
      <c r="B976" s="19">
        <v>49.3</v>
      </c>
    </row>
    <row r="977" spans="1:2" x14ac:dyDescent="0.25">
      <c r="A977" s="4">
        <v>73</v>
      </c>
      <c r="B977" s="20">
        <v>15</v>
      </c>
    </row>
    <row r="978" spans="1:2" x14ac:dyDescent="0.25">
      <c r="A978" s="3">
        <v>1</v>
      </c>
      <c r="B978" s="19">
        <v>18</v>
      </c>
    </row>
    <row r="979" spans="1:2" x14ac:dyDescent="0.25">
      <c r="A979" s="4">
        <v>29</v>
      </c>
      <c r="B979" s="20">
        <v>123.79</v>
      </c>
    </row>
    <row r="980" spans="1:2" x14ac:dyDescent="0.25">
      <c r="A980" s="3">
        <v>64</v>
      </c>
      <c r="B980" s="19">
        <v>33.25</v>
      </c>
    </row>
    <row r="981" spans="1:2" x14ac:dyDescent="0.25">
      <c r="A981" s="4">
        <v>55</v>
      </c>
      <c r="B981" s="20">
        <v>24</v>
      </c>
    </row>
    <row r="982" spans="1:2" x14ac:dyDescent="0.25">
      <c r="A982" s="3">
        <v>76</v>
      </c>
      <c r="B982" s="19">
        <v>18</v>
      </c>
    </row>
    <row r="983" spans="1:2" x14ac:dyDescent="0.25">
      <c r="A983" s="4">
        <v>75</v>
      </c>
      <c r="B983" s="20">
        <v>7.75</v>
      </c>
    </row>
    <row r="984" spans="1:2" x14ac:dyDescent="0.25">
      <c r="A984" s="3">
        <v>2</v>
      </c>
      <c r="B984" s="19">
        <v>19</v>
      </c>
    </row>
    <row r="985" spans="1:2" x14ac:dyDescent="0.25">
      <c r="A985" s="4">
        <v>33</v>
      </c>
      <c r="B985" s="20">
        <v>2.5</v>
      </c>
    </row>
    <row r="986" spans="1:2" x14ac:dyDescent="0.25">
      <c r="A986" s="3">
        <v>12</v>
      </c>
      <c r="B986" s="19">
        <v>38</v>
      </c>
    </row>
    <row r="987" spans="1:2" x14ac:dyDescent="0.25">
      <c r="A987" s="4">
        <v>13</v>
      </c>
      <c r="B987" s="20">
        <v>6</v>
      </c>
    </row>
    <row r="988" spans="1:2" x14ac:dyDescent="0.25">
      <c r="A988" s="3">
        <v>26</v>
      </c>
      <c r="B988" s="19">
        <v>31.23</v>
      </c>
    </row>
    <row r="989" spans="1:2" x14ac:dyDescent="0.25">
      <c r="A989" s="4">
        <v>62</v>
      </c>
      <c r="B989" s="20">
        <v>49.3</v>
      </c>
    </row>
    <row r="990" spans="1:2" x14ac:dyDescent="0.25">
      <c r="A990" s="3">
        <v>7</v>
      </c>
      <c r="B990" s="19">
        <v>30</v>
      </c>
    </row>
    <row r="991" spans="1:2" x14ac:dyDescent="0.25">
      <c r="A991" s="4">
        <v>18</v>
      </c>
      <c r="B991" s="20">
        <v>62.5</v>
      </c>
    </row>
    <row r="992" spans="1:2" x14ac:dyDescent="0.25">
      <c r="A992" s="3">
        <v>51</v>
      </c>
      <c r="B992" s="19">
        <v>53</v>
      </c>
    </row>
    <row r="993" spans="1:2" x14ac:dyDescent="0.25">
      <c r="A993" s="4">
        <v>75</v>
      </c>
      <c r="B993" s="20">
        <v>7.75</v>
      </c>
    </row>
    <row r="994" spans="1:2" x14ac:dyDescent="0.25">
      <c r="A994" s="3">
        <v>4</v>
      </c>
      <c r="B994" s="19">
        <v>22</v>
      </c>
    </row>
    <row r="995" spans="1:2" x14ac:dyDescent="0.25">
      <c r="A995" s="4">
        <v>5</v>
      </c>
      <c r="B995" s="20">
        <v>21.35</v>
      </c>
    </row>
    <row r="996" spans="1:2" x14ac:dyDescent="0.25">
      <c r="A996" s="3">
        <v>22</v>
      </c>
      <c r="B996" s="19">
        <v>21</v>
      </c>
    </row>
    <row r="997" spans="1:2" x14ac:dyDescent="0.25">
      <c r="A997" s="4">
        <v>4</v>
      </c>
      <c r="B997" s="20">
        <v>22</v>
      </c>
    </row>
    <row r="998" spans="1:2" x14ac:dyDescent="0.25">
      <c r="A998" s="3">
        <v>58</v>
      </c>
      <c r="B998" s="19">
        <v>13.25</v>
      </c>
    </row>
    <row r="999" spans="1:2" x14ac:dyDescent="0.25">
      <c r="A999" s="4">
        <v>11</v>
      </c>
      <c r="B999" s="20">
        <v>21</v>
      </c>
    </row>
    <row r="1000" spans="1:2" x14ac:dyDescent="0.25">
      <c r="A1000" s="3">
        <v>50</v>
      </c>
      <c r="B1000" s="19">
        <v>16.25</v>
      </c>
    </row>
    <row r="1001" spans="1:2" x14ac:dyDescent="0.25">
      <c r="A1001" s="4">
        <v>56</v>
      </c>
      <c r="B1001" s="20">
        <v>38</v>
      </c>
    </row>
    <row r="1002" spans="1:2" x14ac:dyDescent="0.25">
      <c r="A1002" s="3">
        <v>45</v>
      </c>
      <c r="B1002" s="19">
        <v>9.5</v>
      </c>
    </row>
    <row r="1003" spans="1:2" x14ac:dyDescent="0.25">
      <c r="A1003" s="4">
        <v>65</v>
      </c>
      <c r="B1003" s="20">
        <v>21.05</v>
      </c>
    </row>
    <row r="1004" spans="1:2" x14ac:dyDescent="0.25">
      <c r="A1004" s="3">
        <v>72</v>
      </c>
      <c r="B1004" s="19">
        <v>34.799999999999997</v>
      </c>
    </row>
    <row r="1005" spans="1:2" x14ac:dyDescent="0.25">
      <c r="A1005" s="4">
        <v>18</v>
      </c>
      <c r="B1005" s="20">
        <v>62.5</v>
      </c>
    </row>
    <row r="1006" spans="1:2" x14ac:dyDescent="0.25">
      <c r="A1006" s="3">
        <v>69</v>
      </c>
      <c r="B1006" s="19">
        <v>36</v>
      </c>
    </row>
    <row r="1007" spans="1:2" x14ac:dyDescent="0.25">
      <c r="A1007" s="4">
        <v>70</v>
      </c>
      <c r="B1007" s="20">
        <v>15</v>
      </c>
    </row>
    <row r="1008" spans="1:2" x14ac:dyDescent="0.25">
      <c r="A1008" s="3">
        <v>2</v>
      </c>
      <c r="B1008" s="19">
        <v>19</v>
      </c>
    </row>
    <row r="1009" spans="1:2" x14ac:dyDescent="0.25">
      <c r="A1009" s="4">
        <v>40</v>
      </c>
      <c r="B1009" s="20">
        <v>18.399999999999999</v>
      </c>
    </row>
    <row r="1010" spans="1:2" x14ac:dyDescent="0.25">
      <c r="A1010" s="3">
        <v>21</v>
      </c>
      <c r="B1010" s="19">
        <v>10</v>
      </c>
    </row>
    <row r="1011" spans="1:2" x14ac:dyDescent="0.25">
      <c r="A1011" s="4">
        <v>61</v>
      </c>
      <c r="B1011" s="20">
        <v>28.5</v>
      </c>
    </row>
    <row r="1012" spans="1:2" x14ac:dyDescent="0.25">
      <c r="A1012" s="3">
        <v>28</v>
      </c>
      <c r="B1012" s="19">
        <v>45.6</v>
      </c>
    </row>
    <row r="1013" spans="1:2" x14ac:dyDescent="0.25">
      <c r="A1013" s="4">
        <v>39</v>
      </c>
      <c r="B1013" s="20">
        <v>18</v>
      </c>
    </row>
    <row r="1014" spans="1:2" x14ac:dyDescent="0.25">
      <c r="A1014" s="3">
        <v>46</v>
      </c>
      <c r="B1014" s="19">
        <v>12</v>
      </c>
    </row>
    <row r="1015" spans="1:2" x14ac:dyDescent="0.25">
      <c r="A1015" s="4">
        <v>18</v>
      </c>
      <c r="B1015" s="20">
        <v>62.5</v>
      </c>
    </row>
    <row r="1016" spans="1:2" x14ac:dyDescent="0.25">
      <c r="A1016" s="3">
        <v>43</v>
      </c>
      <c r="B1016" s="19">
        <v>46</v>
      </c>
    </row>
    <row r="1017" spans="1:2" x14ac:dyDescent="0.25">
      <c r="A1017" s="4">
        <v>46</v>
      </c>
      <c r="B1017" s="20">
        <v>12</v>
      </c>
    </row>
    <row r="1018" spans="1:2" x14ac:dyDescent="0.25">
      <c r="A1018" s="3">
        <v>18</v>
      </c>
      <c r="B1018" s="19">
        <v>62.5</v>
      </c>
    </row>
    <row r="1019" spans="1:2" x14ac:dyDescent="0.25">
      <c r="A1019" s="4">
        <v>36</v>
      </c>
      <c r="B1019" s="20">
        <v>19</v>
      </c>
    </row>
    <row r="1020" spans="1:2" x14ac:dyDescent="0.25">
      <c r="A1020" s="3">
        <v>19</v>
      </c>
      <c r="B1020" s="19">
        <v>9.1999999999999993</v>
      </c>
    </row>
    <row r="1021" spans="1:2" x14ac:dyDescent="0.25">
      <c r="A1021" s="4">
        <v>39</v>
      </c>
      <c r="B1021" s="20">
        <v>18</v>
      </c>
    </row>
    <row r="1022" spans="1:2" x14ac:dyDescent="0.25">
      <c r="A1022" s="3">
        <v>22</v>
      </c>
      <c r="B1022" s="19">
        <v>21</v>
      </c>
    </row>
    <row r="1023" spans="1:2" x14ac:dyDescent="0.25">
      <c r="A1023" s="4">
        <v>24</v>
      </c>
      <c r="B1023" s="20">
        <v>4.5</v>
      </c>
    </row>
    <row r="1024" spans="1:2" x14ac:dyDescent="0.25">
      <c r="A1024" s="3">
        <v>28</v>
      </c>
      <c r="B1024" s="19">
        <v>45.6</v>
      </c>
    </row>
    <row r="1025" spans="1:2" x14ac:dyDescent="0.25">
      <c r="A1025" s="4">
        <v>72</v>
      </c>
      <c r="B1025" s="20">
        <v>34.799999999999997</v>
      </c>
    </row>
    <row r="1026" spans="1:2" x14ac:dyDescent="0.25">
      <c r="A1026" s="3">
        <v>30</v>
      </c>
      <c r="B1026" s="19">
        <v>25.89</v>
      </c>
    </row>
    <row r="1027" spans="1:2" x14ac:dyDescent="0.25">
      <c r="A1027" s="4">
        <v>53</v>
      </c>
      <c r="B1027" s="20">
        <v>32.799999999999997</v>
      </c>
    </row>
    <row r="1028" spans="1:2" x14ac:dyDescent="0.25">
      <c r="A1028" s="3">
        <v>54</v>
      </c>
      <c r="B1028" s="19">
        <v>7.45</v>
      </c>
    </row>
    <row r="1029" spans="1:2" x14ac:dyDescent="0.25">
      <c r="A1029" s="4">
        <v>19</v>
      </c>
      <c r="B1029" s="20">
        <v>9.1999999999999993</v>
      </c>
    </row>
    <row r="1030" spans="1:2" x14ac:dyDescent="0.25">
      <c r="A1030" s="3">
        <v>22</v>
      </c>
      <c r="B1030" s="19">
        <v>21</v>
      </c>
    </row>
    <row r="1031" spans="1:2" x14ac:dyDescent="0.25">
      <c r="A1031" s="4">
        <v>30</v>
      </c>
      <c r="B1031" s="20">
        <v>25.89</v>
      </c>
    </row>
    <row r="1032" spans="1:2" x14ac:dyDescent="0.25">
      <c r="A1032" s="3">
        <v>42</v>
      </c>
      <c r="B1032" s="19">
        <v>14</v>
      </c>
    </row>
    <row r="1033" spans="1:2" x14ac:dyDescent="0.25">
      <c r="A1033" s="4">
        <v>16</v>
      </c>
      <c r="B1033" s="20">
        <v>17.45</v>
      </c>
    </row>
    <row r="1034" spans="1:2" x14ac:dyDescent="0.25">
      <c r="A1034" s="3">
        <v>60</v>
      </c>
      <c r="B1034" s="19">
        <v>34</v>
      </c>
    </row>
    <row r="1035" spans="1:2" x14ac:dyDescent="0.25">
      <c r="A1035" s="4">
        <v>4</v>
      </c>
      <c r="B1035" s="20">
        <v>22</v>
      </c>
    </row>
    <row r="1036" spans="1:2" x14ac:dyDescent="0.25">
      <c r="A1036" s="3">
        <v>39</v>
      </c>
      <c r="B1036" s="19">
        <v>18</v>
      </c>
    </row>
    <row r="1037" spans="1:2" x14ac:dyDescent="0.25">
      <c r="A1037" s="4">
        <v>54</v>
      </c>
      <c r="B1037" s="20">
        <v>7.45</v>
      </c>
    </row>
    <row r="1038" spans="1:2" x14ac:dyDescent="0.25">
      <c r="A1038" s="3">
        <v>41</v>
      </c>
      <c r="B1038" s="19">
        <v>9.65</v>
      </c>
    </row>
    <row r="1039" spans="1:2" x14ac:dyDescent="0.25">
      <c r="A1039" s="4">
        <v>14</v>
      </c>
      <c r="B1039" s="20">
        <v>23.25</v>
      </c>
    </row>
    <row r="1040" spans="1:2" x14ac:dyDescent="0.25">
      <c r="A1040" s="3">
        <v>44</v>
      </c>
      <c r="B1040" s="19">
        <v>19.45</v>
      </c>
    </row>
    <row r="1041" spans="1:2" x14ac:dyDescent="0.25">
      <c r="A1041" s="4">
        <v>47</v>
      </c>
      <c r="B1041" s="20">
        <v>9.5</v>
      </c>
    </row>
    <row r="1042" spans="1:2" x14ac:dyDescent="0.25">
      <c r="A1042" s="3">
        <v>15</v>
      </c>
      <c r="B1042" s="19">
        <v>15.5</v>
      </c>
    </row>
    <row r="1043" spans="1:2" x14ac:dyDescent="0.25">
      <c r="A1043" s="4">
        <v>41</v>
      </c>
      <c r="B1043" s="20">
        <v>9.65</v>
      </c>
    </row>
    <row r="1044" spans="1:2" x14ac:dyDescent="0.25">
      <c r="A1044" s="3">
        <v>46</v>
      </c>
      <c r="B1044" s="19">
        <v>12</v>
      </c>
    </row>
    <row r="1045" spans="1:2" x14ac:dyDescent="0.25">
      <c r="A1045" s="4">
        <v>47</v>
      </c>
      <c r="B1045" s="20">
        <v>9.5</v>
      </c>
    </row>
    <row r="1046" spans="1:2" x14ac:dyDescent="0.25">
      <c r="A1046" s="3">
        <v>56</v>
      </c>
      <c r="B1046" s="19">
        <v>38</v>
      </c>
    </row>
    <row r="1047" spans="1:2" x14ac:dyDescent="0.25">
      <c r="A1047" s="4">
        <v>60</v>
      </c>
      <c r="B1047" s="20">
        <v>34</v>
      </c>
    </row>
    <row r="1048" spans="1:2" x14ac:dyDescent="0.25">
      <c r="A1048" s="3">
        <v>21</v>
      </c>
      <c r="B1048" s="19">
        <v>10</v>
      </c>
    </row>
    <row r="1049" spans="1:2" x14ac:dyDescent="0.25">
      <c r="A1049" s="4">
        <v>40</v>
      </c>
      <c r="B1049" s="20">
        <v>18.399999999999999</v>
      </c>
    </row>
    <row r="1050" spans="1:2" x14ac:dyDescent="0.25">
      <c r="A1050" s="3">
        <v>60</v>
      </c>
      <c r="B1050" s="19">
        <v>34</v>
      </c>
    </row>
    <row r="1051" spans="1:2" x14ac:dyDescent="0.25">
      <c r="A1051" s="4">
        <v>77</v>
      </c>
      <c r="B1051" s="20">
        <v>13</v>
      </c>
    </row>
    <row r="1052" spans="1:2" x14ac:dyDescent="0.25">
      <c r="A1052" s="3">
        <v>31</v>
      </c>
      <c r="B1052" s="19">
        <v>12.5</v>
      </c>
    </row>
    <row r="1053" spans="1:2" x14ac:dyDescent="0.25">
      <c r="A1053" s="4">
        <v>40</v>
      </c>
      <c r="B1053" s="20">
        <v>18.399999999999999</v>
      </c>
    </row>
    <row r="1054" spans="1:2" x14ac:dyDescent="0.25">
      <c r="A1054" s="3">
        <v>70</v>
      </c>
      <c r="B1054" s="19">
        <v>15</v>
      </c>
    </row>
    <row r="1055" spans="1:2" x14ac:dyDescent="0.25">
      <c r="A1055" s="4">
        <v>20</v>
      </c>
      <c r="B1055" s="20">
        <v>81</v>
      </c>
    </row>
    <row r="1056" spans="1:2" x14ac:dyDescent="0.25">
      <c r="A1056" s="3">
        <v>68</v>
      </c>
      <c r="B1056" s="19">
        <v>12.5</v>
      </c>
    </row>
    <row r="1057" spans="1:2" x14ac:dyDescent="0.25">
      <c r="A1057" s="4">
        <v>40</v>
      </c>
      <c r="B1057" s="20">
        <v>18.399999999999999</v>
      </c>
    </row>
    <row r="1058" spans="1:2" x14ac:dyDescent="0.25">
      <c r="A1058" s="3">
        <v>42</v>
      </c>
      <c r="B1058" s="19">
        <v>14</v>
      </c>
    </row>
    <row r="1059" spans="1:2" x14ac:dyDescent="0.25">
      <c r="A1059" s="4">
        <v>51</v>
      </c>
      <c r="B1059" s="20">
        <v>53</v>
      </c>
    </row>
    <row r="1060" spans="1:2" x14ac:dyDescent="0.25">
      <c r="A1060" s="3">
        <v>10</v>
      </c>
      <c r="B1060" s="19">
        <v>31</v>
      </c>
    </row>
    <row r="1061" spans="1:2" x14ac:dyDescent="0.25">
      <c r="A1061" s="4">
        <v>56</v>
      </c>
      <c r="B1061" s="20">
        <v>38</v>
      </c>
    </row>
    <row r="1062" spans="1:2" x14ac:dyDescent="0.25">
      <c r="A1062" s="3">
        <v>65</v>
      </c>
      <c r="B1062" s="19">
        <v>21.05</v>
      </c>
    </row>
    <row r="1063" spans="1:2" x14ac:dyDescent="0.25">
      <c r="A1063" s="4">
        <v>51</v>
      </c>
      <c r="B1063" s="20">
        <v>53</v>
      </c>
    </row>
    <row r="1064" spans="1:2" x14ac:dyDescent="0.25">
      <c r="A1064" s="3">
        <v>59</v>
      </c>
      <c r="B1064" s="19">
        <v>55</v>
      </c>
    </row>
    <row r="1065" spans="1:2" x14ac:dyDescent="0.25">
      <c r="A1065" s="4">
        <v>76</v>
      </c>
      <c r="B1065" s="20">
        <v>18</v>
      </c>
    </row>
    <row r="1066" spans="1:2" x14ac:dyDescent="0.25">
      <c r="A1066" s="3">
        <v>29</v>
      </c>
      <c r="B1066" s="19">
        <v>123.79</v>
      </c>
    </row>
    <row r="1067" spans="1:2" x14ac:dyDescent="0.25">
      <c r="A1067" s="4">
        <v>65</v>
      </c>
      <c r="B1067" s="20">
        <v>21.05</v>
      </c>
    </row>
    <row r="1068" spans="1:2" x14ac:dyDescent="0.25">
      <c r="A1068" s="3">
        <v>69</v>
      </c>
      <c r="B1068" s="19">
        <v>36</v>
      </c>
    </row>
    <row r="1069" spans="1:2" x14ac:dyDescent="0.25">
      <c r="A1069" s="4">
        <v>71</v>
      </c>
      <c r="B1069" s="20">
        <v>21.5</v>
      </c>
    </row>
    <row r="1070" spans="1:2" x14ac:dyDescent="0.25">
      <c r="A1070" s="3">
        <v>31</v>
      </c>
      <c r="B1070" s="19">
        <v>12.5</v>
      </c>
    </row>
    <row r="1071" spans="1:2" x14ac:dyDescent="0.25">
      <c r="A1071" s="4">
        <v>55</v>
      </c>
      <c r="B1071" s="20">
        <v>24</v>
      </c>
    </row>
    <row r="1072" spans="1:2" x14ac:dyDescent="0.25">
      <c r="A1072" s="3">
        <v>64</v>
      </c>
      <c r="B1072" s="19">
        <v>33.25</v>
      </c>
    </row>
    <row r="1073" spans="1:2" x14ac:dyDescent="0.25">
      <c r="A1073" s="4">
        <v>36</v>
      </c>
      <c r="B1073" s="20">
        <v>19</v>
      </c>
    </row>
    <row r="1074" spans="1:2" x14ac:dyDescent="0.25">
      <c r="A1074" s="3">
        <v>23</v>
      </c>
      <c r="B1074" s="19">
        <v>9</v>
      </c>
    </row>
    <row r="1075" spans="1:2" x14ac:dyDescent="0.25">
      <c r="A1075" s="4">
        <v>46</v>
      </c>
      <c r="B1075" s="20">
        <v>12</v>
      </c>
    </row>
    <row r="1076" spans="1:2" x14ac:dyDescent="0.25">
      <c r="A1076" s="3">
        <v>67</v>
      </c>
      <c r="B1076" s="19">
        <v>14</v>
      </c>
    </row>
    <row r="1077" spans="1:2" x14ac:dyDescent="0.25">
      <c r="A1077" s="4">
        <v>73</v>
      </c>
      <c r="B1077" s="20">
        <v>15</v>
      </c>
    </row>
    <row r="1078" spans="1:2" x14ac:dyDescent="0.25">
      <c r="A1078" s="3">
        <v>75</v>
      </c>
      <c r="B1078" s="19">
        <v>7.75</v>
      </c>
    </row>
    <row r="1079" spans="1:2" x14ac:dyDescent="0.25">
      <c r="A1079" s="4">
        <v>16</v>
      </c>
      <c r="B1079" s="20">
        <v>17.45</v>
      </c>
    </row>
    <row r="1080" spans="1:2" x14ac:dyDescent="0.25">
      <c r="A1080" s="3">
        <v>62</v>
      </c>
      <c r="B1080" s="19">
        <v>49.3</v>
      </c>
    </row>
    <row r="1081" spans="1:2" x14ac:dyDescent="0.25">
      <c r="A1081" s="4">
        <v>65</v>
      </c>
      <c r="B1081" s="20">
        <v>21.05</v>
      </c>
    </row>
    <row r="1082" spans="1:2" x14ac:dyDescent="0.25">
      <c r="A1082" s="3">
        <v>38</v>
      </c>
      <c r="B1082" s="19">
        <v>263.5</v>
      </c>
    </row>
    <row r="1083" spans="1:2" x14ac:dyDescent="0.25">
      <c r="A1083" s="4">
        <v>71</v>
      </c>
      <c r="B1083" s="20">
        <v>21.5</v>
      </c>
    </row>
    <row r="1084" spans="1:2" x14ac:dyDescent="0.25">
      <c r="A1084" s="3">
        <v>16</v>
      </c>
      <c r="B1084" s="19">
        <v>17.45</v>
      </c>
    </row>
    <row r="1085" spans="1:2" x14ac:dyDescent="0.25">
      <c r="A1085" s="4">
        <v>42</v>
      </c>
      <c r="B1085" s="20">
        <v>14</v>
      </c>
    </row>
    <row r="1086" spans="1:2" x14ac:dyDescent="0.25">
      <c r="A1086" s="3">
        <v>43</v>
      </c>
      <c r="B1086" s="19">
        <v>46</v>
      </c>
    </row>
    <row r="1087" spans="1:2" x14ac:dyDescent="0.25">
      <c r="A1087" s="4">
        <v>23</v>
      </c>
      <c r="B1087" s="20">
        <v>9</v>
      </c>
    </row>
    <row r="1088" spans="1:2" x14ac:dyDescent="0.25">
      <c r="A1088" s="3">
        <v>14</v>
      </c>
      <c r="B1088" s="19">
        <v>23.25</v>
      </c>
    </row>
    <row r="1089" spans="1:2" x14ac:dyDescent="0.25">
      <c r="A1089" s="4">
        <v>53</v>
      </c>
      <c r="B1089" s="20">
        <v>32.799999999999997</v>
      </c>
    </row>
    <row r="1090" spans="1:2" x14ac:dyDescent="0.25">
      <c r="A1090" s="3">
        <v>58</v>
      </c>
      <c r="B1090" s="19">
        <v>13.25</v>
      </c>
    </row>
    <row r="1091" spans="1:2" x14ac:dyDescent="0.25">
      <c r="A1091" s="4">
        <v>10</v>
      </c>
      <c r="B1091" s="20">
        <v>31</v>
      </c>
    </row>
    <row r="1092" spans="1:2" x14ac:dyDescent="0.25">
      <c r="A1092" s="3">
        <v>19</v>
      </c>
      <c r="B1092" s="19">
        <v>9.1999999999999993</v>
      </c>
    </row>
    <row r="1093" spans="1:2" x14ac:dyDescent="0.25">
      <c r="A1093" s="4">
        <v>44</v>
      </c>
      <c r="B1093" s="20">
        <v>19.45</v>
      </c>
    </row>
    <row r="1094" spans="1:2" x14ac:dyDescent="0.25">
      <c r="A1094" s="3">
        <v>26</v>
      </c>
      <c r="B1094" s="19">
        <v>31.23</v>
      </c>
    </row>
    <row r="1095" spans="1:2" x14ac:dyDescent="0.25">
      <c r="A1095" s="4">
        <v>33</v>
      </c>
      <c r="B1095" s="20">
        <v>2.5</v>
      </c>
    </row>
    <row r="1096" spans="1:2" x14ac:dyDescent="0.25">
      <c r="A1096" s="3">
        <v>12</v>
      </c>
      <c r="B1096" s="19">
        <v>38</v>
      </c>
    </row>
    <row r="1097" spans="1:2" x14ac:dyDescent="0.25">
      <c r="A1097" s="4">
        <v>33</v>
      </c>
      <c r="B1097" s="20">
        <v>2.5</v>
      </c>
    </row>
    <row r="1098" spans="1:2" x14ac:dyDescent="0.25">
      <c r="A1098" s="3">
        <v>41</v>
      </c>
      <c r="B1098" s="19">
        <v>9.65</v>
      </c>
    </row>
    <row r="1099" spans="1:2" x14ac:dyDescent="0.25">
      <c r="A1099" s="4">
        <v>54</v>
      </c>
      <c r="B1099" s="20">
        <v>7.45</v>
      </c>
    </row>
    <row r="1100" spans="1:2" x14ac:dyDescent="0.25">
      <c r="A1100" s="3">
        <v>59</v>
      </c>
      <c r="B1100" s="19">
        <v>55</v>
      </c>
    </row>
    <row r="1101" spans="1:2" x14ac:dyDescent="0.25">
      <c r="A1101" s="4">
        <v>16</v>
      </c>
      <c r="B1101" s="20">
        <v>17.45</v>
      </c>
    </row>
    <row r="1102" spans="1:2" x14ac:dyDescent="0.25">
      <c r="A1102" s="3">
        <v>31</v>
      </c>
      <c r="B1102" s="19">
        <v>12.5</v>
      </c>
    </row>
    <row r="1103" spans="1:2" x14ac:dyDescent="0.25">
      <c r="A1103" s="4">
        <v>42</v>
      </c>
      <c r="B1103" s="20">
        <v>14</v>
      </c>
    </row>
    <row r="1104" spans="1:2" x14ac:dyDescent="0.25">
      <c r="A1104" s="3">
        <v>19</v>
      </c>
      <c r="B1104" s="19">
        <v>9.1999999999999993</v>
      </c>
    </row>
    <row r="1105" spans="1:2" x14ac:dyDescent="0.25">
      <c r="A1105" s="4">
        <v>21</v>
      </c>
      <c r="B1105" s="20">
        <v>10</v>
      </c>
    </row>
    <row r="1106" spans="1:2" x14ac:dyDescent="0.25">
      <c r="A1106" s="3">
        <v>64</v>
      </c>
      <c r="B1106" s="19">
        <v>33.25</v>
      </c>
    </row>
    <row r="1107" spans="1:2" x14ac:dyDescent="0.25">
      <c r="A1107" s="4">
        <v>33</v>
      </c>
      <c r="B1107" s="20">
        <v>2.5</v>
      </c>
    </row>
    <row r="1108" spans="1:2" x14ac:dyDescent="0.25">
      <c r="A1108" s="3">
        <v>66</v>
      </c>
      <c r="B1108" s="19">
        <v>17</v>
      </c>
    </row>
    <row r="1109" spans="1:2" x14ac:dyDescent="0.25">
      <c r="A1109" s="4">
        <v>75</v>
      </c>
      <c r="B1109" s="20">
        <v>7.75</v>
      </c>
    </row>
    <row r="1110" spans="1:2" x14ac:dyDescent="0.25">
      <c r="A1110" s="3">
        <v>52</v>
      </c>
      <c r="B1110" s="19">
        <v>7</v>
      </c>
    </row>
    <row r="1111" spans="1:2" x14ac:dyDescent="0.25">
      <c r="A1111" s="4">
        <v>40</v>
      </c>
      <c r="B1111" s="20">
        <v>18.399999999999999</v>
      </c>
    </row>
    <row r="1112" spans="1:2" x14ac:dyDescent="0.25">
      <c r="A1112" s="3">
        <v>47</v>
      </c>
      <c r="B1112" s="19">
        <v>9.5</v>
      </c>
    </row>
    <row r="1113" spans="1:2" x14ac:dyDescent="0.25">
      <c r="A1113" s="4">
        <v>60</v>
      </c>
      <c r="B1113" s="20">
        <v>34</v>
      </c>
    </row>
    <row r="1114" spans="1:2" x14ac:dyDescent="0.25">
      <c r="A1114" s="3">
        <v>10</v>
      </c>
      <c r="B1114" s="19">
        <v>31</v>
      </c>
    </row>
    <row r="1115" spans="1:2" x14ac:dyDescent="0.25">
      <c r="A1115" s="4">
        <v>41</v>
      </c>
      <c r="B1115" s="20">
        <v>9.65</v>
      </c>
    </row>
    <row r="1116" spans="1:2" x14ac:dyDescent="0.25">
      <c r="A1116" s="3">
        <v>47</v>
      </c>
      <c r="B1116" s="19">
        <v>9.5</v>
      </c>
    </row>
    <row r="1117" spans="1:2" x14ac:dyDescent="0.25">
      <c r="A1117" s="4">
        <v>17</v>
      </c>
      <c r="B1117" s="20">
        <v>39</v>
      </c>
    </row>
    <row r="1118" spans="1:2" x14ac:dyDescent="0.25">
      <c r="A1118" s="3">
        <v>26</v>
      </c>
      <c r="B1118" s="19">
        <v>31.23</v>
      </c>
    </row>
    <row r="1119" spans="1:2" x14ac:dyDescent="0.25">
      <c r="A1119" s="4">
        <v>10</v>
      </c>
      <c r="B1119" s="20">
        <v>31</v>
      </c>
    </row>
    <row r="1120" spans="1:2" x14ac:dyDescent="0.25">
      <c r="A1120" s="3">
        <v>28</v>
      </c>
      <c r="B1120" s="19">
        <v>45.6</v>
      </c>
    </row>
    <row r="1121" spans="1:2" x14ac:dyDescent="0.25">
      <c r="A1121" s="4">
        <v>34</v>
      </c>
      <c r="B1121" s="20">
        <v>14</v>
      </c>
    </row>
    <row r="1122" spans="1:2" x14ac:dyDescent="0.25">
      <c r="A1122" s="3">
        <v>1</v>
      </c>
      <c r="B1122" s="19">
        <v>18</v>
      </c>
    </row>
    <row r="1123" spans="1:2" x14ac:dyDescent="0.25">
      <c r="A1123" s="4">
        <v>56</v>
      </c>
      <c r="B1123" s="20">
        <v>38</v>
      </c>
    </row>
    <row r="1124" spans="1:2" x14ac:dyDescent="0.25">
      <c r="A1124" s="3">
        <v>77</v>
      </c>
      <c r="B1124" s="19">
        <v>13</v>
      </c>
    </row>
    <row r="1125" spans="1:2" x14ac:dyDescent="0.25">
      <c r="A1125" s="4">
        <v>1</v>
      </c>
      <c r="B1125" s="20">
        <v>18</v>
      </c>
    </row>
    <row r="1126" spans="1:2" x14ac:dyDescent="0.25">
      <c r="A1126" s="3">
        <v>29</v>
      </c>
      <c r="B1126" s="19">
        <v>123.79</v>
      </c>
    </row>
    <row r="1127" spans="1:2" x14ac:dyDescent="0.25">
      <c r="A1127" s="4">
        <v>43</v>
      </c>
      <c r="B1127" s="20">
        <v>46</v>
      </c>
    </row>
    <row r="1128" spans="1:2" x14ac:dyDescent="0.25">
      <c r="A1128" s="3">
        <v>44</v>
      </c>
      <c r="B1128" s="19">
        <v>19.45</v>
      </c>
    </row>
    <row r="1129" spans="1:2" x14ac:dyDescent="0.25">
      <c r="A1129" s="4">
        <v>62</v>
      </c>
      <c r="B1129" s="20">
        <v>49.3</v>
      </c>
    </row>
    <row r="1130" spans="1:2" x14ac:dyDescent="0.25">
      <c r="A1130" s="3">
        <v>63</v>
      </c>
      <c r="B1130" s="19">
        <v>43.9</v>
      </c>
    </row>
    <row r="1131" spans="1:2" x14ac:dyDescent="0.25">
      <c r="A1131" s="4">
        <v>9</v>
      </c>
      <c r="B1131" s="20">
        <v>97</v>
      </c>
    </row>
    <row r="1132" spans="1:2" x14ac:dyDescent="0.25">
      <c r="A1132" s="3">
        <v>54</v>
      </c>
      <c r="B1132" s="19">
        <v>7.45</v>
      </c>
    </row>
    <row r="1133" spans="1:2" x14ac:dyDescent="0.25">
      <c r="A1133" s="4">
        <v>69</v>
      </c>
      <c r="B1133" s="20">
        <v>36</v>
      </c>
    </row>
    <row r="1134" spans="1:2" x14ac:dyDescent="0.25">
      <c r="A1134" s="3">
        <v>73</v>
      </c>
      <c r="B1134" s="19">
        <v>15</v>
      </c>
    </row>
    <row r="1135" spans="1:2" x14ac:dyDescent="0.25">
      <c r="A1135" s="4">
        <v>7</v>
      </c>
      <c r="B1135" s="20">
        <v>30</v>
      </c>
    </row>
    <row r="1136" spans="1:2" x14ac:dyDescent="0.25">
      <c r="A1136" s="3">
        <v>59</v>
      </c>
      <c r="B1136" s="19">
        <v>55</v>
      </c>
    </row>
    <row r="1137" spans="1:2" x14ac:dyDescent="0.25">
      <c r="A1137" s="4">
        <v>70</v>
      </c>
      <c r="B1137" s="20">
        <v>15</v>
      </c>
    </row>
    <row r="1138" spans="1:2" x14ac:dyDescent="0.25">
      <c r="A1138" s="3">
        <v>8</v>
      </c>
      <c r="B1138" s="19">
        <v>40</v>
      </c>
    </row>
    <row r="1139" spans="1:2" x14ac:dyDescent="0.25">
      <c r="A1139" s="4">
        <v>12</v>
      </c>
      <c r="B1139" s="20">
        <v>38</v>
      </c>
    </row>
    <row r="1140" spans="1:2" x14ac:dyDescent="0.25">
      <c r="A1140" s="3">
        <v>24</v>
      </c>
      <c r="B1140" s="19">
        <v>4.5</v>
      </c>
    </row>
    <row r="1141" spans="1:2" x14ac:dyDescent="0.25">
      <c r="A1141" s="4">
        <v>17</v>
      </c>
      <c r="B1141" s="20">
        <v>39</v>
      </c>
    </row>
    <row r="1142" spans="1:2" x14ac:dyDescent="0.25">
      <c r="A1142" s="3">
        <v>46</v>
      </c>
      <c r="B1142" s="19">
        <v>12</v>
      </c>
    </row>
    <row r="1143" spans="1:2" x14ac:dyDescent="0.25">
      <c r="A1143" s="4">
        <v>19</v>
      </c>
      <c r="B1143" s="20">
        <v>9.1999999999999993</v>
      </c>
    </row>
    <row r="1144" spans="1:2" x14ac:dyDescent="0.25">
      <c r="A1144" s="3">
        <v>35</v>
      </c>
      <c r="B1144" s="19">
        <v>18</v>
      </c>
    </row>
    <row r="1145" spans="1:2" x14ac:dyDescent="0.25">
      <c r="A1145" s="4">
        <v>58</v>
      </c>
      <c r="B1145" s="20">
        <v>13.25</v>
      </c>
    </row>
    <row r="1146" spans="1:2" x14ac:dyDescent="0.25">
      <c r="A1146" s="3">
        <v>70</v>
      </c>
      <c r="B1146" s="19">
        <v>15</v>
      </c>
    </row>
    <row r="1147" spans="1:2" x14ac:dyDescent="0.25">
      <c r="A1147" s="4">
        <v>11</v>
      </c>
      <c r="B1147" s="20">
        <v>21</v>
      </c>
    </row>
    <row r="1148" spans="1:2" x14ac:dyDescent="0.25">
      <c r="A1148" s="3">
        <v>17</v>
      </c>
      <c r="B1148" s="19">
        <v>39</v>
      </c>
    </row>
    <row r="1149" spans="1:2" x14ac:dyDescent="0.25">
      <c r="A1149" s="4">
        <v>29</v>
      </c>
      <c r="B1149" s="20">
        <v>123.79</v>
      </c>
    </row>
    <row r="1150" spans="1:2" x14ac:dyDescent="0.25">
      <c r="A1150" s="3">
        <v>65</v>
      </c>
      <c r="B1150" s="19">
        <v>21.05</v>
      </c>
    </row>
    <row r="1151" spans="1:2" x14ac:dyDescent="0.25">
      <c r="A1151" s="4">
        <v>70</v>
      </c>
      <c r="B1151" s="20">
        <v>15</v>
      </c>
    </row>
    <row r="1152" spans="1:2" x14ac:dyDescent="0.25">
      <c r="A1152" s="3">
        <v>47</v>
      </c>
      <c r="B1152" s="19">
        <v>9.5</v>
      </c>
    </row>
    <row r="1153" spans="1:2" x14ac:dyDescent="0.25">
      <c r="A1153" s="4">
        <v>1</v>
      </c>
      <c r="B1153" s="20">
        <v>18</v>
      </c>
    </row>
    <row r="1154" spans="1:2" x14ac:dyDescent="0.25">
      <c r="A1154" s="3">
        <v>34</v>
      </c>
      <c r="B1154" s="19">
        <v>14</v>
      </c>
    </row>
    <row r="1155" spans="1:2" x14ac:dyDescent="0.25">
      <c r="A1155" s="4">
        <v>68</v>
      </c>
      <c r="B1155" s="20">
        <v>12.5</v>
      </c>
    </row>
    <row r="1156" spans="1:2" x14ac:dyDescent="0.25">
      <c r="A1156" s="3">
        <v>71</v>
      </c>
      <c r="B1156" s="19">
        <v>21.5</v>
      </c>
    </row>
    <row r="1157" spans="1:2" x14ac:dyDescent="0.25">
      <c r="A1157" s="4">
        <v>3</v>
      </c>
      <c r="B1157" s="20">
        <v>10</v>
      </c>
    </row>
    <row r="1158" spans="1:2" x14ac:dyDescent="0.25">
      <c r="A1158" s="3">
        <v>76</v>
      </c>
      <c r="B1158" s="19">
        <v>18</v>
      </c>
    </row>
    <row r="1159" spans="1:2" x14ac:dyDescent="0.25">
      <c r="A1159" s="4">
        <v>2</v>
      </c>
      <c r="B1159" s="20">
        <v>19</v>
      </c>
    </row>
    <row r="1160" spans="1:2" x14ac:dyDescent="0.25">
      <c r="A1160" s="3">
        <v>59</v>
      </c>
      <c r="B1160" s="19">
        <v>55</v>
      </c>
    </row>
    <row r="1161" spans="1:2" x14ac:dyDescent="0.25">
      <c r="A1161" s="4">
        <v>73</v>
      </c>
      <c r="B1161" s="20">
        <v>15</v>
      </c>
    </row>
    <row r="1162" spans="1:2" x14ac:dyDescent="0.25">
      <c r="A1162" s="3">
        <v>4</v>
      </c>
      <c r="B1162" s="19">
        <v>22</v>
      </c>
    </row>
    <row r="1163" spans="1:2" x14ac:dyDescent="0.25">
      <c r="A1163" s="4">
        <v>24</v>
      </c>
      <c r="B1163" s="20">
        <v>4.5</v>
      </c>
    </row>
    <row r="1164" spans="1:2" x14ac:dyDescent="0.25">
      <c r="A1164" s="3">
        <v>48</v>
      </c>
      <c r="B1164" s="19">
        <v>12.75</v>
      </c>
    </row>
    <row r="1165" spans="1:2" x14ac:dyDescent="0.25">
      <c r="A1165" s="4">
        <v>31</v>
      </c>
      <c r="B1165" s="20">
        <v>12.5</v>
      </c>
    </row>
    <row r="1166" spans="1:2" x14ac:dyDescent="0.25">
      <c r="A1166" s="3">
        <v>32</v>
      </c>
      <c r="B1166" s="19">
        <v>32</v>
      </c>
    </row>
    <row r="1167" spans="1:2" x14ac:dyDescent="0.25">
      <c r="A1167" s="4">
        <v>16</v>
      </c>
      <c r="B1167" s="20">
        <v>17.45</v>
      </c>
    </row>
    <row r="1168" spans="1:2" x14ac:dyDescent="0.25">
      <c r="A1168" s="3">
        <v>43</v>
      </c>
      <c r="B1168" s="19">
        <v>46</v>
      </c>
    </row>
    <row r="1169" spans="1:2" x14ac:dyDescent="0.25">
      <c r="A1169" s="4">
        <v>59</v>
      </c>
      <c r="B1169" s="20">
        <v>55</v>
      </c>
    </row>
    <row r="1170" spans="1:2" x14ac:dyDescent="0.25">
      <c r="A1170" s="3">
        <v>55</v>
      </c>
      <c r="B1170" s="19">
        <v>24</v>
      </c>
    </row>
    <row r="1171" spans="1:2" x14ac:dyDescent="0.25">
      <c r="A1171" s="4">
        <v>57</v>
      </c>
      <c r="B1171" s="20">
        <v>19.5</v>
      </c>
    </row>
    <row r="1172" spans="1:2" x14ac:dyDescent="0.25">
      <c r="A1172" s="3">
        <v>70</v>
      </c>
      <c r="B1172" s="19">
        <v>15</v>
      </c>
    </row>
    <row r="1173" spans="1:2" x14ac:dyDescent="0.25">
      <c r="A1173" s="4">
        <v>5</v>
      </c>
      <c r="B1173" s="20">
        <v>21.35</v>
      </c>
    </row>
    <row r="1174" spans="1:2" x14ac:dyDescent="0.25">
      <c r="A1174" s="3">
        <v>36</v>
      </c>
      <c r="B1174" s="19">
        <v>19</v>
      </c>
    </row>
    <row r="1175" spans="1:2" x14ac:dyDescent="0.25">
      <c r="A1175" s="4">
        <v>8</v>
      </c>
      <c r="B1175" s="20">
        <v>40</v>
      </c>
    </row>
    <row r="1176" spans="1:2" x14ac:dyDescent="0.25">
      <c r="A1176" s="3">
        <v>51</v>
      </c>
      <c r="B1176" s="19">
        <v>53</v>
      </c>
    </row>
    <row r="1177" spans="1:2" x14ac:dyDescent="0.25">
      <c r="A1177" s="4">
        <v>60</v>
      </c>
      <c r="B1177" s="20">
        <v>34</v>
      </c>
    </row>
    <row r="1178" spans="1:2" x14ac:dyDescent="0.25">
      <c r="A1178" s="3">
        <v>19</v>
      </c>
      <c r="B1178" s="19">
        <v>9.1999999999999993</v>
      </c>
    </row>
    <row r="1179" spans="1:2" x14ac:dyDescent="0.25">
      <c r="A1179" s="4">
        <v>47</v>
      </c>
      <c r="B1179" s="20">
        <v>9.5</v>
      </c>
    </row>
    <row r="1180" spans="1:2" x14ac:dyDescent="0.25">
      <c r="A1180" s="3">
        <v>19</v>
      </c>
      <c r="B1180" s="19">
        <v>9.1999999999999993</v>
      </c>
    </row>
    <row r="1181" spans="1:2" x14ac:dyDescent="0.25">
      <c r="A1181" s="4">
        <v>41</v>
      </c>
      <c r="B1181" s="20">
        <v>9.65</v>
      </c>
    </row>
    <row r="1182" spans="1:2" x14ac:dyDescent="0.25">
      <c r="A1182" s="3">
        <v>53</v>
      </c>
      <c r="B1182" s="19">
        <v>32.799999999999997</v>
      </c>
    </row>
    <row r="1183" spans="1:2" x14ac:dyDescent="0.25">
      <c r="A1183" s="4">
        <v>10</v>
      </c>
      <c r="B1183" s="20">
        <v>31</v>
      </c>
    </row>
    <row r="1184" spans="1:2" x14ac:dyDescent="0.25">
      <c r="A1184" s="3">
        <v>26</v>
      </c>
      <c r="B1184" s="19">
        <v>31.23</v>
      </c>
    </row>
    <row r="1185" spans="1:2" x14ac:dyDescent="0.25">
      <c r="A1185" s="4">
        <v>45</v>
      </c>
      <c r="B1185" s="20">
        <v>9.5</v>
      </c>
    </row>
    <row r="1186" spans="1:2" x14ac:dyDescent="0.25">
      <c r="A1186" s="3">
        <v>46</v>
      </c>
      <c r="B1186" s="19">
        <v>12</v>
      </c>
    </row>
    <row r="1187" spans="1:2" x14ac:dyDescent="0.25">
      <c r="A1187" s="4">
        <v>2</v>
      </c>
      <c r="B1187" s="20">
        <v>19</v>
      </c>
    </row>
    <row r="1188" spans="1:2" x14ac:dyDescent="0.25">
      <c r="A1188" s="3">
        <v>17</v>
      </c>
      <c r="B1188" s="19">
        <v>39</v>
      </c>
    </row>
    <row r="1189" spans="1:2" x14ac:dyDescent="0.25">
      <c r="A1189" s="4">
        <v>47</v>
      </c>
      <c r="B1189" s="20">
        <v>9.5</v>
      </c>
    </row>
    <row r="1190" spans="1:2" x14ac:dyDescent="0.25">
      <c r="A1190" s="3">
        <v>56</v>
      </c>
      <c r="B1190" s="19">
        <v>38</v>
      </c>
    </row>
    <row r="1191" spans="1:2" x14ac:dyDescent="0.25">
      <c r="A1191" s="4">
        <v>58</v>
      </c>
      <c r="B1191" s="20">
        <v>13.25</v>
      </c>
    </row>
    <row r="1192" spans="1:2" x14ac:dyDescent="0.25">
      <c r="A1192" s="3">
        <v>10</v>
      </c>
      <c r="B1192" s="19">
        <v>31</v>
      </c>
    </row>
    <row r="1193" spans="1:2" x14ac:dyDescent="0.25">
      <c r="A1193" s="4">
        <v>71</v>
      </c>
      <c r="B1193" s="20">
        <v>21.5</v>
      </c>
    </row>
    <row r="1194" spans="1:2" x14ac:dyDescent="0.25">
      <c r="A1194" s="3">
        <v>21</v>
      </c>
      <c r="B1194" s="19">
        <v>10</v>
      </c>
    </row>
    <row r="1195" spans="1:2" x14ac:dyDescent="0.25">
      <c r="A1195" s="4">
        <v>51</v>
      </c>
      <c r="B1195" s="20">
        <v>53</v>
      </c>
    </row>
    <row r="1196" spans="1:2" x14ac:dyDescent="0.25">
      <c r="A1196" s="3">
        <v>61</v>
      </c>
      <c r="B1196" s="19">
        <v>28.5</v>
      </c>
    </row>
    <row r="1197" spans="1:2" x14ac:dyDescent="0.25">
      <c r="A1197" s="4">
        <v>21</v>
      </c>
      <c r="B1197" s="20">
        <v>10</v>
      </c>
    </row>
    <row r="1198" spans="1:2" x14ac:dyDescent="0.25">
      <c r="A1198" s="3">
        <v>54</v>
      </c>
      <c r="B1198" s="19">
        <v>7.45</v>
      </c>
    </row>
    <row r="1199" spans="1:2" x14ac:dyDescent="0.25">
      <c r="A1199" s="4">
        <v>69</v>
      </c>
      <c r="B1199" s="20">
        <v>36</v>
      </c>
    </row>
    <row r="1200" spans="1:2" x14ac:dyDescent="0.25">
      <c r="A1200" s="3">
        <v>12</v>
      </c>
      <c r="B1200" s="19">
        <v>38</v>
      </c>
    </row>
    <row r="1201" spans="1:2" x14ac:dyDescent="0.25">
      <c r="A1201" s="4">
        <v>16</v>
      </c>
      <c r="B1201" s="20">
        <v>17.45</v>
      </c>
    </row>
    <row r="1202" spans="1:2" x14ac:dyDescent="0.25">
      <c r="A1202" s="3">
        <v>36</v>
      </c>
      <c r="B1202" s="19">
        <v>19</v>
      </c>
    </row>
    <row r="1203" spans="1:2" x14ac:dyDescent="0.25">
      <c r="A1203" s="4">
        <v>62</v>
      </c>
      <c r="B1203" s="20">
        <v>49.3</v>
      </c>
    </row>
    <row r="1204" spans="1:2" x14ac:dyDescent="0.25">
      <c r="A1204" s="3">
        <v>18</v>
      </c>
      <c r="B1204" s="19">
        <v>62.5</v>
      </c>
    </row>
    <row r="1205" spans="1:2" x14ac:dyDescent="0.25">
      <c r="A1205" s="4">
        <v>30</v>
      </c>
      <c r="B1205" s="20">
        <v>25.89</v>
      </c>
    </row>
    <row r="1206" spans="1:2" x14ac:dyDescent="0.25">
      <c r="A1206" s="3">
        <v>54</v>
      </c>
      <c r="B1206" s="19">
        <v>7.45</v>
      </c>
    </row>
    <row r="1207" spans="1:2" x14ac:dyDescent="0.25">
      <c r="A1207" s="4">
        <v>35</v>
      </c>
      <c r="B1207" s="20">
        <v>18</v>
      </c>
    </row>
    <row r="1208" spans="1:2" x14ac:dyDescent="0.25">
      <c r="A1208" s="3">
        <v>71</v>
      </c>
      <c r="B1208" s="19">
        <v>21.5</v>
      </c>
    </row>
    <row r="1209" spans="1:2" x14ac:dyDescent="0.25">
      <c r="A1209" s="4">
        <v>44</v>
      </c>
      <c r="B1209" s="20">
        <v>19.45</v>
      </c>
    </row>
    <row r="1210" spans="1:2" x14ac:dyDescent="0.25">
      <c r="A1210" s="3">
        <v>2</v>
      </c>
      <c r="B1210" s="19">
        <v>19</v>
      </c>
    </row>
    <row r="1211" spans="1:2" x14ac:dyDescent="0.25">
      <c r="A1211" s="4">
        <v>31</v>
      </c>
      <c r="B1211" s="20">
        <v>12.5</v>
      </c>
    </row>
    <row r="1212" spans="1:2" x14ac:dyDescent="0.25">
      <c r="A1212" s="3">
        <v>68</v>
      </c>
      <c r="B1212" s="19">
        <v>12.5</v>
      </c>
    </row>
    <row r="1213" spans="1:2" x14ac:dyDescent="0.25">
      <c r="A1213" s="4">
        <v>75</v>
      </c>
      <c r="B1213" s="20">
        <v>7.75</v>
      </c>
    </row>
    <row r="1214" spans="1:2" x14ac:dyDescent="0.25">
      <c r="A1214" s="3">
        <v>26</v>
      </c>
      <c r="B1214" s="19">
        <v>31.23</v>
      </c>
    </row>
    <row r="1215" spans="1:2" x14ac:dyDescent="0.25">
      <c r="A1215" s="4">
        <v>10</v>
      </c>
      <c r="B1215" s="20">
        <v>31</v>
      </c>
    </row>
    <row r="1216" spans="1:2" x14ac:dyDescent="0.25">
      <c r="A1216" s="3">
        <v>61</v>
      </c>
      <c r="B1216" s="19">
        <v>28.5</v>
      </c>
    </row>
    <row r="1217" spans="1:2" x14ac:dyDescent="0.25">
      <c r="A1217" s="4">
        <v>41</v>
      </c>
      <c r="B1217" s="20">
        <v>9.65</v>
      </c>
    </row>
    <row r="1218" spans="1:2" x14ac:dyDescent="0.25">
      <c r="A1218" s="3">
        <v>52</v>
      </c>
      <c r="B1218" s="19">
        <v>7</v>
      </c>
    </row>
    <row r="1219" spans="1:2" x14ac:dyDescent="0.25">
      <c r="A1219" s="4">
        <v>55</v>
      </c>
      <c r="B1219" s="20">
        <v>24</v>
      </c>
    </row>
    <row r="1220" spans="1:2" x14ac:dyDescent="0.25">
      <c r="A1220" s="3">
        <v>4</v>
      </c>
      <c r="B1220" s="19">
        <v>22</v>
      </c>
    </row>
    <row r="1221" spans="1:2" x14ac:dyDescent="0.25">
      <c r="A1221" s="4">
        <v>11</v>
      </c>
      <c r="B1221" s="20">
        <v>21</v>
      </c>
    </row>
    <row r="1222" spans="1:2" x14ac:dyDescent="0.25">
      <c r="A1222" s="3">
        <v>17</v>
      </c>
      <c r="B1222" s="19">
        <v>39</v>
      </c>
    </row>
    <row r="1223" spans="1:2" x14ac:dyDescent="0.25">
      <c r="A1223" s="4">
        <v>56</v>
      </c>
      <c r="B1223" s="20">
        <v>38</v>
      </c>
    </row>
    <row r="1224" spans="1:2" x14ac:dyDescent="0.25">
      <c r="A1224" s="3">
        <v>59</v>
      </c>
      <c r="B1224" s="19">
        <v>55</v>
      </c>
    </row>
    <row r="1225" spans="1:2" x14ac:dyDescent="0.25">
      <c r="A1225" s="4">
        <v>30</v>
      </c>
      <c r="B1225" s="20">
        <v>25.89</v>
      </c>
    </row>
    <row r="1226" spans="1:2" x14ac:dyDescent="0.25">
      <c r="A1226" s="3">
        <v>40</v>
      </c>
      <c r="B1226" s="19">
        <v>18.399999999999999</v>
      </c>
    </row>
    <row r="1227" spans="1:2" x14ac:dyDescent="0.25">
      <c r="A1227" s="4">
        <v>55</v>
      </c>
      <c r="B1227" s="20">
        <v>24</v>
      </c>
    </row>
    <row r="1228" spans="1:2" x14ac:dyDescent="0.25">
      <c r="A1228" s="3">
        <v>60</v>
      </c>
      <c r="B1228" s="19">
        <v>34</v>
      </c>
    </row>
    <row r="1229" spans="1:2" x14ac:dyDescent="0.25">
      <c r="A1229" s="4">
        <v>1</v>
      </c>
      <c r="B1229" s="20">
        <v>18</v>
      </c>
    </row>
    <row r="1230" spans="1:2" x14ac:dyDescent="0.25">
      <c r="A1230" s="3">
        <v>21</v>
      </c>
      <c r="B1230" s="19">
        <v>10</v>
      </c>
    </row>
    <row r="1231" spans="1:2" x14ac:dyDescent="0.25">
      <c r="A1231" s="4">
        <v>50</v>
      </c>
      <c r="B1231" s="20">
        <v>16.25</v>
      </c>
    </row>
    <row r="1232" spans="1:2" x14ac:dyDescent="0.25">
      <c r="A1232" s="3">
        <v>16</v>
      </c>
      <c r="B1232" s="19">
        <v>17.45</v>
      </c>
    </row>
    <row r="1233" spans="1:2" x14ac:dyDescent="0.25">
      <c r="A1233" s="4">
        <v>31</v>
      </c>
      <c r="B1233" s="20">
        <v>12.5</v>
      </c>
    </row>
    <row r="1234" spans="1:2" x14ac:dyDescent="0.25">
      <c r="A1234" s="3">
        <v>65</v>
      </c>
      <c r="B1234" s="19">
        <v>21.05</v>
      </c>
    </row>
    <row r="1235" spans="1:2" x14ac:dyDescent="0.25">
      <c r="A1235" s="4">
        <v>21</v>
      </c>
      <c r="B1235" s="20">
        <v>10</v>
      </c>
    </row>
    <row r="1236" spans="1:2" x14ac:dyDescent="0.25">
      <c r="A1236" s="3">
        <v>51</v>
      </c>
      <c r="B1236" s="19">
        <v>53</v>
      </c>
    </row>
    <row r="1237" spans="1:2" x14ac:dyDescent="0.25">
      <c r="A1237" s="4">
        <v>76</v>
      </c>
      <c r="B1237" s="20">
        <v>18</v>
      </c>
    </row>
    <row r="1238" spans="1:2" x14ac:dyDescent="0.25">
      <c r="A1238" s="3">
        <v>14</v>
      </c>
      <c r="B1238" s="19">
        <v>23.25</v>
      </c>
    </row>
    <row r="1239" spans="1:2" x14ac:dyDescent="0.25">
      <c r="A1239" s="4">
        <v>28</v>
      </c>
      <c r="B1239" s="20">
        <v>45.6</v>
      </c>
    </row>
    <row r="1240" spans="1:2" x14ac:dyDescent="0.25">
      <c r="A1240" s="3">
        <v>52</v>
      </c>
      <c r="B1240" s="19">
        <v>7</v>
      </c>
    </row>
    <row r="1241" spans="1:2" x14ac:dyDescent="0.25">
      <c r="A1241" s="4">
        <v>6</v>
      </c>
      <c r="B1241" s="20">
        <v>25</v>
      </c>
    </row>
    <row r="1242" spans="1:2" x14ac:dyDescent="0.25">
      <c r="A1242" s="3">
        <v>30</v>
      </c>
      <c r="B1242" s="19">
        <v>25.89</v>
      </c>
    </row>
    <row r="1243" spans="1:2" x14ac:dyDescent="0.25">
      <c r="A1243" s="4">
        <v>76</v>
      </c>
      <c r="B1243" s="20">
        <v>18</v>
      </c>
    </row>
    <row r="1244" spans="1:2" x14ac:dyDescent="0.25">
      <c r="A1244" s="3">
        <v>61</v>
      </c>
      <c r="B1244" s="19">
        <v>28.5</v>
      </c>
    </row>
    <row r="1245" spans="1:2" x14ac:dyDescent="0.25">
      <c r="A1245" s="4">
        <v>77</v>
      </c>
      <c r="B1245" s="20">
        <v>13</v>
      </c>
    </row>
    <row r="1246" spans="1:2" x14ac:dyDescent="0.25">
      <c r="A1246" s="3">
        <v>13</v>
      </c>
      <c r="B1246" s="19">
        <v>6</v>
      </c>
    </row>
    <row r="1247" spans="1:2" x14ac:dyDescent="0.25">
      <c r="A1247" s="4">
        <v>41</v>
      </c>
      <c r="B1247" s="20">
        <v>9.65</v>
      </c>
    </row>
    <row r="1248" spans="1:2" x14ac:dyDescent="0.25">
      <c r="A1248" s="3">
        <v>16</v>
      </c>
      <c r="B1248" s="19">
        <v>17.45</v>
      </c>
    </row>
    <row r="1249" spans="1:2" x14ac:dyDescent="0.25">
      <c r="A1249" s="4">
        <v>36</v>
      </c>
      <c r="B1249" s="20">
        <v>19</v>
      </c>
    </row>
    <row r="1250" spans="1:2" x14ac:dyDescent="0.25">
      <c r="A1250" s="3">
        <v>52</v>
      </c>
      <c r="B1250" s="19">
        <v>7</v>
      </c>
    </row>
    <row r="1251" spans="1:2" x14ac:dyDescent="0.25">
      <c r="A1251" s="4">
        <v>28</v>
      </c>
      <c r="B1251" s="20">
        <v>45.6</v>
      </c>
    </row>
    <row r="1252" spans="1:2" x14ac:dyDescent="0.25">
      <c r="A1252" s="3">
        <v>35</v>
      </c>
      <c r="B1252" s="19">
        <v>18</v>
      </c>
    </row>
    <row r="1253" spans="1:2" x14ac:dyDescent="0.25">
      <c r="A1253" s="4">
        <v>45</v>
      </c>
      <c r="B1253" s="20">
        <v>9.5</v>
      </c>
    </row>
    <row r="1254" spans="1:2" x14ac:dyDescent="0.25">
      <c r="A1254" s="3">
        <v>56</v>
      </c>
      <c r="B1254" s="19">
        <v>38</v>
      </c>
    </row>
    <row r="1255" spans="1:2" x14ac:dyDescent="0.25">
      <c r="A1255" s="4">
        <v>2</v>
      </c>
      <c r="B1255" s="20">
        <v>19</v>
      </c>
    </row>
    <row r="1256" spans="1:2" x14ac:dyDescent="0.25">
      <c r="A1256" s="3">
        <v>3</v>
      </c>
      <c r="B1256" s="19">
        <v>10</v>
      </c>
    </row>
    <row r="1257" spans="1:2" x14ac:dyDescent="0.25">
      <c r="A1257" s="4">
        <v>60</v>
      </c>
      <c r="B1257" s="20">
        <v>34</v>
      </c>
    </row>
    <row r="1258" spans="1:2" x14ac:dyDescent="0.25">
      <c r="A1258" s="3">
        <v>72</v>
      </c>
      <c r="B1258" s="19">
        <v>34.799999999999997</v>
      </c>
    </row>
    <row r="1259" spans="1:2" x14ac:dyDescent="0.25">
      <c r="A1259" s="4">
        <v>46</v>
      </c>
      <c r="B1259" s="20">
        <v>12</v>
      </c>
    </row>
    <row r="1260" spans="1:2" x14ac:dyDescent="0.25">
      <c r="A1260" s="3">
        <v>40</v>
      </c>
      <c r="B1260" s="19">
        <v>18.399999999999999</v>
      </c>
    </row>
    <row r="1261" spans="1:2" x14ac:dyDescent="0.25">
      <c r="A1261" s="4">
        <v>18</v>
      </c>
      <c r="B1261" s="20">
        <v>62.5</v>
      </c>
    </row>
    <row r="1262" spans="1:2" x14ac:dyDescent="0.25">
      <c r="A1262" s="3">
        <v>44</v>
      </c>
      <c r="B1262" s="19">
        <v>19.45</v>
      </c>
    </row>
    <row r="1263" spans="1:2" x14ac:dyDescent="0.25">
      <c r="A1263" s="4">
        <v>59</v>
      </c>
      <c r="B1263" s="20">
        <v>55</v>
      </c>
    </row>
    <row r="1264" spans="1:2" x14ac:dyDescent="0.25">
      <c r="A1264" s="3">
        <v>72</v>
      </c>
      <c r="B1264" s="19">
        <v>34.799999999999997</v>
      </c>
    </row>
    <row r="1265" spans="1:2" x14ac:dyDescent="0.25">
      <c r="A1265" s="4">
        <v>13</v>
      </c>
      <c r="B1265" s="20">
        <v>6</v>
      </c>
    </row>
    <row r="1266" spans="1:2" x14ac:dyDescent="0.25">
      <c r="A1266" s="3">
        <v>42</v>
      </c>
      <c r="B1266" s="19">
        <v>14</v>
      </c>
    </row>
    <row r="1267" spans="1:2" x14ac:dyDescent="0.25">
      <c r="A1267" s="4">
        <v>62</v>
      </c>
      <c r="B1267" s="20">
        <v>49.3</v>
      </c>
    </row>
    <row r="1268" spans="1:2" x14ac:dyDescent="0.25">
      <c r="A1268" s="3">
        <v>69</v>
      </c>
      <c r="B1268" s="19">
        <v>36</v>
      </c>
    </row>
    <row r="1269" spans="1:2" x14ac:dyDescent="0.25">
      <c r="A1269" s="4">
        <v>31</v>
      </c>
      <c r="B1269" s="20">
        <v>12.5</v>
      </c>
    </row>
    <row r="1270" spans="1:2" x14ac:dyDescent="0.25">
      <c r="A1270" s="3">
        <v>41</v>
      </c>
      <c r="B1270" s="19">
        <v>9.65</v>
      </c>
    </row>
    <row r="1271" spans="1:2" x14ac:dyDescent="0.25">
      <c r="A1271" s="4">
        <v>63</v>
      </c>
      <c r="B1271" s="20">
        <v>43.9</v>
      </c>
    </row>
    <row r="1272" spans="1:2" x14ac:dyDescent="0.25">
      <c r="A1272" s="3">
        <v>69</v>
      </c>
      <c r="B1272" s="19">
        <v>36</v>
      </c>
    </row>
    <row r="1273" spans="1:2" x14ac:dyDescent="0.25">
      <c r="A1273" s="4">
        <v>23</v>
      </c>
      <c r="B1273" s="20">
        <v>9</v>
      </c>
    </row>
    <row r="1274" spans="1:2" x14ac:dyDescent="0.25">
      <c r="A1274" s="3">
        <v>40</v>
      </c>
      <c r="B1274" s="19">
        <v>18.399999999999999</v>
      </c>
    </row>
    <row r="1275" spans="1:2" x14ac:dyDescent="0.25">
      <c r="A1275" s="4">
        <v>56</v>
      </c>
      <c r="B1275" s="20">
        <v>38</v>
      </c>
    </row>
    <row r="1276" spans="1:2" x14ac:dyDescent="0.25">
      <c r="A1276" s="3">
        <v>56</v>
      </c>
      <c r="B1276" s="19">
        <v>38</v>
      </c>
    </row>
    <row r="1277" spans="1:2" x14ac:dyDescent="0.25">
      <c r="A1277" s="4">
        <v>59</v>
      </c>
      <c r="B1277" s="20">
        <v>55</v>
      </c>
    </row>
    <row r="1278" spans="1:2" x14ac:dyDescent="0.25">
      <c r="A1278" s="3">
        <v>76</v>
      </c>
      <c r="B1278" s="19">
        <v>18</v>
      </c>
    </row>
    <row r="1279" spans="1:2" x14ac:dyDescent="0.25">
      <c r="A1279" s="4">
        <v>14</v>
      </c>
      <c r="B1279" s="20">
        <v>23.25</v>
      </c>
    </row>
    <row r="1280" spans="1:2" x14ac:dyDescent="0.25">
      <c r="A1280" s="3">
        <v>45</v>
      </c>
      <c r="B1280" s="19">
        <v>9.5</v>
      </c>
    </row>
    <row r="1281" spans="1:2" x14ac:dyDescent="0.25">
      <c r="A1281" s="4">
        <v>59</v>
      </c>
      <c r="B1281" s="20">
        <v>55</v>
      </c>
    </row>
    <row r="1282" spans="1:2" x14ac:dyDescent="0.25">
      <c r="A1282" s="3">
        <v>26</v>
      </c>
      <c r="B1282" s="19">
        <v>31.23</v>
      </c>
    </row>
    <row r="1283" spans="1:2" x14ac:dyDescent="0.25">
      <c r="A1283" s="4">
        <v>30</v>
      </c>
      <c r="B1283" s="20">
        <v>25.89</v>
      </c>
    </row>
    <row r="1284" spans="1:2" x14ac:dyDescent="0.25">
      <c r="A1284" s="3">
        <v>50</v>
      </c>
      <c r="B1284" s="19">
        <v>16.25</v>
      </c>
    </row>
    <row r="1285" spans="1:2" x14ac:dyDescent="0.25">
      <c r="A1285" s="4">
        <v>73</v>
      </c>
      <c r="B1285" s="20">
        <v>15</v>
      </c>
    </row>
    <row r="1286" spans="1:2" x14ac:dyDescent="0.25">
      <c r="A1286" s="3">
        <v>1</v>
      </c>
      <c r="B1286" s="19">
        <v>18</v>
      </c>
    </row>
    <row r="1287" spans="1:2" x14ac:dyDescent="0.25">
      <c r="A1287" s="4">
        <v>69</v>
      </c>
      <c r="B1287" s="20">
        <v>36</v>
      </c>
    </row>
    <row r="1288" spans="1:2" x14ac:dyDescent="0.25">
      <c r="A1288" s="3">
        <v>45</v>
      </c>
      <c r="B1288" s="19">
        <v>9.5</v>
      </c>
    </row>
    <row r="1289" spans="1:2" x14ac:dyDescent="0.25">
      <c r="A1289" s="4">
        <v>74</v>
      </c>
      <c r="B1289" s="20">
        <v>10</v>
      </c>
    </row>
    <row r="1290" spans="1:2" x14ac:dyDescent="0.25">
      <c r="A1290" s="3">
        <v>40</v>
      </c>
      <c r="B1290" s="19">
        <v>18.399999999999999</v>
      </c>
    </row>
    <row r="1291" spans="1:2" x14ac:dyDescent="0.25">
      <c r="A1291" s="4">
        <v>47</v>
      </c>
      <c r="B1291" s="20">
        <v>9.5</v>
      </c>
    </row>
    <row r="1292" spans="1:2" x14ac:dyDescent="0.25">
      <c r="A1292" s="3">
        <v>56</v>
      </c>
      <c r="B1292" s="19">
        <v>38</v>
      </c>
    </row>
    <row r="1293" spans="1:2" x14ac:dyDescent="0.25">
      <c r="A1293" s="4">
        <v>57</v>
      </c>
      <c r="B1293" s="20">
        <v>19.5</v>
      </c>
    </row>
    <row r="1294" spans="1:2" x14ac:dyDescent="0.25">
      <c r="A1294" s="3">
        <v>69</v>
      </c>
      <c r="B1294" s="19">
        <v>36</v>
      </c>
    </row>
    <row r="1295" spans="1:2" x14ac:dyDescent="0.25">
      <c r="A1295" s="4">
        <v>18</v>
      </c>
      <c r="B1295" s="20">
        <v>62.5</v>
      </c>
    </row>
    <row r="1296" spans="1:2" x14ac:dyDescent="0.25">
      <c r="A1296" s="3">
        <v>36</v>
      </c>
      <c r="B1296" s="19">
        <v>19</v>
      </c>
    </row>
    <row r="1297" spans="1:2" x14ac:dyDescent="0.25">
      <c r="A1297" s="4">
        <v>68</v>
      </c>
      <c r="B1297" s="20">
        <v>12.5</v>
      </c>
    </row>
    <row r="1298" spans="1:2" x14ac:dyDescent="0.25">
      <c r="A1298" s="3">
        <v>69</v>
      </c>
      <c r="B1298" s="19">
        <v>36</v>
      </c>
    </row>
    <row r="1299" spans="1:2" x14ac:dyDescent="0.25">
      <c r="A1299" s="4">
        <v>34</v>
      </c>
      <c r="B1299" s="20">
        <v>14</v>
      </c>
    </row>
    <row r="1300" spans="1:2" x14ac:dyDescent="0.25">
      <c r="A1300" s="3">
        <v>59</v>
      </c>
      <c r="B1300" s="19">
        <v>55</v>
      </c>
    </row>
    <row r="1301" spans="1:2" x14ac:dyDescent="0.25">
      <c r="A1301" s="4">
        <v>62</v>
      </c>
      <c r="B1301" s="20">
        <v>49.3</v>
      </c>
    </row>
    <row r="1302" spans="1:2" x14ac:dyDescent="0.25">
      <c r="A1302" s="3">
        <v>64</v>
      </c>
      <c r="B1302" s="19">
        <v>33.25</v>
      </c>
    </row>
    <row r="1303" spans="1:2" x14ac:dyDescent="0.25">
      <c r="A1303" s="4">
        <v>26</v>
      </c>
      <c r="B1303" s="20">
        <v>31.23</v>
      </c>
    </row>
    <row r="1304" spans="1:2" x14ac:dyDescent="0.25">
      <c r="A1304" s="3">
        <v>52</v>
      </c>
      <c r="B1304" s="19">
        <v>7</v>
      </c>
    </row>
    <row r="1305" spans="1:2" x14ac:dyDescent="0.25">
      <c r="A1305" s="4">
        <v>70</v>
      </c>
      <c r="B1305" s="20">
        <v>15</v>
      </c>
    </row>
    <row r="1306" spans="1:2" x14ac:dyDescent="0.25">
      <c r="A1306" s="3">
        <v>32</v>
      </c>
      <c r="B1306" s="19">
        <v>32</v>
      </c>
    </row>
    <row r="1307" spans="1:2" x14ac:dyDescent="0.25">
      <c r="A1307" s="4">
        <v>25</v>
      </c>
      <c r="B1307" s="20">
        <v>14</v>
      </c>
    </row>
    <row r="1308" spans="1:2" x14ac:dyDescent="0.25">
      <c r="A1308" s="3">
        <v>27</v>
      </c>
      <c r="B1308" s="19">
        <v>43.9</v>
      </c>
    </row>
    <row r="1309" spans="1:2" x14ac:dyDescent="0.25">
      <c r="A1309" s="4">
        <v>43</v>
      </c>
      <c r="B1309" s="20">
        <v>46</v>
      </c>
    </row>
    <row r="1310" spans="1:2" x14ac:dyDescent="0.25">
      <c r="A1310" s="3">
        <v>25</v>
      </c>
      <c r="B1310" s="19">
        <v>14</v>
      </c>
    </row>
    <row r="1311" spans="1:2" x14ac:dyDescent="0.25">
      <c r="A1311" s="4">
        <v>75</v>
      </c>
      <c r="B1311" s="20">
        <v>7.75</v>
      </c>
    </row>
    <row r="1312" spans="1:2" x14ac:dyDescent="0.25">
      <c r="A1312" s="3">
        <v>39</v>
      </c>
      <c r="B1312" s="19">
        <v>18</v>
      </c>
    </row>
    <row r="1313" spans="1:2" x14ac:dyDescent="0.25">
      <c r="A1313" s="4">
        <v>47</v>
      </c>
      <c r="B1313" s="20">
        <v>9.5</v>
      </c>
    </row>
    <row r="1314" spans="1:2" x14ac:dyDescent="0.25">
      <c r="A1314" s="3">
        <v>51</v>
      </c>
      <c r="B1314" s="19">
        <v>53</v>
      </c>
    </row>
    <row r="1315" spans="1:2" x14ac:dyDescent="0.25">
      <c r="A1315" s="4">
        <v>56</v>
      </c>
      <c r="B1315" s="20">
        <v>38</v>
      </c>
    </row>
    <row r="1316" spans="1:2" x14ac:dyDescent="0.25">
      <c r="A1316" s="3">
        <v>21</v>
      </c>
      <c r="B1316" s="19">
        <v>10</v>
      </c>
    </row>
    <row r="1317" spans="1:2" x14ac:dyDescent="0.25">
      <c r="A1317" s="4">
        <v>22</v>
      </c>
      <c r="B1317" s="20">
        <v>21</v>
      </c>
    </row>
    <row r="1318" spans="1:2" x14ac:dyDescent="0.25">
      <c r="A1318" s="3">
        <v>24</v>
      </c>
      <c r="B1318" s="19">
        <v>4.5</v>
      </c>
    </row>
    <row r="1319" spans="1:2" x14ac:dyDescent="0.25">
      <c r="A1319" s="4">
        <v>3</v>
      </c>
      <c r="B1319" s="20">
        <v>10</v>
      </c>
    </row>
    <row r="1320" spans="1:2" x14ac:dyDescent="0.25">
      <c r="A1320" s="3">
        <v>39</v>
      </c>
      <c r="B1320" s="19">
        <v>18</v>
      </c>
    </row>
    <row r="1321" spans="1:2" x14ac:dyDescent="0.25">
      <c r="A1321" s="4">
        <v>65</v>
      </c>
      <c r="B1321" s="20">
        <v>21.05</v>
      </c>
    </row>
    <row r="1322" spans="1:2" x14ac:dyDescent="0.25">
      <c r="A1322" s="3">
        <v>2</v>
      </c>
      <c r="B1322" s="19">
        <v>19</v>
      </c>
    </row>
    <row r="1323" spans="1:2" x14ac:dyDescent="0.25">
      <c r="A1323" s="4">
        <v>7</v>
      </c>
      <c r="B1323" s="20">
        <v>30</v>
      </c>
    </row>
    <row r="1324" spans="1:2" x14ac:dyDescent="0.25">
      <c r="A1324" s="3">
        <v>68</v>
      </c>
      <c r="B1324" s="19">
        <v>12.5</v>
      </c>
    </row>
    <row r="1325" spans="1:2" x14ac:dyDescent="0.25">
      <c r="A1325" s="4">
        <v>42</v>
      </c>
      <c r="B1325" s="20">
        <v>14</v>
      </c>
    </row>
    <row r="1326" spans="1:2" x14ac:dyDescent="0.25">
      <c r="A1326" s="3">
        <v>22</v>
      </c>
      <c r="B1326" s="19">
        <v>21</v>
      </c>
    </row>
    <row r="1327" spans="1:2" x14ac:dyDescent="0.25">
      <c r="A1327" s="4">
        <v>31</v>
      </c>
      <c r="B1327" s="20">
        <v>12.5</v>
      </c>
    </row>
    <row r="1328" spans="1:2" x14ac:dyDescent="0.25">
      <c r="A1328" s="3">
        <v>60</v>
      </c>
      <c r="B1328" s="19">
        <v>34</v>
      </c>
    </row>
    <row r="1329" spans="1:2" x14ac:dyDescent="0.25">
      <c r="A1329" s="4">
        <v>71</v>
      </c>
      <c r="B1329" s="20">
        <v>21.5</v>
      </c>
    </row>
    <row r="1330" spans="1:2" x14ac:dyDescent="0.25">
      <c r="A1330" s="3">
        <v>41</v>
      </c>
      <c r="B1330" s="19">
        <v>9.65</v>
      </c>
    </row>
    <row r="1331" spans="1:2" x14ac:dyDescent="0.25">
      <c r="A1331" s="4">
        <v>52</v>
      </c>
      <c r="B1331" s="20">
        <v>7</v>
      </c>
    </row>
    <row r="1332" spans="1:2" x14ac:dyDescent="0.25">
      <c r="A1332" s="3">
        <v>61</v>
      </c>
      <c r="B1332" s="19">
        <v>28.5</v>
      </c>
    </row>
    <row r="1333" spans="1:2" x14ac:dyDescent="0.25">
      <c r="A1333" s="4">
        <v>62</v>
      </c>
      <c r="B1333" s="20">
        <v>49.3</v>
      </c>
    </row>
    <row r="1334" spans="1:2" x14ac:dyDescent="0.25">
      <c r="A1334" s="3">
        <v>11</v>
      </c>
      <c r="B1334" s="19">
        <v>21</v>
      </c>
    </row>
    <row r="1335" spans="1:2" x14ac:dyDescent="0.25">
      <c r="A1335" s="4">
        <v>71</v>
      </c>
      <c r="B1335" s="20">
        <v>21.5</v>
      </c>
    </row>
    <row r="1336" spans="1:2" x14ac:dyDescent="0.25">
      <c r="A1336" s="3">
        <v>29</v>
      </c>
      <c r="B1336" s="19">
        <v>123.79</v>
      </c>
    </row>
    <row r="1337" spans="1:2" x14ac:dyDescent="0.25">
      <c r="A1337" s="4">
        <v>59</v>
      </c>
      <c r="B1337" s="20">
        <v>55</v>
      </c>
    </row>
    <row r="1338" spans="1:2" x14ac:dyDescent="0.25">
      <c r="A1338" s="3">
        <v>17</v>
      </c>
      <c r="B1338" s="19">
        <v>39</v>
      </c>
    </row>
    <row r="1339" spans="1:2" x14ac:dyDescent="0.25">
      <c r="A1339" s="4">
        <v>31</v>
      </c>
      <c r="B1339" s="20">
        <v>12.5</v>
      </c>
    </row>
    <row r="1340" spans="1:2" x14ac:dyDescent="0.25">
      <c r="A1340" s="3">
        <v>75</v>
      </c>
      <c r="B1340" s="19">
        <v>7.75</v>
      </c>
    </row>
    <row r="1341" spans="1:2" x14ac:dyDescent="0.25">
      <c r="A1341" s="4">
        <v>31</v>
      </c>
      <c r="B1341" s="20">
        <v>12.5</v>
      </c>
    </row>
    <row r="1342" spans="1:2" x14ac:dyDescent="0.25">
      <c r="A1342" s="3">
        <v>66</v>
      </c>
      <c r="B1342" s="19">
        <v>17</v>
      </c>
    </row>
    <row r="1343" spans="1:2" x14ac:dyDescent="0.25">
      <c r="A1343" s="4">
        <v>10</v>
      </c>
      <c r="B1343" s="20">
        <v>31</v>
      </c>
    </row>
    <row r="1344" spans="1:2" x14ac:dyDescent="0.25">
      <c r="A1344" s="3">
        <v>67</v>
      </c>
      <c r="B1344" s="19">
        <v>14</v>
      </c>
    </row>
    <row r="1345" spans="1:2" x14ac:dyDescent="0.25">
      <c r="A1345" s="4">
        <v>31</v>
      </c>
      <c r="B1345" s="20">
        <v>12.5</v>
      </c>
    </row>
    <row r="1346" spans="1:2" x14ac:dyDescent="0.25">
      <c r="A1346" s="3">
        <v>42</v>
      </c>
      <c r="B1346" s="19">
        <v>14</v>
      </c>
    </row>
    <row r="1347" spans="1:2" x14ac:dyDescent="0.25">
      <c r="A1347" s="4">
        <v>45</v>
      </c>
      <c r="B1347" s="20">
        <v>9.5</v>
      </c>
    </row>
    <row r="1348" spans="1:2" x14ac:dyDescent="0.25">
      <c r="A1348" s="3">
        <v>51</v>
      </c>
      <c r="B1348" s="19">
        <v>53</v>
      </c>
    </row>
    <row r="1349" spans="1:2" x14ac:dyDescent="0.25">
      <c r="A1349" s="4">
        <v>42</v>
      </c>
      <c r="B1349" s="20">
        <v>14</v>
      </c>
    </row>
    <row r="1350" spans="1:2" x14ac:dyDescent="0.25">
      <c r="A1350" s="3">
        <v>41</v>
      </c>
      <c r="B1350" s="19">
        <v>9.65</v>
      </c>
    </row>
    <row r="1351" spans="1:2" x14ac:dyDescent="0.25">
      <c r="A1351" s="4">
        <v>16</v>
      </c>
      <c r="B1351" s="20">
        <v>17.45</v>
      </c>
    </row>
    <row r="1352" spans="1:2" x14ac:dyDescent="0.25">
      <c r="A1352" s="3">
        <v>62</v>
      </c>
      <c r="B1352" s="19">
        <v>49.3</v>
      </c>
    </row>
    <row r="1353" spans="1:2" x14ac:dyDescent="0.25">
      <c r="A1353" s="4">
        <v>70</v>
      </c>
      <c r="B1353" s="20">
        <v>15</v>
      </c>
    </row>
    <row r="1354" spans="1:2" x14ac:dyDescent="0.25">
      <c r="A1354" s="3">
        <v>77</v>
      </c>
      <c r="B1354" s="19">
        <v>13</v>
      </c>
    </row>
    <row r="1355" spans="1:2" x14ac:dyDescent="0.25">
      <c r="A1355" s="4">
        <v>54</v>
      </c>
      <c r="B1355" s="20">
        <v>7.45</v>
      </c>
    </row>
    <row r="1356" spans="1:2" x14ac:dyDescent="0.25">
      <c r="A1356" s="3">
        <v>56</v>
      </c>
      <c r="B1356" s="19">
        <v>38</v>
      </c>
    </row>
    <row r="1357" spans="1:2" x14ac:dyDescent="0.25">
      <c r="A1357" s="4">
        <v>74</v>
      </c>
      <c r="B1357" s="20">
        <v>10</v>
      </c>
    </row>
    <row r="1358" spans="1:2" x14ac:dyDescent="0.25">
      <c r="A1358" s="3">
        <v>31</v>
      </c>
      <c r="B1358" s="19">
        <v>12.5</v>
      </c>
    </row>
    <row r="1359" spans="1:2" x14ac:dyDescent="0.25">
      <c r="A1359" s="4">
        <v>31</v>
      </c>
      <c r="B1359" s="20">
        <v>12.5</v>
      </c>
    </row>
    <row r="1360" spans="1:2" x14ac:dyDescent="0.25">
      <c r="A1360" s="3">
        <v>38</v>
      </c>
      <c r="B1360" s="19">
        <v>263.5</v>
      </c>
    </row>
    <row r="1361" spans="1:2" x14ac:dyDescent="0.25">
      <c r="A1361" s="4">
        <v>36</v>
      </c>
      <c r="B1361" s="20">
        <v>19</v>
      </c>
    </row>
    <row r="1362" spans="1:2" x14ac:dyDescent="0.25">
      <c r="A1362" s="3">
        <v>39</v>
      </c>
      <c r="B1362" s="19">
        <v>18</v>
      </c>
    </row>
    <row r="1363" spans="1:2" x14ac:dyDescent="0.25">
      <c r="A1363" s="4">
        <v>72</v>
      </c>
      <c r="B1363" s="20">
        <v>34.799999999999997</v>
      </c>
    </row>
    <row r="1364" spans="1:2" x14ac:dyDescent="0.25">
      <c r="A1364" s="3">
        <v>10</v>
      </c>
      <c r="B1364" s="19">
        <v>31</v>
      </c>
    </row>
    <row r="1365" spans="1:2" x14ac:dyDescent="0.25">
      <c r="A1365" s="4">
        <v>75</v>
      </c>
      <c r="B1365" s="20">
        <v>7.75</v>
      </c>
    </row>
    <row r="1366" spans="1:2" x14ac:dyDescent="0.25">
      <c r="A1366" s="3">
        <v>8</v>
      </c>
      <c r="B1366" s="19">
        <v>40</v>
      </c>
    </row>
    <row r="1367" spans="1:2" x14ac:dyDescent="0.25">
      <c r="A1367" s="4">
        <v>30</v>
      </c>
      <c r="B1367" s="20">
        <v>25.89</v>
      </c>
    </row>
    <row r="1368" spans="1:2" x14ac:dyDescent="0.25">
      <c r="A1368" s="3">
        <v>75</v>
      </c>
      <c r="B1368" s="19">
        <v>7.75</v>
      </c>
    </row>
    <row r="1369" spans="1:2" x14ac:dyDescent="0.25">
      <c r="A1369" s="4">
        <v>2</v>
      </c>
      <c r="B1369" s="20">
        <v>19</v>
      </c>
    </row>
    <row r="1370" spans="1:2" x14ac:dyDescent="0.25">
      <c r="A1370" s="3">
        <v>29</v>
      </c>
      <c r="B1370" s="19">
        <v>123.79</v>
      </c>
    </row>
    <row r="1371" spans="1:2" x14ac:dyDescent="0.25">
      <c r="A1371" s="4">
        <v>19</v>
      </c>
      <c r="B1371" s="20">
        <v>9.1999999999999993</v>
      </c>
    </row>
    <row r="1372" spans="1:2" x14ac:dyDescent="0.25">
      <c r="A1372" s="3">
        <v>75</v>
      </c>
      <c r="B1372" s="19">
        <v>7.75</v>
      </c>
    </row>
    <row r="1373" spans="1:2" x14ac:dyDescent="0.25">
      <c r="A1373" s="4">
        <v>18</v>
      </c>
      <c r="B1373" s="20">
        <v>62.5</v>
      </c>
    </row>
    <row r="1374" spans="1:2" x14ac:dyDescent="0.25">
      <c r="A1374" s="3">
        <v>35</v>
      </c>
      <c r="B1374" s="19">
        <v>18</v>
      </c>
    </row>
    <row r="1375" spans="1:2" x14ac:dyDescent="0.25">
      <c r="A1375" s="4">
        <v>63</v>
      </c>
      <c r="B1375" s="20">
        <v>43.9</v>
      </c>
    </row>
    <row r="1376" spans="1:2" x14ac:dyDescent="0.25">
      <c r="A1376" s="3">
        <v>68</v>
      </c>
      <c r="B1376" s="19">
        <v>12.5</v>
      </c>
    </row>
    <row r="1377" spans="1:2" x14ac:dyDescent="0.25">
      <c r="A1377" s="4">
        <v>7</v>
      </c>
      <c r="B1377" s="20">
        <v>30</v>
      </c>
    </row>
    <row r="1378" spans="1:2" x14ac:dyDescent="0.25">
      <c r="A1378" s="3">
        <v>56</v>
      </c>
      <c r="B1378" s="19">
        <v>38</v>
      </c>
    </row>
    <row r="1379" spans="1:2" x14ac:dyDescent="0.25">
      <c r="A1379" s="4">
        <v>29</v>
      </c>
      <c r="B1379" s="20">
        <v>123.79</v>
      </c>
    </row>
    <row r="1380" spans="1:2" x14ac:dyDescent="0.25">
      <c r="A1380" s="3">
        <v>41</v>
      </c>
      <c r="B1380" s="19">
        <v>9.65</v>
      </c>
    </row>
    <row r="1381" spans="1:2" x14ac:dyDescent="0.25">
      <c r="A1381" s="4">
        <v>2</v>
      </c>
      <c r="B1381" s="20">
        <v>19</v>
      </c>
    </row>
    <row r="1382" spans="1:2" x14ac:dyDescent="0.25">
      <c r="A1382" s="3">
        <v>54</v>
      </c>
      <c r="B1382" s="19">
        <v>7.45</v>
      </c>
    </row>
    <row r="1383" spans="1:2" x14ac:dyDescent="0.25">
      <c r="A1383" s="4">
        <v>68</v>
      </c>
      <c r="B1383" s="20">
        <v>12.5</v>
      </c>
    </row>
    <row r="1384" spans="1:2" x14ac:dyDescent="0.25">
      <c r="A1384" s="3">
        <v>41</v>
      </c>
      <c r="B1384" s="19">
        <v>9.65</v>
      </c>
    </row>
    <row r="1385" spans="1:2" x14ac:dyDescent="0.25">
      <c r="A1385" s="4">
        <v>52</v>
      </c>
      <c r="B1385" s="20">
        <v>7</v>
      </c>
    </row>
    <row r="1386" spans="1:2" x14ac:dyDescent="0.25">
      <c r="A1386" s="3">
        <v>14</v>
      </c>
      <c r="B1386" s="19">
        <v>23.25</v>
      </c>
    </row>
    <row r="1387" spans="1:2" x14ac:dyDescent="0.25">
      <c r="A1387" s="4">
        <v>54</v>
      </c>
      <c r="B1387" s="20">
        <v>7.45</v>
      </c>
    </row>
    <row r="1388" spans="1:2" x14ac:dyDescent="0.25">
      <c r="A1388" s="3">
        <v>16</v>
      </c>
      <c r="B1388" s="19">
        <v>17.45</v>
      </c>
    </row>
    <row r="1389" spans="1:2" x14ac:dyDescent="0.25">
      <c r="A1389" s="4">
        <v>17</v>
      </c>
      <c r="B1389" s="20">
        <v>39</v>
      </c>
    </row>
    <row r="1390" spans="1:2" x14ac:dyDescent="0.25">
      <c r="A1390" s="3">
        <v>26</v>
      </c>
      <c r="B1390" s="19">
        <v>31.23</v>
      </c>
    </row>
    <row r="1391" spans="1:2" x14ac:dyDescent="0.25">
      <c r="A1391" s="4">
        <v>44</v>
      </c>
      <c r="B1391" s="20">
        <v>19.45</v>
      </c>
    </row>
    <row r="1392" spans="1:2" x14ac:dyDescent="0.25">
      <c r="A1392" s="3">
        <v>64</v>
      </c>
      <c r="B1392" s="19">
        <v>33.25</v>
      </c>
    </row>
    <row r="1393" spans="1:2" x14ac:dyDescent="0.25">
      <c r="A1393" s="4">
        <v>69</v>
      </c>
      <c r="B1393" s="20">
        <v>36</v>
      </c>
    </row>
    <row r="1394" spans="1:2" x14ac:dyDescent="0.25">
      <c r="A1394" s="3">
        <v>11</v>
      </c>
      <c r="B1394" s="19">
        <v>21</v>
      </c>
    </row>
    <row r="1395" spans="1:2" x14ac:dyDescent="0.25">
      <c r="A1395" s="4">
        <v>62</v>
      </c>
      <c r="B1395" s="20">
        <v>49.3</v>
      </c>
    </row>
    <row r="1396" spans="1:2" x14ac:dyDescent="0.25">
      <c r="A1396" s="3">
        <v>72</v>
      </c>
      <c r="B1396" s="19">
        <v>34.799999999999997</v>
      </c>
    </row>
    <row r="1397" spans="1:2" x14ac:dyDescent="0.25">
      <c r="A1397" s="4">
        <v>13</v>
      </c>
      <c r="B1397" s="20">
        <v>6</v>
      </c>
    </row>
    <row r="1398" spans="1:2" x14ac:dyDescent="0.25">
      <c r="A1398" s="3">
        <v>24</v>
      </c>
      <c r="B1398" s="19">
        <v>4.5</v>
      </c>
    </row>
    <row r="1399" spans="1:2" x14ac:dyDescent="0.25">
      <c r="A1399" s="4">
        <v>59</v>
      </c>
      <c r="B1399" s="20">
        <v>55</v>
      </c>
    </row>
    <row r="1400" spans="1:2" x14ac:dyDescent="0.25">
      <c r="A1400" s="3">
        <v>11</v>
      </c>
      <c r="B1400" s="19">
        <v>21</v>
      </c>
    </row>
    <row r="1401" spans="1:2" x14ac:dyDescent="0.25">
      <c r="A1401" s="4">
        <v>51</v>
      </c>
      <c r="B1401" s="20">
        <v>53</v>
      </c>
    </row>
    <row r="1402" spans="1:2" x14ac:dyDescent="0.25">
      <c r="A1402" s="3">
        <v>54</v>
      </c>
      <c r="B1402" s="19">
        <v>7.45</v>
      </c>
    </row>
    <row r="1403" spans="1:2" x14ac:dyDescent="0.25">
      <c r="A1403" s="4">
        <v>17</v>
      </c>
      <c r="B1403" s="20">
        <v>39</v>
      </c>
    </row>
    <row r="1404" spans="1:2" x14ac:dyDescent="0.25">
      <c r="A1404" s="3">
        <v>29</v>
      </c>
      <c r="B1404" s="19">
        <v>123.79</v>
      </c>
    </row>
    <row r="1405" spans="1:2" x14ac:dyDescent="0.25">
      <c r="A1405" s="4">
        <v>30</v>
      </c>
      <c r="B1405" s="20">
        <v>25.89</v>
      </c>
    </row>
    <row r="1406" spans="1:2" x14ac:dyDescent="0.25">
      <c r="A1406" s="3">
        <v>51</v>
      </c>
      <c r="B1406" s="19">
        <v>53</v>
      </c>
    </row>
    <row r="1407" spans="1:2" x14ac:dyDescent="0.25">
      <c r="A1407" s="4">
        <v>55</v>
      </c>
      <c r="B1407" s="20">
        <v>24</v>
      </c>
    </row>
    <row r="1408" spans="1:2" x14ac:dyDescent="0.25">
      <c r="A1408" s="3">
        <v>62</v>
      </c>
      <c r="B1408" s="19">
        <v>49.3</v>
      </c>
    </row>
    <row r="1409" spans="1:2" x14ac:dyDescent="0.25">
      <c r="A1409" s="4">
        <v>19</v>
      </c>
      <c r="B1409" s="20">
        <v>9.1999999999999993</v>
      </c>
    </row>
    <row r="1410" spans="1:2" x14ac:dyDescent="0.25">
      <c r="A1410" s="3">
        <v>25</v>
      </c>
      <c r="B1410" s="19">
        <v>14</v>
      </c>
    </row>
    <row r="1411" spans="1:2" x14ac:dyDescent="0.25">
      <c r="A1411" s="4">
        <v>59</v>
      </c>
      <c r="B1411" s="20">
        <v>55</v>
      </c>
    </row>
    <row r="1412" spans="1:2" x14ac:dyDescent="0.25">
      <c r="A1412" s="3">
        <v>10</v>
      </c>
      <c r="B1412" s="19">
        <v>31</v>
      </c>
    </row>
    <row r="1413" spans="1:2" x14ac:dyDescent="0.25">
      <c r="A1413" s="4">
        <v>28</v>
      </c>
      <c r="B1413" s="20">
        <v>45.6</v>
      </c>
    </row>
    <row r="1414" spans="1:2" x14ac:dyDescent="0.25">
      <c r="A1414" s="3">
        <v>49</v>
      </c>
      <c r="B1414" s="19">
        <v>20</v>
      </c>
    </row>
    <row r="1415" spans="1:2" x14ac:dyDescent="0.25">
      <c r="A1415" s="4">
        <v>34</v>
      </c>
      <c r="B1415" s="20">
        <v>14</v>
      </c>
    </row>
    <row r="1416" spans="1:2" x14ac:dyDescent="0.25">
      <c r="A1416" s="3">
        <v>38</v>
      </c>
      <c r="B1416" s="19">
        <v>263.5</v>
      </c>
    </row>
    <row r="1417" spans="1:2" x14ac:dyDescent="0.25">
      <c r="A1417" s="4">
        <v>2</v>
      </c>
      <c r="B1417" s="20">
        <v>19</v>
      </c>
    </row>
    <row r="1418" spans="1:2" x14ac:dyDescent="0.25">
      <c r="A1418" s="3">
        <v>65</v>
      </c>
      <c r="B1418" s="19">
        <v>21.05</v>
      </c>
    </row>
    <row r="1419" spans="1:2" x14ac:dyDescent="0.25">
      <c r="A1419" s="4">
        <v>74</v>
      </c>
      <c r="B1419" s="20">
        <v>10</v>
      </c>
    </row>
    <row r="1420" spans="1:2" x14ac:dyDescent="0.25">
      <c r="A1420" s="3">
        <v>40</v>
      </c>
      <c r="B1420" s="19">
        <v>18.399999999999999</v>
      </c>
    </row>
    <row r="1421" spans="1:2" x14ac:dyDescent="0.25">
      <c r="A1421" s="4">
        <v>56</v>
      </c>
      <c r="B1421" s="20">
        <v>38</v>
      </c>
    </row>
    <row r="1422" spans="1:2" x14ac:dyDescent="0.25">
      <c r="A1422" s="3">
        <v>76</v>
      </c>
      <c r="B1422" s="19">
        <v>18</v>
      </c>
    </row>
    <row r="1423" spans="1:2" x14ac:dyDescent="0.25">
      <c r="A1423" s="4">
        <v>52</v>
      </c>
      <c r="B1423" s="20">
        <v>7</v>
      </c>
    </row>
    <row r="1424" spans="1:2" x14ac:dyDescent="0.25">
      <c r="A1424" s="3">
        <v>13</v>
      </c>
      <c r="B1424" s="19">
        <v>6</v>
      </c>
    </row>
    <row r="1425" spans="1:2" x14ac:dyDescent="0.25">
      <c r="A1425" s="4">
        <v>25</v>
      </c>
      <c r="B1425" s="20">
        <v>14</v>
      </c>
    </row>
    <row r="1426" spans="1:2" x14ac:dyDescent="0.25">
      <c r="A1426" s="3">
        <v>70</v>
      </c>
      <c r="B1426" s="19">
        <v>15</v>
      </c>
    </row>
    <row r="1427" spans="1:2" x14ac:dyDescent="0.25">
      <c r="A1427" s="4">
        <v>19</v>
      </c>
      <c r="B1427" s="20">
        <v>9.1999999999999993</v>
      </c>
    </row>
    <row r="1428" spans="1:2" x14ac:dyDescent="0.25">
      <c r="A1428" s="3">
        <v>23</v>
      </c>
      <c r="B1428" s="19">
        <v>9</v>
      </c>
    </row>
    <row r="1429" spans="1:2" x14ac:dyDescent="0.25">
      <c r="A1429" s="4">
        <v>40</v>
      </c>
      <c r="B1429" s="20">
        <v>18.399999999999999</v>
      </c>
    </row>
    <row r="1430" spans="1:2" x14ac:dyDescent="0.25">
      <c r="A1430" s="3">
        <v>31</v>
      </c>
      <c r="B1430" s="19">
        <v>12.5</v>
      </c>
    </row>
    <row r="1431" spans="1:2" x14ac:dyDescent="0.25">
      <c r="A1431" s="4">
        <v>72</v>
      </c>
      <c r="B1431" s="20">
        <v>34.799999999999997</v>
      </c>
    </row>
    <row r="1432" spans="1:2" x14ac:dyDescent="0.25">
      <c r="A1432" s="3">
        <v>77</v>
      </c>
      <c r="B1432" s="19">
        <v>13</v>
      </c>
    </row>
    <row r="1433" spans="1:2" x14ac:dyDescent="0.25">
      <c r="A1433" s="4">
        <v>2</v>
      </c>
      <c r="B1433" s="20">
        <v>19</v>
      </c>
    </row>
    <row r="1434" spans="1:2" x14ac:dyDescent="0.25">
      <c r="A1434" s="3">
        <v>46</v>
      </c>
      <c r="B1434" s="19">
        <v>12</v>
      </c>
    </row>
    <row r="1435" spans="1:2" x14ac:dyDescent="0.25">
      <c r="A1435" s="4">
        <v>41</v>
      </c>
      <c r="B1435" s="20">
        <v>9.65</v>
      </c>
    </row>
    <row r="1436" spans="1:2" x14ac:dyDescent="0.25">
      <c r="A1436" s="3">
        <v>43</v>
      </c>
      <c r="B1436" s="19">
        <v>46</v>
      </c>
    </row>
    <row r="1437" spans="1:2" x14ac:dyDescent="0.25">
      <c r="A1437" s="4">
        <v>48</v>
      </c>
      <c r="B1437" s="20">
        <v>12.75</v>
      </c>
    </row>
    <row r="1438" spans="1:2" x14ac:dyDescent="0.25">
      <c r="A1438" s="3">
        <v>61</v>
      </c>
      <c r="B1438" s="19">
        <v>28.5</v>
      </c>
    </row>
    <row r="1439" spans="1:2" x14ac:dyDescent="0.25">
      <c r="A1439" s="4">
        <v>33</v>
      </c>
      <c r="B1439" s="20">
        <v>2.5</v>
      </c>
    </row>
    <row r="1440" spans="1:2" x14ac:dyDescent="0.25">
      <c r="A1440" s="3">
        <v>38</v>
      </c>
      <c r="B1440" s="19">
        <v>263.5</v>
      </c>
    </row>
    <row r="1441" spans="1:2" x14ac:dyDescent="0.25">
      <c r="A1441" s="4">
        <v>62</v>
      </c>
      <c r="B1441" s="20">
        <v>49.3</v>
      </c>
    </row>
    <row r="1442" spans="1:2" x14ac:dyDescent="0.25">
      <c r="A1442" s="3">
        <v>26</v>
      </c>
      <c r="B1442" s="19">
        <v>31.23</v>
      </c>
    </row>
    <row r="1443" spans="1:2" x14ac:dyDescent="0.25">
      <c r="A1443" s="4">
        <v>38</v>
      </c>
      <c r="B1443" s="20">
        <v>263.5</v>
      </c>
    </row>
    <row r="1444" spans="1:2" x14ac:dyDescent="0.25">
      <c r="A1444" s="3">
        <v>40</v>
      </c>
      <c r="B1444" s="19">
        <v>18.399999999999999</v>
      </c>
    </row>
    <row r="1445" spans="1:2" x14ac:dyDescent="0.25">
      <c r="A1445" s="4">
        <v>62</v>
      </c>
      <c r="B1445" s="20">
        <v>49.3</v>
      </c>
    </row>
    <row r="1446" spans="1:2" x14ac:dyDescent="0.25">
      <c r="A1446" s="3">
        <v>32</v>
      </c>
      <c r="B1446" s="19">
        <v>32</v>
      </c>
    </row>
    <row r="1447" spans="1:2" x14ac:dyDescent="0.25">
      <c r="A1447" s="4">
        <v>41</v>
      </c>
      <c r="B1447" s="20">
        <v>9.65</v>
      </c>
    </row>
    <row r="1448" spans="1:2" x14ac:dyDescent="0.25">
      <c r="A1448" s="3">
        <v>43</v>
      </c>
      <c r="B1448" s="19">
        <v>46</v>
      </c>
    </row>
    <row r="1449" spans="1:2" x14ac:dyDescent="0.25">
      <c r="A1449" s="4">
        <v>75</v>
      </c>
      <c r="B1449" s="20">
        <v>7.75</v>
      </c>
    </row>
    <row r="1450" spans="1:2" x14ac:dyDescent="0.25">
      <c r="A1450" s="3">
        <v>56</v>
      </c>
      <c r="B1450" s="19">
        <v>38</v>
      </c>
    </row>
    <row r="1451" spans="1:2" x14ac:dyDescent="0.25">
      <c r="A1451" s="4">
        <v>35</v>
      </c>
      <c r="B1451" s="20">
        <v>18</v>
      </c>
    </row>
    <row r="1452" spans="1:2" x14ac:dyDescent="0.25">
      <c r="A1452" s="3">
        <v>51</v>
      </c>
      <c r="B1452" s="19">
        <v>53</v>
      </c>
    </row>
    <row r="1453" spans="1:2" x14ac:dyDescent="0.25">
      <c r="A1453" s="4">
        <v>62</v>
      </c>
      <c r="B1453" s="20">
        <v>49.3</v>
      </c>
    </row>
    <row r="1454" spans="1:2" x14ac:dyDescent="0.25">
      <c r="A1454" s="3">
        <v>70</v>
      </c>
      <c r="B1454" s="19">
        <v>15</v>
      </c>
    </row>
    <row r="1455" spans="1:2" x14ac:dyDescent="0.25">
      <c r="A1455" s="4">
        <v>11</v>
      </c>
      <c r="B1455" s="20">
        <v>21</v>
      </c>
    </row>
    <row r="1456" spans="1:2" x14ac:dyDescent="0.25">
      <c r="A1456" s="3">
        <v>57</v>
      </c>
      <c r="B1456" s="19">
        <v>19.5</v>
      </c>
    </row>
    <row r="1457" spans="1:2" x14ac:dyDescent="0.25">
      <c r="A1457" s="4">
        <v>59</v>
      </c>
      <c r="B1457" s="20">
        <v>55</v>
      </c>
    </row>
    <row r="1458" spans="1:2" x14ac:dyDescent="0.25">
      <c r="A1458" s="3">
        <v>77</v>
      </c>
      <c r="B1458" s="19">
        <v>13</v>
      </c>
    </row>
    <row r="1459" spans="1:2" x14ac:dyDescent="0.25">
      <c r="A1459" s="4">
        <v>41</v>
      </c>
      <c r="B1459" s="20">
        <v>9.65</v>
      </c>
    </row>
    <row r="1460" spans="1:2" x14ac:dyDescent="0.25">
      <c r="A1460" s="3">
        <v>70</v>
      </c>
      <c r="B1460" s="19">
        <v>15</v>
      </c>
    </row>
    <row r="1461" spans="1:2" x14ac:dyDescent="0.25">
      <c r="A1461" s="4">
        <v>26</v>
      </c>
      <c r="B1461" s="20">
        <v>31.23</v>
      </c>
    </row>
    <row r="1462" spans="1:2" x14ac:dyDescent="0.25">
      <c r="A1462" s="3">
        <v>53</v>
      </c>
      <c r="B1462" s="19">
        <v>32.799999999999997</v>
      </c>
    </row>
    <row r="1463" spans="1:2" x14ac:dyDescent="0.25">
      <c r="A1463" s="4">
        <v>31</v>
      </c>
      <c r="B1463" s="20">
        <v>12.5</v>
      </c>
    </row>
    <row r="1464" spans="1:2" x14ac:dyDescent="0.25">
      <c r="A1464" s="3">
        <v>57</v>
      </c>
      <c r="B1464" s="19">
        <v>19.5</v>
      </c>
    </row>
    <row r="1465" spans="1:2" x14ac:dyDescent="0.25">
      <c r="A1465" s="4">
        <v>10</v>
      </c>
      <c r="B1465" s="20">
        <v>31</v>
      </c>
    </row>
    <row r="1466" spans="1:2" x14ac:dyDescent="0.25">
      <c r="A1466" s="3">
        <v>39</v>
      </c>
      <c r="B1466" s="19">
        <v>18</v>
      </c>
    </row>
    <row r="1467" spans="1:2" x14ac:dyDescent="0.25">
      <c r="A1467" s="4">
        <v>20</v>
      </c>
      <c r="B1467" s="20">
        <v>81</v>
      </c>
    </row>
    <row r="1468" spans="1:2" x14ac:dyDescent="0.25">
      <c r="A1468" s="3">
        <v>38</v>
      </c>
      <c r="B1468" s="19">
        <v>263.5</v>
      </c>
    </row>
    <row r="1469" spans="1:2" x14ac:dyDescent="0.25">
      <c r="A1469" s="4">
        <v>2</v>
      </c>
      <c r="B1469" s="20">
        <v>19</v>
      </c>
    </row>
    <row r="1470" spans="1:2" x14ac:dyDescent="0.25">
      <c r="A1470" s="3">
        <v>8</v>
      </c>
      <c r="B1470" s="19">
        <v>40</v>
      </c>
    </row>
    <row r="1471" spans="1:2" x14ac:dyDescent="0.25">
      <c r="A1471" s="4">
        <v>13</v>
      </c>
      <c r="B1471" s="20">
        <v>6</v>
      </c>
    </row>
    <row r="1472" spans="1:2" x14ac:dyDescent="0.25">
      <c r="A1472" s="3">
        <v>60</v>
      </c>
      <c r="B1472" s="19">
        <v>34</v>
      </c>
    </row>
    <row r="1473" spans="1:2" x14ac:dyDescent="0.25">
      <c r="A1473" s="4">
        <v>6</v>
      </c>
      <c r="B1473" s="20">
        <v>25</v>
      </c>
    </row>
    <row r="1474" spans="1:2" x14ac:dyDescent="0.25">
      <c r="A1474" s="3">
        <v>39</v>
      </c>
      <c r="B1474" s="19">
        <v>18</v>
      </c>
    </row>
    <row r="1475" spans="1:2" x14ac:dyDescent="0.25">
      <c r="A1475" s="4">
        <v>60</v>
      </c>
      <c r="B1475" s="20">
        <v>34</v>
      </c>
    </row>
    <row r="1476" spans="1:2" x14ac:dyDescent="0.25">
      <c r="A1476" s="3">
        <v>68</v>
      </c>
      <c r="B1476" s="19">
        <v>12.5</v>
      </c>
    </row>
    <row r="1477" spans="1:2" x14ac:dyDescent="0.25">
      <c r="A1477" s="4">
        <v>19</v>
      </c>
      <c r="B1477" s="20">
        <v>9.1999999999999993</v>
      </c>
    </row>
    <row r="1478" spans="1:2" x14ac:dyDescent="0.25">
      <c r="A1478" s="3">
        <v>35</v>
      </c>
      <c r="B1478" s="19">
        <v>18</v>
      </c>
    </row>
    <row r="1479" spans="1:2" x14ac:dyDescent="0.25">
      <c r="A1479" s="4">
        <v>38</v>
      </c>
      <c r="B1479" s="20">
        <v>263.5</v>
      </c>
    </row>
    <row r="1480" spans="1:2" x14ac:dyDescent="0.25">
      <c r="A1480" s="3">
        <v>43</v>
      </c>
      <c r="B1480" s="19">
        <v>46</v>
      </c>
    </row>
    <row r="1481" spans="1:2" x14ac:dyDescent="0.25">
      <c r="A1481" s="4">
        <v>13</v>
      </c>
      <c r="B1481" s="20">
        <v>6</v>
      </c>
    </row>
    <row r="1482" spans="1:2" x14ac:dyDescent="0.25">
      <c r="A1482" s="3">
        <v>25</v>
      </c>
      <c r="B1482" s="19">
        <v>14</v>
      </c>
    </row>
    <row r="1483" spans="1:2" x14ac:dyDescent="0.25">
      <c r="A1483" s="4">
        <v>44</v>
      </c>
      <c r="B1483" s="20">
        <v>19.45</v>
      </c>
    </row>
    <row r="1484" spans="1:2" x14ac:dyDescent="0.25">
      <c r="A1484" s="3">
        <v>64</v>
      </c>
      <c r="B1484" s="19">
        <v>33.25</v>
      </c>
    </row>
    <row r="1485" spans="1:2" x14ac:dyDescent="0.25">
      <c r="A1485" s="4">
        <v>7</v>
      </c>
      <c r="B1485" s="20">
        <v>30</v>
      </c>
    </row>
    <row r="1486" spans="1:2" x14ac:dyDescent="0.25">
      <c r="A1486" s="3">
        <v>31</v>
      </c>
      <c r="B1486" s="19">
        <v>12.5</v>
      </c>
    </row>
    <row r="1487" spans="1:2" x14ac:dyDescent="0.25">
      <c r="A1487" s="4">
        <v>53</v>
      </c>
      <c r="B1487" s="20">
        <v>32.799999999999997</v>
      </c>
    </row>
    <row r="1488" spans="1:2" x14ac:dyDescent="0.25">
      <c r="A1488" s="3">
        <v>29</v>
      </c>
      <c r="B1488" s="19">
        <v>123.79</v>
      </c>
    </row>
    <row r="1489" spans="1:2" x14ac:dyDescent="0.25">
      <c r="A1489" s="4">
        <v>30</v>
      </c>
      <c r="B1489" s="20">
        <v>25.89</v>
      </c>
    </row>
    <row r="1490" spans="1:2" x14ac:dyDescent="0.25">
      <c r="A1490" s="3">
        <v>59</v>
      </c>
      <c r="B1490" s="19">
        <v>55</v>
      </c>
    </row>
    <row r="1491" spans="1:2" x14ac:dyDescent="0.25">
      <c r="A1491" s="4">
        <v>77</v>
      </c>
      <c r="B1491" s="20">
        <v>13</v>
      </c>
    </row>
    <row r="1492" spans="1:2" x14ac:dyDescent="0.25">
      <c r="A1492" s="3">
        <v>22</v>
      </c>
      <c r="B1492" s="19">
        <v>21</v>
      </c>
    </row>
    <row r="1493" spans="1:2" x14ac:dyDescent="0.25">
      <c r="A1493" s="4">
        <v>35</v>
      </c>
      <c r="B1493" s="20">
        <v>18</v>
      </c>
    </row>
    <row r="1494" spans="1:2" x14ac:dyDescent="0.25">
      <c r="A1494" s="3">
        <v>57</v>
      </c>
      <c r="B1494" s="19">
        <v>19.5</v>
      </c>
    </row>
    <row r="1495" spans="1:2" x14ac:dyDescent="0.25">
      <c r="A1495" s="4">
        <v>60</v>
      </c>
      <c r="B1495" s="20">
        <v>34</v>
      </c>
    </row>
    <row r="1496" spans="1:2" x14ac:dyDescent="0.25">
      <c r="A1496" s="3">
        <v>64</v>
      </c>
      <c r="B1496" s="19">
        <v>33.25</v>
      </c>
    </row>
    <row r="1497" spans="1:2" x14ac:dyDescent="0.25">
      <c r="A1497" s="4">
        <v>13</v>
      </c>
      <c r="B1497" s="20">
        <v>6</v>
      </c>
    </row>
    <row r="1498" spans="1:2" x14ac:dyDescent="0.25">
      <c r="A1498" s="3">
        <v>40</v>
      </c>
      <c r="B1498" s="19">
        <v>18.399999999999999</v>
      </c>
    </row>
    <row r="1499" spans="1:2" x14ac:dyDescent="0.25">
      <c r="A1499" s="4">
        <v>47</v>
      </c>
      <c r="B1499" s="20">
        <v>9.5</v>
      </c>
    </row>
    <row r="1500" spans="1:2" x14ac:dyDescent="0.25">
      <c r="A1500" s="3">
        <v>76</v>
      </c>
      <c r="B1500" s="19">
        <v>18</v>
      </c>
    </row>
    <row r="1501" spans="1:2" x14ac:dyDescent="0.25">
      <c r="A1501" s="4">
        <v>1</v>
      </c>
      <c r="B1501" s="20">
        <v>18</v>
      </c>
    </row>
    <row r="1502" spans="1:2" x14ac:dyDescent="0.25">
      <c r="A1502" s="3">
        <v>18</v>
      </c>
      <c r="B1502" s="19">
        <v>62.5</v>
      </c>
    </row>
    <row r="1503" spans="1:2" x14ac:dyDescent="0.25">
      <c r="A1503" s="4">
        <v>36</v>
      </c>
      <c r="B1503" s="20">
        <v>19</v>
      </c>
    </row>
    <row r="1504" spans="1:2" x14ac:dyDescent="0.25">
      <c r="A1504" s="3">
        <v>58</v>
      </c>
      <c r="B1504" s="19">
        <v>13.25</v>
      </c>
    </row>
    <row r="1505" spans="1:2" x14ac:dyDescent="0.25">
      <c r="A1505" s="4">
        <v>72</v>
      </c>
      <c r="B1505" s="20">
        <v>34.799999999999997</v>
      </c>
    </row>
    <row r="1506" spans="1:2" x14ac:dyDescent="0.25">
      <c r="A1506" s="3">
        <v>25</v>
      </c>
      <c r="B1506" s="19">
        <v>14</v>
      </c>
    </row>
    <row r="1507" spans="1:2" x14ac:dyDescent="0.25">
      <c r="A1507" s="4">
        <v>39</v>
      </c>
      <c r="B1507" s="20">
        <v>18</v>
      </c>
    </row>
    <row r="1508" spans="1:2" x14ac:dyDescent="0.25">
      <c r="A1508" s="3">
        <v>10</v>
      </c>
      <c r="B1508" s="19">
        <v>31</v>
      </c>
    </row>
    <row r="1509" spans="1:2" x14ac:dyDescent="0.25">
      <c r="A1509" s="4">
        <v>56</v>
      </c>
      <c r="B1509" s="20">
        <v>38</v>
      </c>
    </row>
    <row r="1510" spans="1:2" x14ac:dyDescent="0.25">
      <c r="A1510" s="3">
        <v>59</v>
      </c>
      <c r="B1510" s="19">
        <v>55</v>
      </c>
    </row>
    <row r="1511" spans="1:2" x14ac:dyDescent="0.25">
      <c r="A1511" s="4">
        <v>77</v>
      </c>
      <c r="B1511" s="20">
        <v>13</v>
      </c>
    </row>
    <row r="1512" spans="1:2" x14ac:dyDescent="0.25">
      <c r="A1512" s="3">
        <v>11</v>
      </c>
      <c r="B1512" s="19">
        <v>21</v>
      </c>
    </row>
    <row r="1513" spans="1:2" x14ac:dyDescent="0.25">
      <c r="A1513" s="4">
        <v>43</v>
      </c>
      <c r="B1513" s="20">
        <v>46</v>
      </c>
    </row>
    <row r="1514" spans="1:2" x14ac:dyDescent="0.25">
      <c r="A1514" s="3">
        <v>68</v>
      </c>
      <c r="B1514" s="19">
        <v>12.5</v>
      </c>
    </row>
    <row r="1515" spans="1:2" x14ac:dyDescent="0.25">
      <c r="A1515" s="4">
        <v>70</v>
      </c>
      <c r="B1515" s="20">
        <v>15</v>
      </c>
    </row>
    <row r="1516" spans="1:2" x14ac:dyDescent="0.25">
      <c r="A1516" s="3">
        <v>51</v>
      </c>
      <c r="B1516" s="19">
        <v>53</v>
      </c>
    </row>
    <row r="1517" spans="1:2" x14ac:dyDescent="0.25">
      <c r="A1517" s="4">
        <v>22</v>
      </c>
      <c r="B1517" s="20">
        <v>21</v>
      </c>
    </row>
    <row r="1518" spans="1:2" x14ac:dyDescent="0.25">
      <c r="A1518" s="3">
        <v>23</v>
      </c>
      <c r="B1518" s="19">
        <v>9</v>
      </c>
    </row>
    <row r="1519" spans="1:2" x14ac:dyDescent="0.25">
      <c r="A1519" s="4">
        <v>35</v>
      </c>
      <c r="B1519" s="20">
        <v>18</v>
      </c>
    </row>
    <row r="1520" spans="1:2" x14ac:dyDescent="0.25">
      <c r="A1520" s="3">
        <v>42</v>
      </c>
      <c r="B1520" s="19">
        <v>14</v>
      </c>
    </row>
    <row r="1521" spans="1:2" x14ac:dyDescent="0.25">
      <c r="A1521" s="4">
        <v>58</v>
      </c>
      <c r="B1521" s="20">
        <v>13.25</v>
      </c>
    </row>
    <row r="1522" spans="1:2" x14ac:dyDescent="0.25">
      <c r="A1522" s="3">
        <v>64</v>
      </c>
      <c r="B1522" s="19">
        <v>33.25</v>
      </c>
    </row>
    <row r="1523" spans="1:2" x14ac:dyDescent="0.25">
      <c r="A1523" s="4">
        <v>4</v>
      </c>
      <c r="B1523" s="20">
        <v>22</v>
      </c>
    </row>
    <row r="1524" spans="1:2" x14ac:dyDescent="0.25">
      <c r="A1524" s="3">
        <v>70</v>
      </c>
      <c r="B1524" s="19">
        <v>15</v>
      </c>
    </row>
    <row r="1525" spans="1:2" x14ac:dyDescent="0.25">
      <c r="A1525" s="4">
        <v>74</v>
      </c>
      <c r="B1525" s="20">
        <v>10</v>
      </c>
    </row>
    <row r="1526" spans="1:2" x14ac:dyDescent="0.25">
      <c r="A1526" s="3">
        <v>1</v>
      </c>
      <c r="B1526" s="19">
        <v>18</v>
      </c>
    </row>
    <row r="1527" spans="1:2" x14ac:dyDescent="0.25">
      <c r="A1527" s="4">
        <v>19</v>
      </c>
      <c r="B1527" s="20">
        <v>9.1999999999999993</v>
      </c>
    </row>
    <row r="1528" spans="1:2" x14ac:dyDescent="0.25">
      <c r="A1528" s="3">
        <v>37</v>
      </c>
      <c r="B1528" s="19">
        <v>26</v>
      </c>
    </row>
    <row r="1529" spans="1:2" x14ac:dyDescent="0.25">
      <c r="A1529" s="4">
        <v>45</v>
      </c>
      <c r="B1529" s="20">
        <v>9.5</v>
      </c>
    </row>
    <row r="1530" spans="1:2" x14ac:dyDescent="0.25">
      <c r="A1530" s="3">
        <v>60</v>
      </c>
      <c r="B1530" s="19">
        <v>34</v>
      </c>
    </row>
    <row r="1531" spans="1:2" x14ac:dyDescent="0.25">
      <c r="A1531" s="4">
        <v>71</v>
      </c>
      <c r="B1531" s="20">
        <v>21.5</v>
      </c>
    </row>
    <row r="1532" spans="1:2" x14ac:dyDescent="0.25">
      <c r="A1532" s="3">
        <v>5</v>
      </c>
      <c r="B1532" s="19">
        <v>21.35</v>
      </c>
    </row>
    <row r="1533" spans="1:2" x14ac:dyDescent="0.25">
      <c r="A1533" s="4">
        <v>9</v>
      </c>
      <c r="B1533" s="20">
        <v>97</v>
      </c>
    </row>
    <row r="1534" spans="1:2" x14ac:dyDescent="0.25">
      <c r="A1534" s="3">
        <v>3</v>
      </c>
      <c r="B1534" s="19">
        <v>10</v>
      </c>
    </row>
    <row r="1535" spans="1:2" x14ac:dyDescent="0.25">
      <c r="A1535" s="4">
        <v>26</v>
      </c>
      <c r="B1535" s="20">
        <v>31.23</v>
      </c>
    </row>
    <row r="1536" spans="1:2" x14ac:dyDescent="0.25">
      <c r="A1536" s="3">
        <v>25</v>
      </c>
      <c r="B1536" s="19">
        <v>14</v>
      </c>
    </row>
    <row r="1537" spans="1:2" x14ac:dyDescent="0.25">
      <c r="A1537" s="4">
        <v>33</v>
      </c>
      <c r="B1537" s="20">
        <v>2.5</v>
      </c>
    </row>
    <row r="1538" spans="1:2" x14ac:dyDescent="0.25">
      <c r="A1538" s="3">
        <v>70</v>
      </c>
      <c r="B1538" s="19">
        <v>15</v>
      </c>
    </row>
    <row r="1539" spans="1:2" x14ac:dyDescent="0.25">
      <c r="A1539" s="4">
        <v>2</v>
      </c>
      <c r="B1539" s="20">
        <v>19</v>
      </c>
    </row>
    <row r="1540" spans="1:2" x14ac:dyDescent="0.25">
      <c r="A1540" s="3">
        <v>25</v>
      </c>
      <c r="B1540" s="19">
        <v>14</v>
      </c>
    </row>
    <row r="1541" spans="1:2" x14ac:dyDescent="0.25">
      <c r="A1541" s="4">
        <v>57</v>
      </c>
      <c r="B1541" s="20">
        <v>19.5</v>
      </c>
    </row>
    <row r="1542" spans="1:2" x14ac:dyDescent="0.25">
      <c r="A1542" s="3">
        <v>59</v>
      </c>
      <c r="B1542" s="19">
        <v>55</v>
      </c>
    </row>
    <row r="1543" spans="1:2" x14ac:dyDescent="0.25">
      <c r="A1543" s="4">
        <v>2</v>
      </c>
      <c r="B1543" s="20">
        <v>19</v>
      </c>
    </row>
    <row r="1544" spans="1:2" x14ac:dyDescent="0.25">
      <c r="A1544" s="3">
        <v>17</v>
      </c>
      <c r="B1544" s="19">
        <v>39</v>
      </c>
    </row>
    <row r="1545" spans="1:2" x14ac:dyDescent="0.25">
      <c r="A1545" s="4">
        <v>62</v>
      </c>
      <c r="B1545" s="20">
        <v>49.3</v>
      </c>
    </row>
    <row r="1546" spans="1:2" x14ac:dyDescent="0.25">
      <c r="A1546" s="3">
        <v>18</v>
      </c>
      <c r="B1546" s="19">
        <v>62.5</v>
      </c>
    </row>
    <row r="1547" spans="1:2" x14ac:dyDescent="0.25">
      <c r="A1547" s="4">
        <v>10</v>
      </c>
      <c r="B1547" s="20">
        <v>31</v>
      </c>
    </row>
    <row r="1548" spans="1:2" x14ac:dyDescent="0.25">
      <c r="A1548" s="3">
        <v>13</v>
      </c>
      <c r="B1548" s="19">
        <v>6</v>
      </c>
    </row>
    <row r="1549" spans="1:2" x14ac:dyDescent="0.25">
      <c r="A1549" s="4">
        <v>16</v>
      </c>
      <c r="B1549" s="20">
        <v>17.45</v>
      </c>
    </row>
    <row r="1550" spans="1:2" x14ac:dyDescent="0.25">
      <c r="A1550" s="3">
        <v>31</v>
      </c>
      <c r="B1550" s="19">
        <v>12.5</v>
      </c>
    </row>
    <row r="1551" spans="1:2" x14ac:dyDescent="0.25">
      <c r="A1551" s="4">
        <v>56</v>
      </c>
      <c r="B1551" s="20">
        <v>38</v>
      </c>
    </row>
    <row r="1552" spans="1:2" x14ac:dyDescent="0.25">
      <c r="A1552" s="3">
        <v>65</v>
      </c>
      <c r="B1552" s="19">
        <v>21.05</v>
      </c>
    </row>
    <row r="1553" spans="1:2" x14ac:dyDescent="0.25">
      <c r="A1553" s="4">
        <v>2</v>
      </c>
      <c r="B1553" s="20">
        <v>19</v>
      </c>
    </row>
    <row r="1554" spans="1:2" x14ac:dyDescent="0.25">
      <c r="A1554" s="3">
        <v>42</v>
      </c>
      <c r="B1554" s="19">
        <v>14</v>
      </c>
    </row>
    <row r="1555" spans="1:2" x14ac:dyDescent="0.25">
      <c r="A1555" s="4">
        <v>3</v>
      </c>
      <c r="B1555" s="20">
        <v>10</v>
      </c>
    </row>
    <row r="1556" spans="1:2" x14ac:dyDescent="0.25">
      <c r="A1556" s="3">
        <v>26</v>
      </c>
      <c r="B1556" s="19">
        <v>31.23</v>
      </c>
    </row>
    <row r="1557" spans="1:2" x14ac:dyDescent="0.25">
      <c r="A1557" s="4">
        <v>29</v>
      </c>
      <c r="B1557" s="20">
        <v>123.79</v>
      </c>
    </row>
    <row r="1558" spans="1:2" x14ac:dyDescent="0.25">
      <c r="A1558" s="3">
        <v>7</v>
      </c>
      <c r="B1558" s="19">
        <v>30</v>
      </c>
    </row>
    <row r="1559" spans="1:2" x14ac:dyDescent="0.25">
      <c r="A1559" s="4">
        <v>27</v>
      </c>
      <c r="B1559" s="20">
        <v>43.9</v>
      </c>
    </row>
    <row r="1560" spans="1:2" x14ac:dyDescent="0.25">
      <c r="A1560" s="3">
        <v>70</v>
      </c>
      <c r="B1560" s="19">
        <v>15</v>
      </c>
    </row>
    <row r="1561" spans="1:2" x14ac:dyDescent="0.25">
      <c r="A1561" s="4">
        <v>24</v>
      </c>
      <c r="B1561" s="20">
        <v>4.5</v>
      </c>
    </row>
    <row r="1562" spans="1:2" x14ac:dyDescent="0.25">
      <c r="A1562" s="3">
        <v>54</v>
      </c>
      <c r="B1562" s="19">
        <v>7.45</v>
      </c>
    </row>
    <row r="1563" spans="1:2" x14ac:dyDescent="0.25">
      <c r="A1563" s="4">
        <v>64</v>
      </c>
      <c r="B1563" s="20">
        <v>33.25</v>
      </c>
    </row>
    <row r="1564" spans="1:2" x14ac:dyDescent="0.25">
      <c r="A1564" s="3">
        <v>51</v>
      </c>
      <c r="B1564" s="19">
        <v>53</v>
      </c>
    </row>
    <row r="1565" spans="1:2" x14ac:dyDescent="0.25">
      <c r="A1565" s="4">
        <v>76</v>
      </c>
      <c r="B1565" s="20">
        <v>18</v>
      </c>
    </row>
    <row r="1566" spans="1:2" x14ac:dyDescent="0.25">
      <c r="A1566" s="3">
        <v>17</v>
      </c>
      <c r="B1566" s="19">
        <v>39</v>
      </c>
    </row>
    <row r="1567" spans="1:2" x14ac:dyDescent="0.25">
      <c r="A1567" s="4">
        <v>18</v>
      </c>
      <c r="B1567" s="20">
        <v>62.5</v>
      </c>
    </row>
    <row r="1568" spans="1:2" x14ac:dyDescent="0.25">
      <c r="A1568" s="3">
        <v>21</v>
      </c>
      <c r="B1568" s="19">
        <v>10</v>
      </c>
    </row>
    <row r="1569" spans="1:2" x14ac:dyDescent="0.25">
      <c r="A1569" s="4">
        <v>33</v>
      </c>
      <c r="B1569" s="20">
        <v>2.5</v>
      </c>
    </row>
    <row r="1570" spans="1:2" x14ac:dyDescent="0.25">
      <c r="A1570" s="3">
        <v>62</v>
      </c>
      <c r="B1570" s="19">
        <v>49.3</v>
      </c>
    </row>
    <row r="1571" spans="1:2" x14ac:dyDescent="0.25">
      <c r="A1571" s="4">
        <v>11</v>
      </c>
      <c r="B1571" s="20">
        <v>21</v>
      </c>
    </row>
    <row r="1572" spans="1:2" x14ac:dyDescent="0.25">
      <c r="A1572" s="3">
        <v>52</v>
      </c>
      <c r="B1572" s="19">
        <v>7</v>
      </c>
    </row>
    <row r="1573" spans="1:2" x14ac:dyDescent="0.25">
      <c r="A1573" s="4">
        <v>1</v>
      </c>
      <c r="B1573" s="20">
        <v>18</v>
      </c>
    </row>
    <row r="1574" spans="1:2" x14ac:dyDescent="0.25">
      <c r="A1574" s="3">
        <v>58</v>
      </c>
      <c r="B1574" s="19">
        <v>13.25</v>
      </c>
    </row>
    <row r="1575" spans="1:2" x14ac:dyDescent="0.25">
      <c r="A1575" s="4">
        <v>35</v>
      </c>
      <c r="B1575" s="20">
        <v>18</v>
      </c>
    </row>
    <row r="1576" spans="1:2" x14ac:dyDescent="0.25">
      <c r="A1576" s="3">
        <v>67</v>
      </c>
      <c r="B1576" s="19">
        <v>14</v>
      </c>
    </row>
    <row r="1577" spans="1:2" x14ac:dyDescent="0.25">
      <c r="A1577" s="4">
        <v>38</v>
      </c>
      <c r="B1577" s="20">
        <v>263.5</v>
      </c>
    </row>
    <row r="1578" spans="1:2" x14ac:dyDescent="0.25">
      <c r="A1578" s="3">
        <v>39</v>
      </c>
      <c r="B1578" s="19">
        <v>18</v>
      </c>
    </row>
    <row r="1579" spans="1:2" x14ac:dyDescent="0.25">
      <c r="A1579" s="4">
        <v>2</v>
      </c>
      <c r="B1579" s="20">
        <v>19</v>
      </c>
    </row>
    <row r="1580" spans="1:2" x14ac:dyDescent="0.25">
      <c r="A1580" s="3">
        <v>24</v>
      </c>
      <c r="B1580" s="19">
        <v>4.5</v>
      </c>
    </row>
    <row r="1581" spans="1:2" x14ac:dyDescent="0.25">
      <c r="A1581" s="4">
        <v>30</v>
      </c>
      <c r="B1581" s="20">
        <v>25.89</v>
      </c>
    </row>
    <row r="1582" spans="1:2" x14ac:dyDescent="0.25">
      <c r="A1582" s="3">
        <v>53</v>
      </c>
      <c r="B1582" s="19">
        <v>32.799999999999997</v>
      </c>
    </row>
    <row r="1583" spans="1:2" x14ac:dyDescent="0.25">
      <c r="A1583" s="4">
        <v>26</v>
      </c>
      <c r="B1583" s="20">
        <v>31.23</v>
      </c>
    </row>
    <row r="1584" spans="1:2" x14ac:dyDescent="0.25">
      <c r="A1584" s="3">
        <v>35</v>
      </c>
      <c r="B1584" s="19">
        <v>18</v>
      </c>
    </row>
    <row r="1585" spans="1:2" x14ac:dyDescent="0.25">
      <c r="A1585" s="4">
        <v>49</v>
      </c>
      <c r="B1585" s="20">
        <v>20</v>
      </c>
    </row>
    <row r="1586" spans="1:2" x14ac:dyDescent="0.25">
      <c r="A1586" s="3">
        <v>1</v>
      </c>
      <c r="B1586" s="19">
        <v>18</v>
      </c>
    </row>
    <row r="1587" spans="1:2" x14ac:dyDescent="0.25">
      <c r="A1587" s="4">
        <v>11</v>
      </c>
      <c r="B1587" s="20">
        <v>21</v>
      </c>
    </row>
    <row r="1588" spans="1:2" x14ac:dyDescent="0.25">
      <c r="A1588" s="3">
        <v>23</v>
      </c>
      <c r="B1588" s="19">
        <v>9</v>
      </c>
    </row>
    <row r="1589" spans="1:2" x14ac:dyDescent="0.25">
      <c r="A1589" s="4">
        <v>68</v>
      </c>
      <c r="B1589" s="20">
        <v>12.5</v>
      </c>
    </row>
    <row r="1590" spans="1:2" x14ac:dyDescent="0.25">
      <c r="A1590" s="3">
        <v>35</v>
      </c>
      <c r="B1590" s="19">
        <v>18</v>
      </c>
    </row>
    <row r="1591" spans="1:2" x14ac:dyDescent="0.25">
      <c r="A1591" s="4">
        <v>51</v>
      </c>
      <c r="B1591" s="20">
        <v>53</v>
      </c>
    </row>
    <row r="1592" spans="1:2" x14ac:dyDescent="0.25">
      <c r="A1592" s="3">
        <v>6</v>
      </c>
      <c r="B1592" s="19">
        <v>25</v>
      </c>
    </row>
    <row r="1593" spans="1:2" x14ac:dyDescent="0.25">
      <c r="A1593" s="4">
        <v>16</v>
      </c>
      <c r="B1593" s="20">
        <v>17.45</v>
      </c>
    </row>
    <row r="1594" spans="1:2" x14ac:dyDescent="0.25">
      <c r="A1594" s="3">
        <v>17</v>
      </c>
      <c r="B1594" s="19">
        <v>39</v>
      </c>
    </row>
    <row r="1595" spans="1:2" x14ac:dyDescent="0.25">
      <c r="A1595" s="4">
        <v>55</v>
      </c>
      <c r="B1595" s="20">
        <v>24</v>
      </c>
    </row>
    <row r="1596" spans="1:2" x14ac:dyDescent="0.25">
      <c r="A1596" s="3">
        <v>62</v>
      </c>
      <c r="B1596" s="19">
        <v>49.3</v>
      </c>
    </row>
    <row r="1597" spans="1:2" x14ac:dyDescent="0.25">
      <c r="A1597" s="4">
        <v>64</v>
      </c>
      <c r="B1597" s="20">
        <v>33.25</v>
      </c>
    </row>
    <row r="1598" spans="1:2" x14ac:dyDescent="0.25">
      <c r="A1598" s="3">
        <v>65</v>
      </c>
      <c r="B1598" s="19">
        <v>21.05</v>
      </c>
    </row>
    <row r="1599" spans="1:2" x14ac:dyDescent="0.25">
      <c r="A1599" s="4">
        <v>21</v>
      </c>
      <c r="B1599" s="20">
        <v>10</v>
      </c>
    </row>
    <row r="1600" spans="1:2" x14ac:dyDescent="0.25">
      <c r="A1600" s="3">
        <v>28</v>
      </c>
      <c r="B1600" s="19">
        <v>45.6</v>
      </c>
    </row>
    <row r="1601" spans="1:2" x14ac:dyDescent="0.25">
      <c r="A1601" s="4">
        <v>10</v>
      </c>
      <c r="B1601" s="20">
        <v>31</v>
      </c>
    </row>
    <row r="1602" spans="1:2" x14ac:dyDescent="0.25">
      <c r="A1602" s="3">
        <v>19</v>
      </c>
      <c r="B1602" s="19">
        <v>9.1999999999999993</v>
      </c>
    </row>
    <row r="1603" spans="1:2" x14ac:dyDescent="0.25">
      <c r="A1603" s="4">
        <v>47</v>
      </c>
      <c r="B1603" s="20">
        <v>9.5</v>
      </c>
    </row>
    <row r="1604" spans="1:2" x14ac:dyDescent="0.25">
      <c r="A1604" s="3">
        <v>49</v>
      </c>
      <c r="B1604" s="19">
        <v>20</v>
      </c>
    </row>
    <row r="1605" spans="1:2" x14ac:dyDescent="0.25">
      <c r="A1605" s="4">
        <v>46</v>
      </c>
      <c r="B1605" s="20">
        <v>12</v>
      </c>
    </row>
    <row r="1606" spans="1:2" x14ac:dyDescent="0.25">
      <c r="A1606" s="3">
        <v>64</v>
      </c>
      <c r="B1606" s="19">
        <v>33.25</v>
      </c>
    </row>
    <row r="1607" spans="1:2" x14ac:dyDescent="0.25">
      <c r="A1607" s="4">
        <v>16</v>
      </c>
      <c r="B1607" s="20">
        <v>17.45</v>
      </c>
    </row>
    <row r="1608" spans="1:2" x14ac:dyDescent="0.25">
      <c r="A1608" s="3">
        <v>18</v>
      </c>
      <c r="B1608" s="19">
        <v>62.5</v>
      </c>
    </row>
    <row r="1609" spans="1:2" x14ac:dyDescent="0.25">
      <c r="A1609" s="4">
        <v>20</v>
      </c>
      <c r="B1609" s="20">
        <v>81</v>
      </c>
    </row>
    <row r="1610" spans="1:2" x14ac:dyDescent="0.25">
      <c r="A1610" s="3">
        <v>40</v>
      </c>
      <c r="B1610" s="19">
        <v>18.399999999999999</v>
      </c>
    </row>
    <row r="1611" spans="1:2" x14ac:dyDescent="0.25">
      <c r="A1611" s="4">
        <v>65</v>
      </c>
      <c r="B1611" s="20">
        <v>21.05</v>
      </c>
    </row>
    <row r="1612" spans="1:2" x14ac:dyDescent="0.25">
      <c r="A1612" s="3">
        <v>76</v>
      </c>
      <c r="B1612" s="19">
        <v>18</v>
      </c>
    </row>
    <row r="1613" spans="1:2" x14ac:dyDescent="0.25">
      <c r="A1613" s="4">
        <v>23</v>
      </c>
      <c r="B1613" s="20">
        <v>9</v>
      </c>
    </row>
    <row r="1614" spans="1:2" x14ac:dyDescent="0.25">
      <c r="A1614" s="3">
        <v>61</v>
      </c>
      <c r="B1614" s="19">
        <v>28.5</v>
      </c>
    </row>
    <row r="1615" spans="1:2" x14ac:dyDescent="0.25">
      <c r="A1615" s="4">
        <v>70</v>
      </c>
      <c r="B1615" s="20">
        <v>15</v>
      </c>
    </row>
    <row r="1616" spans="1:2" x14ac:dyDescent="0.25">
      <c r="A1616" s="3">
        <v>73</v>
      </c>
      <c r="B1616" s="19">
        <v>15</v>
      </c>
    </row>
    <row r="1617" spans="1:2" x14ac:dyDescent="0.25">
      <c r="A1617" s="4">
        <v>42</v>
      </c>
      <c r="B1617" s="20">
        <v>14</v>
      </c>
    </row>
    <row r="1618" spans="1:2" x14ac:dyDescent="0.25">
      <c r="A1618" s="3">
        <v>49</v>
      </c>
      <c r="B1618" s="19">
        <v>20</v>
      </c>
    </row>
    <row r="1619" spans="1:2" x14ac:dyDescent="0.25">
      <c r="A1619" s="4">
        <v>54</v>
      </c>
      <c r="B1619" s="20">
        <v>7.45</v>
      </c>
    </row>
    <row r="1620" spans="1:2" x14ac:dyDescent="0.25">
      <c r="A1620" s="3">
        <v>24</v>
      </c>
      <c r="B1620" s="19">
        <v>4.5</v>
      </c>
    </row>
    <row r="1621" spans="1:2" x14ac:dyDescent="0.25">
      <c r="A1621" s="4">
        <v>21</v>
      </c>
      <c r="B1621" s="20">
        <v>10</v>
      </c>
    </row>
    <row r="1622" spans="1:2" x14ac:dyDescent="0.25">
      <c r="A1622" s="3">
        <v>56</v>
      </c>
      <c r="B1622" s="19">
        <v>38</v>
      </c>
    </row>
    <row r="1623" spans="1:2" x14ac:dyDescent="0.25">
      <c r="A1623" s="4">
        <v>65</v>
      </c>
      <c r="B1623" s="20">
        <v>21.05</v>
      </c>
    </row>
    <row r="1624" spans="1:2" x14ac:dyDescent="0.25">
      <c r="A1624" s="3">
        <v>2</v>
      </c>
      <c r="B1624" s="19">
        <v>19</v>
      </c>
    </row>
    <row r="1625" spans="1:2" x14ac:dyDescent="0.25">
      <c r="A1625" s="4">
        <v>24</v>
      </c>
      <c r="B1625" s="20">
        <v>4.5</v>
      </c>
    </row>
    <row r="1626" spans="1:2" x14ac:dyDescent="0.25">
      <c r="A1626" s="3">
        <v>70</v>
      </c>
      <c r="B1626" s="19">
        <v>15</v>
      </c>
    </row>
    <row r="1627" spans="1:2" x14ac:dyDescent="0.25">
      <c r="A1627" s="4">
        <v>77</v>
      </c>
      <c r="B1627" s="20">
        <v>13</v>
      </c>
    </row>
    <row r="1628" spans="1:2" x14ac:dyDescent="0.25">
      <c r="A1628" s="3">
        <v>10</v>
      </c>
      <c r="B1628" s="19">
        <v>31</v>
      </c>
    </row>
    <row r="1629" spans="1:2" x14ac:dyDescent="0.25">
      <c r="A1629" s="4">
        <v>31</v>
      </c>
      <c r="B1629" s="20">
        <v>12.5</v>
      </c>
    </row>
    <row r="1630" spans="1:2" x14ac:dyDescent="0.25">
      <c r="A1630" s="3">
        <v>77</v>
      </c>
      <c r="B1630" s="19">
        <v>13</v>
      </c>
    </row>
    <row r="1631" spans="1:2" x14ac:dyDescent="0.25">
      <c r="A1631" s="4">
        <v>25</v>
      </c>
      <c r="B1631" s="20">
        <v>14</v>
      </c>
    </row>
    <row r="1632" spans="1:2" x14ac:dyDescent="0.25">
      <c r="A1632" s="3">
        <v>2</v>
      </c>
      <c r="B1632" s="19">
        <v>19</v>
      </c>
    </row>
    <row r="1633" spans="1:2" x14ac:dyDescent="0.25">
      <c r="A1633" s="4">
        <v>68</v>
      </c>
      <c r="B1633" s="20">
        <v>12.5</v>
      </c>
    </row>
    <row r="1634" spans="1:2" x14ac:dyDescent="0.25">
      <c r="A1634" s="3">
        <v>11</v>
      </c>
      <c r="B1634" s="19">
        <v>21</v>
      </c>
    </row>
    <row r="1635" spans="1:2" x14ac:dyDescent="0.25">
      <c r="A1635" s="4">
        <v>38</v>
      </c>
      <c r="B1635" s="20">
        <v>263.5</v>
      </c>
    </row>
    <row r="1636" spans="1:2" x14ac:dyDescent="0.25">
      <c r="A1636" s="3">
        <v>17</v>
      </c>
      <c r="B1636" s="19">
        <v>39</v>
      </c>
    </row>
    <row r="1637" spans="1:2" x14ac:dyDescent="0.25">
      <c r="A1637" s="4">
        <v>34</v>
      </c>
      <c r="B1637" s="20">
        <v>14</v>
      </c>
    </row>
    <row r="1638" spans="1:2" x14ac:dyDescent="0.25">
      <c r="A1638" s="3">
        <v>41</v>
      </c>
      <c r="B1638" s="19">
        <v>9.65</v>
      </c>
    </row>
    <row r="1639" spans="1:2" x14ac:dyDescent="0.25">
      <c r="A1639" s="4">
        <v>30</v>
      </c>
      <c r="B1639" s="20">
        <v>25.89</v>
      </c>
    </row>
    <row r="1640" spans="1:2" x14ac:dyDescent="0.25">
      <c r="A1640" s="3">
        <v>59</v>
      </c>
      <c r="B1640" s="19">
        <v>55</v>
      </c>
    </row>
    <row r="1641" spans="1:2" x14ac:dyDescent="0.25">
      <c r="A1641" s="4">
        <v>8</v>
      </c>
      <c r="B1641" s="20">
        <v>40</v>
      </c>
    </row>
    <row r="1642" spans="1:2" x14ac:dyDescent="0.25">
      <c r="A1642" s="3">
        <v>24</v>
      </c>
      <c r="B1642" s="19">
        <v>4.5</v>
      </c>
    </row>
    <row r="1643" spans="1:2" x14ac:dyDescent="0.25">
      <c r="A1643" s="4">
        <v>29</v>
      </c>
      <c r="B1643" s="20">
        <v>123.79</v>
      </c>
    </row>
    <row r="1644" spans="1:2" x14ac:dyDescent="0.25">
      <c r="A1644" s="3">
        <v>30</v>
      </c>
      <c r="B1644" s="19">
        <v>25.89</v>
      </c>
    </row>
    <row r="1645" spans="1:2" x14ac:dyDescent="0.25">
      <c r="A1645" s="4">
        <v>36</v>
      </c>
      <c r="B1645" s="20">
        <v>19</v>
      </c>
    </row>
    <row r="1646" spans="1:2" x14ac:dyDescent="0.25">
      <c r="A1646" s="3">
        <v>13</v>
      </c>
      <c r="B1646" s="19">
        <v>6</v>
      </c>
    </row>
    <row r="1647" spans="1:2" x14ac:dyDescent="0.25">
      <c r="A1647" s="4">
        <v>69</v>
      </c>
      <c r="B1647" s="20">
        <v>36</v>
      </c>
    </row>
    <row r="1648" spans="1:2" x14ac:dyDescent="0.25">
      <c r="A1648" s="3">
        <v>75</v>
      </c>
      <c r="B1648" s="19">
        <v>7.75</v>
      </c>
    </row>
    <row r="1649" spans="1:2" x14ac:dyDescent="0.25">
      <c r="A1649" s="4">
        <v>24</v>
      </c>
      <c r="B1649" s="20">
        <v>4.5</v>
      </c>
    </row>
    <row r="1650" spans="1:2" x14ac:dyDescent="0.25">
      <c r="A1650" s="3">
        <v>39</v>
      </c>
      <c r="B1650" s="19">
        <v>18</v>
      </c>
    </row>
    <row r="1651" spans="1:2" x14ac:dyDescent="0.25">
      <c r="A1651" s="4">
        <v>40</v>
      </c>
      <c r="B1651" s="20">
        <v>18.399999999999999</v>
      </c>
    </row>
    <row r="1652" spans="1:2" x14ac:dyDescent="0.25">
      <c r="A1652" s="3">
        <v>60</v>
      </c>
      <c r="B1652" s="19">
        <v>34</v>
      </c>
    </row>
    <row r="1653" spans="1:2" x14ac:dyDescent="0.25">
      <c r="A1653" s="4">
        <v>45</v>
      </c>
      <c r="B1653" s="20">
        <v>9.5</v>
      </c>
    </row>
    <row r="1654" spans="1:2" x14ac:dyDescent="0.25">
      <c r="A1654" s="3">
        <v>56</v>
      </c>
      <c r="B1654" s="19">
        <v>38</v>
      </c>
    </row>
    <row r="1655" spans="1:2" x14ac:dyDescent="0.25">
      <c r="A1655" s="4">
        <v>13</v>
      </c>
      <c r="B1655" s="20">
        <v>6</v>
      </c>
    </row>
    <row r="1656" spans="1:2" x14ac:dyDescent="0.25">
      <c r="A1656" s="3">
        <v>39</v>
      </c>
      <c r="B1656" s="19">
        <v>18</v>
      </c>
    </row>
    <row r="1657" spans="1:2" x14ac:dyDescent="0.25">
      <c r="A1657" s="4">
        <v>70</v>
      </c>
      <c r="B1657" s="20">
        <v>15</v>
      </c>
    </row>
    <row r="1658" spans="1:2" x14ac:dyDescent="0.25">
      <c r="A1658" s="3">
        <v>41</v>
      </c>
      <c r="B1658" s="19">
        <v>9.65</v>
      </c>
    </row>
    <row r="1659" spans="1:2" x14ac:dyDescent="0.25">
      <c r="A1659" s="4">
        <v>71</v>
      </c>
      <c r="B1659" s="20">
        <v>21.5</v>
      </c>
    </row>
    <row r="1660" spans="1:2" x14ac:dyDescent="0.25">
      <c r="A1660" s="3">
        <v>55</v>
      </c>
      <c r="B1660" s="19">
        <v>24</v>
      </c>
    </row>
    <row r="1661" spans="1:2" x14ac:dyDescent="0.25">
      <c r="A1661" s="4">
        <v>62</v>
      </c>
      <c r="B1661" s="20">
        <v>49.3</v>
      </c>
    </row>
    <row r="1662" spans="1:2" x14ac:dyDescent="0.25">
      <c r="A1662" s="3">
        <v>13</v>
      </c>
      <c r="B1662" s="19">
        <v>6</v>
      </c>
    </row>
    <row r="1663" spans="1:2" x14ac:dyDescent="0.25">
      <c r="A1663" s="4">
        <v>65</v>
      </c>
      <c r="B1663" s="20">
        <v>21.05</v>
      </c>
    </row>
    <row r="1664" spans="1:2" x14ac:dyDescent="0.25">
      <c r="A1664" s="3">
        <v>68</v>
      </c>
      <c r="B1664" s="19">
        <v>12.5</v>
      </c>
    </row>
    <row r="1665" spans="1:2" x14ac:dyDescent="0.25">
      <c r="A1665" s="4">
        <v>58</v>
      </c>
      <c r="B1665" s="20">
        <v>13.25</v>
      </c>
    </row>
    <row r="1666" spans="1:2" x14ac:dyDescent="0.25">
      <c r="A1666" s="3">
        <v>62</v>
      </c>
      <c r="B1666" s="19">
        <v>49.3</v>
      </c>
    </row>
    <row r="1667" spans="1:2" x14ac:dyDescent="0.25">
      <c r="A1667" s="4">
        <v>1</v>
      </c>
      <c r="B1667" s="20">
        <v>18</v>
      </c>
    </row>
    <row r="1668" spans="1:2" x14ac:dyDescent="0.25">
      <c r="A1668" s="3">
        <v>61</v>
      </c>
      <c r="B1668" s="19">
        <v>28.5</v>
      </c>
    </row>
    <row r="1669" spans="1:2" x14ac:dyDescent="0.25">
      <c r="A1669" s="4">
        <v>75</v>
      </c>
      <c r="B1669" s="20">
        <v>7.75</v>
      </c>
    </row>
    <row r="1670" spans="1:2" x14ac:dyDescent="0.25">
      <c r="A1670" s="3">
        <v>7</v>
      </c>
      <c r="B1670" s="19">
        <v>30</v>
      </c>
    </row>
    <row r="1671" spans="1:2" x14ac:dyDescent="0.25">
      <c r="A1671" s="4">
        <v>52</v>
      </c>
      <c r="B1671" s="20">
        <v>7</v>
      </c>
    </row>
    <row r="1672" spans="1:2" x14ac:dyDescent="0.25">
      <c r="A1672" s="3">
        <v>7</v>
      </c>
      <c r="B1672" s="19">
        <v>30</v>
      </c>
    </row>
    <row r="1673" spans="1:2" x14ac:dyDescent="0.25">
      <c r="A1673" s="4">
        <v>16</v>
      </c>
      <c r="B1673" s="20">
        <v>17.45</v>
      </c>
    </row>
    <row r="1674" spans="1:2" x14ac:dyDescent="0.25">
      <c r="A1674" s="3">
        <v>41</v>
      </c>
      <c r="B1674" s="19">
        <v>9.65</v>
      </c>
    </row>
    <row r="1675" spans="1:2" x14ac:dyDescent="0.25">
      <c r="A1675" s="4">
        <v>19</v>
      </c>
      <c r="B1675" s="20">
        <v>9.1999999999999993</v>
      </c>
    </row>
    <row r="1676" spans="1:2" x14ac:dyDescent="0.25">
      <c r="A1676" s="3">
        <v>49</v>
      </c>
      <c r="B1676" s="19">
        <v>20</v>
      </c>
    </row>
    <row r="1677" spans="1:2" x14ac:dyDescent="0.25">
      <c r="A1677" s="4">
        <v>61</v>
      </c>
      <c r="B1677" s="20">
        <v>28.5</v>
      </c>
    </row>
    <row r="1678" spans="1:2" x14ac:dyDescent="0.25">
      <c r="A1678" s="3">
        <v>1</v>
      </c>
      <c r="B1678" s="19">
        <v>18</v>
      </c>
    </row>
    <row r="1679" spans="1:2" x14ac:dyDescent="0.25">
      <c r="A1679" s="4">
        <v>17</v>
      </c>
      <c r="B1679" s="20">
        <v>39</v>
      </c>
    </row>
    <row r="1680" spans="1:2" x14ac:dyDescent="0.25">
      <c r="A1680" s="3">
        <v>67</v>
      </c>
      <c r="B1680" s="19">
        <v>14</v>
      </c>
    </row>
    <row r="1681" spans="1:2" x14ac:dyDescent="0.25">
      <c r="A1681" s="4">
        <v>4</v>
      </c>
      <c r="B1681" s="20">
        <v>22</v>
      </c>
    </row>
    <row r="1682" spans="1:2" x14ac:dyDescent="0.25">
      <c r="A1682" s="3">
        <v>33</v>
      </c>
      <c r="B1682" s="19">
        <v>2.5</v>
      </c>
    </row>
    <row r="1683" spans="1:2" x14ac:dyDescent="0.25">
      <c r="A1683" s="4">
        <v>58</v>
      </c>
      <c r="B1683" s="20">
        <v>13.25</v>
      </c>
    </row>
    <row r="1684" spans="1:2" x14ac:dyDescent="0.25">
      <c r="A1684" s="3">
        <v>71</v>
      </c>
      <c r="B1684" s="19">
        <v>21.5</v>
      </c>
    </row>
    <row r="1685" spans="1:2" x14ac:dyDescent="0.25">
      <c r="A1685" s="4">
        <v>17</v>
      </c>
      <c r="B1685" s="20">
        <v>39</v>
      </c>
    </row>
    <row r="1686" spans="1:2" x14ac:dyDescent="0.25">
      <c r="A1686" s="3">
        <v>33</v>
      </c>
      <c r="B1686" s="19">
        <v>2.5</v>
      </c>
    </row>
    <row r="1687" spans="1:2" x14ac:dyDescent="0.25">
      <c r="A1687" s="4">
        <v>54</v>
      </c>
      <c r="B1687" s="20">
        <v>7.45</v>
      </c>
    </row>
    <row r="1688" spans="1:2" x14ac:dyDescent="0.25">
      <c r="A1688" s="3">
        <v>16</v>
      </c>
      <c r="B1688" s="19">
        <v>17.45</v>
      </c>
    </row>
    <row r="1689" spans="1:2" x14ac:dyDescent="0.25">
      <c r="A1689" s="4">
        <v>32</v>
      </c>
      <c r="B1689" s="20">
        <v>32</v>
      </c>
    </row>
    <row r="1690" spans="1:2" x14ac:dyDescent="0.25">
      <c r="A1690" s="3">
        <v>57</v>
      </c>
      <c r="B1690" s="19">
        <v>19.5</v>
      </c>
    </row>
    <row r="1691" spans="1:2" x14ac:dyDescent="0.25">
      <c r="A1691" s="4">
        <v>30</v>
      </c>
      <c r="B1691" s="20">
        <v>25.89</v>
      </c>
    </row>
    <row r="1692" spans="1:2" x14ac:dyDescent="0.25">
      <c r="A1692" s="3">
        <v>60</v>
      </c>
      <c r="B1692" s="19">
        <v>34</v>
      </c>
    </row>
    <row r="1693" spans="1:2" x14ac:dyDescent="0.25">
      <c r="A1693" s="4">
        <v>1</v>
      </c>
      <c r="B1693" s="20">
        <v>18</v>
      </c>
    </row>
    <row r="1694" spans="1:2" x14ac:dyDescent="0.25">
      <c r="A1694" s="3">
        <v>60</v>
      </c>
      <c r="B1694" s="19">
        <v>34</v>
      </c>
    </row>
    <row r="1695" spans="1:2" x14ac:dyDescent="0.25">
      <c r="A1695" s="4">
        <v>16</v>
      </c>
      <c r="B1695" s="20">
        <v>17.45</v>
      </c>
    </row>
    <row r="1696" spans="1:2" x14ac:dyDescent="0.25">
      <c r="A1696" s="3">
        <v>25</v>
      </c>
      <c r="B1696" s="19">
        <v>14</v>
      </c>
    </row>
    <row r="1697" spans="1:2" x14ac:dyDescent="0.25">
      <c r="A1697" s="4">
        <v>40</v>
      </c>
      <c r="B1697" s="20">
        <v>18.399999999999999</v>
      </c>
    </row>
    <row r="1698" spans="1:2" x14ac:dyDescent="0.25">
      <c r="A1698" s="3">
        <v>50</v>
      </c>
      <c r="B1698" s="19">
        <v>16.25</v>
      </c>
    </row>
    <row r="1699" spans="1:2" x14ac:dyDescent="0.25">
      <c r="A1699" s="4">
        <v>35</v>
      </c>
      <c r="B1699" s="20">
        <v>18</v>
      </c>
    </row>
    <row r="1700" spans="1:2" x14ac:dyDescent="0.25">
      <c r="A1700" s="3">
        <v>63</v>
      </c>
      <c r="B1700" s="19">
        <v>43.9</v>
      </c>
    </row>
    <row r="1701" spans="1:2" x14ac:dyDescent="0.25">
      <c r="A1701" s="4">
        <v>17</v>
      </c>
      <c r="B1701" s="20">
        <v>39</v>
      </c>
    </row>
    <row r="1702" spans="1:2" x14ac:dyDescent="0.25">
      <c r="A1702" s="3">
        <v>24</v>
      </c>
      <c r="B1702" s="19">
        <v>4.5</v>
      </c>
    </row>
    <row r="1703" spans="1:2" x14ac:dyDescent="0.25">
      <c r="A1703" s="4">
        <v>42</v>
      </c>
      <c r="B1703" s="20">
        <v>14</v>
      </c>
    </row>
    <row r="1704" spans="1:2" x14ac:dyDescent="0.25">
      <c r="A1704" s="3">
        <v>43</v>
      </c>
      <c r="B1704" s="19">
        <v>46</v>
      </c>
    </row>
    <row r="1705" spans="1:2" x14ac:dyDescent="0.25">
      <c r="A1705" s="4">
        <v>67</v>
      </c>
      <c r="B1705" s="20">
        <v>14</v>
      </c>
    </row>
    <row r="1706" spans="1:2" x14ac:dyDescent="0.25">
      <c r="A1706" s="3">
        <v>10</v>
      </c>
      <c r="B1706" s="19">
        <v>31</v>
      </c>
    </row>
    <row r="1707" spans="1:2" x14ac:dyDescent="0.25">
      <c r="A1707" s="4">
        <v>28</v>
      </c>
      <c r="B1707" s="20">
        <v>45.6</v>
      </c>
    </row>
    <row r="1708" spans="1:2" x14ac:dyDescent="0.25">
      <c r="A1708" s="3">
        <v>75</v>
      </c>
      <c r="B1708" s="19">
        <v>7.75</v>
      </c>
    </row>
    <row r="1709" spans="1:2" x14ac:dyDescent="0.25">
      <c r="A1709" s="4">
        <v>36</v>
      </c>
      <c r="B1709" s="20">
        <v>19</v>
      </c>
    </row>
    <row r="1710" spans="1:2" x14ac:dyDescent="0.25">
      <c r="A1710" s="3">
        <v>52</v>
      </c>
      <c r="B1710" s="19">
        <v>7</v>
      </c>
    </row>
    <row r="1711" spans="1:2" x14ac:dyDescent="0.25">
      <c r="A1711" s="4">
        <v>11</v>
      </c>
      <c r="B1711" s="20">
        <v>21</v>
      </c>
    </row>
    <row r="1712" spans="1:2" x14ac:dyDescent="0.25">
      <c r="A1712" s="3">
        <v>13</v>
      </c>
      <c r="B1712" s="19">
        <v>6</v>
      </c>
    </row>
    <row r="1713" spans="1:2" x14ac:dyDescent="0.25">
      <c r="A1713" s="4">
        <v>19</v>
      </c>
      <c r="B1713" s="20">
        <v>9.1999999999999993</v>
      </c>
    </row>
    <row r="1714" spans="1:2" x14ac:dyDescent="0.25">
      <c r="A1714" s="3">
        <v>72</v>
      </c>
      <c r="B1714" s="19">
        <v>34.799999999999997</v>
      </c>
    </row>
    <row r="1715" spans="1:2" x14ac:dyDescent="0.25">
      <c r="A1715" s="4">
        <v>20</v>
      </c>
      <c r="B1715" s="20">
        <v>81</v>
      </c>
    </row>
    <row r="1716" spans="1:2" x14ac:dyDescent="0.25">
      <c r="A1716" s="3">
        <v>52</v>
      </c>
      <c r="B1716" s="19">
        <v>7</v>
      </c>
    </row>
    <row r="1717" spans="1:2" x14ac:dyDescent="0.25">
      <c r="A1717" s="4">
        <v>76</v>
      </c>
      <c r="B1717" s="20">
        <v>18</v>
      </c>
    </row>
    <row r="1718" spans="1:2" x14ac:dyDescent="0.25">
      <c r="A1718" s="3">
        <v>47</v>
      </c>
      <c r="B1718" s="19">
        <v>9.5</v>
      </c>
    </row>
    <row r="1719" spans="1:2" x14ac:dyDescent="0.25">
      <c r="A1719" s="4">
        <v>76</v>
      </c>
      <c r="B1719" s="20">
        <v>18</v>
      </c>
    </row>
    <row r="1720" spans="1:2" x14ac:dyDescent="0.25">
      <c r="A1720" s="3">
        <v>21</v>
      </c>
      <c r="B1720" s="19">
        <v>10</v>
      </c>
    </row>
    <row r="1721" spans="1:2" x14ac:dyDescent="0.25">
      <c r="A1721" s="4">
        <v>75</v>
      </c>
      <c r="B1721" s="20">
        <v>7.75</v>
      </c>
    </row>
    <row r="1722" spans="1:2" x14ac:dyDescent="0.25">
      <c r="A1722" s="3">
        <v>77</v>
      </c>
      <c r="B1722" s="19">
        <v>13</v>
      </c>
    </row>
    <row r="1723" spans="1:2" x14ac:dyDescent="0.25">
      <c r="A1723" s="4">
        <v>21</v>
      </c>
      <c r="B1723" s="20">
        <v>10</v>
      </c>
    </row>
    <row r="1724" spans="1:2" x14ac:dyDescent="0.25">
      <c r="A1724" s="3">
        <v>27</v>
      </c>
      <c r="B1724" s="19">
        <v>43.9</v>
      </c>
    </row>
    <row r="1725" spans="1:2" x14ac:dyDescent="0.25">
      <c r="A1725" s="4">
        <v>55</v>
      </c>
      <c r="B1725" s="20">
        <v>24</v>
      </c>
    </row>
    <row r="1726" spans="1:2" x14ac:dyDescent="0.25">
      <c r="A1726" s="3">
        <v>58</v>
      </c>
      <c r="B1726" s="19">
        <v>13.25</v>
      </c>
    </row>
    <row r="1727" spans="1:2" x14ac:dyDescent="0.25">
      <c r="A1727" s="4">
        <v>13</v>
      </c>
      <c r="B1727" s="20">
        <v>6</v>
      </c>
    </row>
    <row r="1728" spans="1:2" x14ac:dyDescent="0.25">
      <c r="A1728" s="3">
        <v>57</v>
      </c>
      <c r="B1728" s="19">
        <v>19.5</v>
      </c>
    </row>
    <row r="1729" spans="1:2" x14ac:dyDescent="0.25">
      <c r="A1729" s="4">
        <v>16</v>
      </c>
      <c r="B1729" s="20">
        <v>17.45</v>
      </c>
    </row>
    <row r="1730" spans="1:2" x14ac:dyDescent="0.25">
      <c r="A1730" s="3">
        <v>62</v>
      </c>
      <c r="B1730" s="19">
        <v>49.3</v>
      </c>
    </row>
    <row r="1731" spans="1:2" x14ac:dyDescent="0.25">
      <c r="A1731" s="4">
        <v>72</v>
      </c>
      <c r="B1731" s="20">
        <v>34.799999999999997</v>
      </c>
    </row>
    <row r="1732" spans="1:2" x14ac:dyDescent="0.25">
      <c r="A1732" s="3">
        <v>75</v>
      </c>
      <c r="B1732" s="19">
        <v>7.75</v>
      </c>
    </row>
    <row r="1733" spans="1:2" x14ac:dyDescent="0.25">
      <c r="A1733" s="4">
        <v>53</v>
      </c>
      <c r="B1733" s="20">
        <v>32.799999999999997</v>
      </c>
    </row>
    <row r="1734" spans="1:2" x14ac:dyDescent="0.25">
      <c r="A1734" s="3">
        <v>61</v>
      </c>
      <c r="B1734" s="19">
        <v>28.5</v>
      </c>
    </row>
    <row r="1735" spans="1:2" x14ac:dyDescent="0.25">
      <c r="A1735" s="4">
        <v>6</v>
      </c>
      <c r="B1735" s="20">
        <v>25</v>
      </c>
    </row>
    <row r="1736" spans="1:2" x14ac:dyDescent="0.25">
      <c r="A1736" s="3">
        <v>1</v>
      </c>
      <c r="B1736" s="19">
        <v>18</v>
      </c>
    </row>
    <row r="1737" spans="1:2" x14ac:dyDescent="0.25">
      <c r="A1737" s="4">
        <v>18</v>
      </c>
      <c r="B1737" s="20">
        <v>62.5</v>
      </c>
    </row>
    <row r="1738" spans="1:2" x14ac:dyDescent="0.25">
      <c r="A1738" s="3">
        <v>23</v>
      </c>
      <c r="B1738" s="19">
        <v>9</v>
      </c>
    </row>
    <row r="1739" spans="1:2" x14ac:dyDescent="0.25">
      <c r="A1739" s="4">
        <v>36</v>
      </c>
      <c r="B1739" s="20">
        <v>19</v>
      </c>
    </row>
    <row r="1740" spans="1:2" x14ac:dyDescent="0.25">
      <c r="A1740" s="3">
        <v>28</v>
      </c>
      <c r="B1740" s="19">
        <v>45.6</v>
      </c>
    </row>
    <row r="1741" spans="1:2" x14ac:dyDescent="0.25">
      <c r="A1741" s="4">
        <v>34</v>
      </c>
      <c r="B1741" s="20">
        <v>14</v>
      </c>
    </row>
    <row r="1742" spans="1:2" x14ac:dyDescent="0.25">
      <c r="A1742" s="3">
        <v>13</v>
      </c>
      <c r="B1742" s="19">
        <v>6</v>
      </c>
    </row>
    <row r="1743" spans="1:2" x14ac:dyDescent="0.25">
      <c r="A1743" s="4">
        <v>43</v>
      </c>
      <c r="B1743" s="20">
        <v>46</v>
      </c>
    </row>
    <row r="1744" spans="1:2" x14ac:dyDescent="0.25">
      <c r="A1744" s="3">
        <v>60</v>
      </c>
      <c r="B1744" s="19">
        <v>34</v>
      </c>
    </row>
    <row r="1745" spans="1:2" x14ac:dyDescent="0.25">
      <c r="A1745" s="4">
        <v>71</v>
      </c>
      <c r="B1745" s="20">
        <v>21.5</v>
      </c>
    </row>
    <row r="1746" spans="1:2" x14ac:dyDescent="0.25">
      <c r="A1746" s="3">
        <v>2</v>
      </c>
      <c r="B1746" s="19">
        <v>19</v>
      </c>
    </row>
    <row r="1747" spans="1:2" x14ac:dyDescent="0.25">
      <c r="A1747" s="4">
        <v>67</v>
      </c>
      <c r="B1747" s="20">
        <v>14</v>
      </c>
    </row>
    <row r="1748" spans="1:2" x14ac:dyDescent="0.25">
      <c r="A1748" s="3">
        <v>7</v>
      </c>
      <c r="B1748" s="19">
        <v>30</v>
      </c>
    </row>
    <row r="1749" spans="1:2" x14ac:dyDescent="0.25">
      <c r="A1749" s="4">
        <v>13</v>
      </c>
      <c r="B1749" s="20">
        <v>6</v>
      </c>
    </row>
    <row r="1750" spans="1:2" x14ac:dyDescent="0.25">
      <c r="A1750" s="3">
        <v>31</v>
      </c>
      <c r="B1750" s="19">
        <v>12.5</v>
      </c>
    </row>
    <row r="1751" spans="1:2" x14ac:dyDescent="0.25">
      <c r="A1751" s="4">
        <v>62</v>
      </c>
      <c r="B1751" s="20">
        <v>49.3</v>
      </c>
    </row>
    <row r="1752" spans="1:2" x14ac:dyDescent="0.25">
      <c r="A1752" s="3">
        <v>68</v>
      </c>
      <c r="B1752" s="19">
        <v>12.5</v>
      </c>
    </row>
    <row r="1753" spans="1:2" x14ac:dyDescent="0.25">
      <c r="A1753" s="4">
        <v>72</v>
      </c>
      <c r="B1753" s="20">
        <v>34.799999999999997</v>
      </c>
    </row>
    <row r="1754" spans="1:2" x14ac:dyDescent="0.25">
      <c r="A1754" s="3">
        <v>49</v>
      </c>
      <c r="B1754" s="19">
        <v>20</v>
      </c>
    </row>
    <row r="1755" spans="1:2" x14ac:dyDescent="0.25">
      <c r="A1755" s="4">
        <v>13</v>
      </c>
      <c r="B1755" s="20">
        <v>6</v>
      </c>
    </row>
    <row r="1756" spans="1:2" x14ac:dyDescent="0.25">
      <c r="A1756" s="3">
        <v>22</v>
      </c>
      <c r="B1756" s="19">
        <v>21</v>
      </c>
    </row>
    <row r="1757" spans="1:2" x14ac:dyDescent="0.25">
      <c r="A1757" s="4">
        <v>46</v>
      </c>
      <c r="B1757" s="20">
        <v>12</v>
      </c>
    </row>
    <row r="1758" spans="1:2" x14ac:dyDescent="0.25">
      <c r="A1758" s="3">
        <v>11</v>
      </c>
      <c r="B1758" s="19">
        <v>21</v>
      </c>
    </row>
    <row r="1759" spans="1:2" x14ac:dyDescent="0.25">
      <c r="A1759" s="4">
        <v>44</v>
      </c>
      <c r="B1759" s="20">
        <v>19.45</v>
      </c>
    </row>
    <row r="1760" spans="1:2" x14ac:dyDescent="0.25">
      <c r="A1760" s="3">
        <v>56</v>
      </c>
      <c r="B1760" s="19">
        <v>38</v>
      </c>
    </row>
    <row r="1761" spans="1:2" x14ac:dyDescent="0.25">
      <c r="A1761" s="4">
        <v>13</v>
      </c>
      <c r="B1761" s="20">
        <v>6</v>
      </c>
    </row>
    <row r="1762" spans="1:2" x14ac:dyDescent="0.25">
      <c r="A1762" s="3">
        <v>31</v>
      </c>
      <c r="B1762" s="19">
        <v>12.5</v>
      </c>
    </row>
    <row r="1763" spans="1:2" x14ac:dyDescent="0.25">
      <c r="A1763" s="4">
        <v>10</v>
      </c>
      <c r="B1763" s="20">
        <v>31</v>
      </c>
    </row>
    <row r="1764" spans="1:2" x14ac:dyDescent="0.25">
      <c r="A1764" s="3">
        <v>24</v>
      </c>
      <c r="B1764" s="19">
        <v>4.5</v>
      </c>
    </row>
    <row r="1765" spans="1:2" x14ac:dyDescent="0.25">
      <c r="A1765" s="4">
        <v>77</v>
      </c>
      <c r="B1765" s="20">
        <v>13</v>
      </c>
    </row>
    <row r="1766" spans="1:2" x14ac:dyDescent="0.25">
      <c r="A1766" s="3">
        <v>59</v>
      </c>
      <c r="B1766" s="19">
        <v>55</v>
      </c>
    </row>
    <row r="1767" spans="1:2" x14ac:dyDescent="0.25">
      <c r="A1767" s="4">
        <v>50</v>
      </c>
      <c r="B1767" s="20">
        <v>16.25</v>
      </c>
    </row>
    <row r="1768" spans="1:2" x14ac:dyDescent="0.25">
      <c r="A1768" s="3">
        <v>51</v>
      </c>
      <c r="B1768" s="19">
        <v>53</v>
      </c>
    </row>
    <row r="1769" spans="1:2" x14ac:dyDescent="0.25">
      <c r="A1769" s="4">
        <v>55</v>
      </c>
      <c r="B1769" s="20">
        <v>24</v>
      </c>
    </row>
    <row r="1770" spans="1:2" x14ac:dyDescent="0.25">
      <c r="A1770" s="3">
        <v>6</v>
      </c>
      <c r="B1770" s="19">
        <v>25</v>
      </c>
    </row>
    <row r="1771" spans="1:2" x14ac:dyDescent="0.25">
      <c r="A1771" s="4">
        <v>10</v>
      </c>
      <c r="B1771" s="20">
        <v>31</v>
      </c>
    </row>
    <row r="1772" spans="1:2" x14ac:dyDescent="0.25">
      <c r="A1772" s="3">
        <v>17</v>
      </c>
      <c r="B1772" s="19">
        <v>39</v>
      </c>
    </row>
    <row r="1773" spans="1:2" x14ac:dyDescent="0.25">
      <c r="A1773" s="4">
        <v>62</v>
      </c>
      <c r="B1773" s="20">
        <v>49.3</v>
      </c>
    </row>
    <row r="1774" spans="1:2" x14ac:dyDescent="0.25">
      <c r="A1774" s="3">
        <v>4</v>
      </c>
      <c r="B1774" s="19">
        <v>22</v>
      </c>
    </row>
    <row r="1775" spans="1:2" x14ac:dyDescent="0.25">
      <c r="A1775" s="4">
        <v>33</v>
      </c>
      <c r="B1775" s="20">
        <v>2.5</v>
      </c>
    </row>
    <row r="1776" spans="1:2" x14ac:dyDescent="0.25">
      <c r="A1776" s="3">
        <v>41</v>
      </c>
      <c r="B1776" s="19">
        <v>9.65</v>
      </c>
    </row>
    <row r="1777" spans="1:2" x14ac:dyDescent="0.25">
      <c r="A1777" s="4">
        <v>75</v>
      </c>
      <c r="B1777" s="20">
        <v>7.75</v>
      </c>
    </row>
    <row r="1778" spans="1:2" x14ac:dyDescent="0.25">
      <c r="A1778" s="3">
        <v>6</v>
      </c>
      <c r="B1778" s="19">
        <v>25</v>
      </c>
    </row>
    <row r="1779" spans="1:2" x14ac:dyDescent="0.25">
      <c r="A1779" s="4">
        <v>28</v>
      </c>
      <c r="B1779" s="20">
        <v>45.6</v>
      </c>
    </row>
    <row r="1780" spans="1:2" x14ac:dyDescent="0.25">
      <c r="A1780" s="3">
        <v>20</v>
      </c>
      <c r="B1780" s="19">
        <v>81</v>
      </c>
    </row>
    <row r="1781" spans="1:2" x14ac:dyDescent="0.25">
      <c r="A1781" s="4">
        <v>31</v>
      </c>
      <c r="B1781" s="20">
        <v>12.5</v>
      </c>
    </row>
    <row r="1782" spans="1:2" x14ac:dyDescent="0.25">
      <c r="A1782" s="3">
        <v>16</v>
      </c>
      <c r="B1782" s="19">
        <v>17.45</v>
      </c>
    </row>
    <row r="1783" spans="1:2" x14ac:dyDescent="0.25">
      <c r="A1783" s="4">
        <v>31</v>
      </c>
      <c r="B1783" s="20">
        <v>12.5</v>
      </c>
    </row>
    <row r="1784" spans="1:2" x14ac:dyDescent="0.25">
      <c r="A1784" s="3">
        <v>45</v>
      </c>
      <c r="B1784" s="19">
        <v>9.5</v>
      </c>
    </row>
    <row r="1785" spans="1:2" x14ac:dyDescent="0.25">
      <c r="A1785" s="4">
        <v>60</v>
      </c>
      <c r="B1785" s="20">
        <v>34</v>
      </c>
    </row>
    <row r="1786" spans="1:2" x14ac:dyDescent="0.25">
      <c r="A1786" s="3">
        <v>75</v>
      </c>
      <c r="B1786" s="19">
        <v>7.75</v>
      </c>
    </row>
    <row r="1787" spans="1:2" x14ac:dyDescent="0.25">
      <c r="A1787" s="4">
        <v>21</v>
      </c>
      <c r="B1787" s="20">
        <v>10</v>
      </c>
    </row>
    <row r="1788" spans="1:2" x14ac:dyDescent="0.25">
      <c r="A1788" s="3">
        <v>47</v>
      </c>
      <c r="B1788" s="19">
        <v>9.5</v>
      </c>
    </row>
    <row r="1789" spans="1:2" x14ac:dyDescent="0.25">
      <c r="A1789" s="4">
        <v>51</v>
      </c>
      <c r="B1789" s="20">
        <v>53</v>
      </c>
    </row>
    <row r="1790" spans="1:2" x14ac:dyDescent="0.25">
      <c r="A1790" s="3">
        <v>30</v>
      </c>
      <c r="B1790" s="19">
        <v>25.89</v>
      </c>
    </row>
    <row r="1791" spans="1:2" x14ac:dyDescent="0.25">
      <c r="A1791" s="4">
        <v>35</v>
      </c>
      <c r="B1791" s="20">
        <v>18</v>
      </c>
    </row>
    <row r="1792" spans="1:2" x14ac:dyDescent="0.25">
      <c r="A1792" s="3">
        <v>64</v>
      </c>
      <c r="B1792" s="19">
        <v>33.25</v>
      </c>
    </row>
    <row r="1793" spans="1:2" x14ac:dyDescent="0.25">
      <c r="A1793" s="4">
        <v>5</v>
      </c>
      <c r="B1793" s="20">
        <v>21.35</v>
      </c>
    </row>
    <row r="1794" spans="1:2" x14ac:dyDescent="0.25">
      <c r="A1794" s="3">
        <v>7</v>
      </c>
      <c r="B1794" s="19">
        <v>30</v>
      </c>
    </row>
    <row r="1795" spans="1:2" x14ac:dyDescent="0.25">
      <c r="A1795" s="4">
        <v>72</v>
      </c>
      <c r="B1795" s="20">
        <v>34.799999999999997</v>
      </c>
    </row>
    <row r="1796" spans="1:2" x14ac:dyDescent="0.25">
      <c r="A1796" s="3">
        <v>75</v>
      </c>
      <c r="B1796" s="19">
        <v>7.75</v>
      </c>
    </row>
    <row r="1797" spans="1:2" x14ac:dyDescent="0.25">
      <c r="A1797" s="4">
        <v>24</v>
      </c>
      <c r="B1797" s="20">
        <v>4.5</v>
      </c>
    </row>
    <row r="1798" spans="1:2" x14ac:dyDescent="0.25">
      <c r="A1798" s="3">
        <v>41</v>
      </c>
      <c r="B1798" s="19">
        <v>9.65</v>
      </c>
    </row>
    <row r="1799" spans="1:2" x14ac:dyDescent="0.25">
      <c r="A1799" s="4">
        <v>52</v>
      </c>
      <c r="B1799" s="20">
        <v>7</v>
      </c>
    </row>
    <row r="1800" spans="1:2" x14ac:dyDescent="0.25">
      <c r="A1800" s="3">
        <v>76</v>
      </c>
      <c r="B1800" s="19">
        <v>18</v>
      </c>
    </row>
    <row r="1801" spans="1:2" x14ac:dyDescent="0.25">
      <c r="A1801" s="4">
        <v>7</v>
      </c>
      <c r="B1801" s="20">
        <v>30</v>
      </c>
    </row>
    <row r="1802" spans="1:2" x14ac:dyDescent="0.25">
      <c r="A1802" s="3">
        <v>13</v>
      </c>
      <c r="B1802" s="19">
        <v>6</v>
      </c>
    </row>
    <row r="1803" spans="1:2" x14ac:dyDescent="0.25">
      <c r="A1803" s="4">
        <v>53</v>
      </c>
      <c r="B1803" s="20">
        <v>32.799999999999997</v>
      </c>
    </row>
    <row r="1804" spans="1:2" x14ac:dyDescent="0.25">
      <c r="A1804" s="3">
        <v>69</v>
      </c>
      <c r="B1804" s="19">
        <v>36</v>
      </c>
    </row>
    <row r="1805" spans="1:2" x14ac:dyDescent="0.25">
      <c r="A1805" s="4">
        <v>76</v>
      </c>
      <c r="B1805" s="20">
        <v>18</v>
      </c>
    </row>
    <row r="1806" spans="1:2" x14ac:dyDescent="0.25">
      <c r="A1806" s="3">
        <v>60</v>
      </c>
      <c r="B1806" s="19">
        <v>34</v>
      </c>
    </row>
    <row r="1807" spans="1:2" x14ac:dyDescent="0.25">
      <c r="A1807" s="4">
        <v>18</v>
      </c>
      <c r="B1807" s="20">
        <v>62.5</v>
      </c>
    </row>
    <row r="1808" spans="1:2" x14ac:dyDescent="0.25">
      <c r="A1808" s="3">
        <v>38</v>
      </c>
      <c r="B1808" s="19">
        <v>263.5</v>
      </c>
    </row>
    <row r="1809" spans="1:2" x14ac:dyDescent="0.25">
      <c r="A1809" s="4">
        <v>69</v>
      </c>
      <c r="B1809" s="20">
        <v>36</v>
      </c>
    </row>
    <row r="1810" spans="1:2" x14ac:dyDescent="0.25">
      <c r="A1810" s="3">
        <v>51</v>
      </c>
      <c r="B1810" s="19">
        <v>53</v>
      </c>
    </row>
    <row r="1811" spans="1:2" x14ac:dyDescent="0.25">
      <c r="A1811" s="4">
        <v>37</v>
      </c>
      <c r="B1811" s="20">
        <v>26</v>
      </c>
    </row>
    <row r="1812" spans="1:2" x14ac:dyDescent="0.25">
      <c r="A1812" s="3">
        <v>56</v>
      </c>
      <c r="B1812" s="19">
        <v>38</v>
      </c>
    </row>
    <row r="1813" spans="1:2" x14ac:dyDescent="0.25">
      <c r="A1813" s="4">
        <v>62</v>
      </c>
      <c r="B1813" s="20">
        <v>49.3</v>
      </c>
    </row>
    <row r="1814" spans="1:2" x14ac:dyDescent="0.25">
      <c r="A1814" s="3">
        <v>19</v>
      </c>
      <c r="B1814" s="19">
        <v>9.1999999999999993</v>
      </c>
    </row>
    <row r="1815" spans="1:2" x14ac:dyDescent="0.25">
      <c r="A1815" s="4">
        <v>49</v>
      </c>
      <c r="B1815" s="20">
        <v>20</v>
      </c>
    </row>
    <row r="1816" spans="1:2" x14ac:dyDescent="0.25">
      <c r="A1816" s="3">
        <v>12</v>
      </c>
      <c r="B1816" s="19">
        <v>38</v>
      </c>
    </row>
    <row r="1817" spans="1:2" x14ac:dyDescent="0.25">
      <c r="A1817" s="4">
        <v>24</v>
      </c>
      <c r="B1817" s="20">
        <v>4.5</v>
      </c>
    </row>
    <row r="1818" spans="1:2" x14ac:dyDescent="0.25">
      <c r="A1818" s="3">
        <v>64</v>
      </c>
      <c r="B1818" s="19">
        <v>33.25</v>
      </c>
    </row>
    <row r="1819" spans="1:2" x14ac:dyDescent="0.25">
      <c r="A1819" s="4">
        <v>46</v>
      </c>
      <c r="B1819" s="20">
        <v>12</v>
      </c>
    </row>
    <row r="1820" spans="1:2" x14ac:dyDescent="0.25">
      <c r="A1820" s="3">
        <v>52</v>
      </c>
      <c r="B1820" s="19">
        <v>7</v>
      </c>
    </row>
    <row r="1821" spans="1:2" x14ac:dyDescent="0.25">
      <c r="A1821" s="4">
        <v>29</v>
      </c>
      <c r="B1821" s="20">
        <v>123.79</v>
      </c>
    </row>
    <row r="1822" spans="1:2" x14ac:dyDescent="0.25">
      <c r="A1822" s="3">
        <v>17</v>
      </c>
      <c r="B1822" s="19">
        <v>39</v>
      </c>
    </row>
    <row r="1823" spans="1:2" x14ac:dyDescent="0.25">
      <c r="A1823" s="4">
        <v>33</v>
      </c>
      <c r="B1823" s="20">
        <v>2.5</v>
      </c>
    </row>
    <row r="1824" spans="1:2" x14ac:dyDescent="0.25">
      <c r="A1824" s="3">
        <v>26</v>
      </c>
      <c r="B1824" s="19">
        <v>31.23</v>
      </c>
    </row>
    <row r="1825" spans="1:2" x14ac:dyDescent="0.25">
      <c r="A1825" s="4">
        <v>41</v>
      </c>
      <c r="B1825" s="20">
        <v>9.65</v>
      </c>
    </row>
    <row r="1826" spans="1:2" x14ac:dyDescent="0.25">
      <c r="A1826" s="3">
        <v>75</v>
      </c>
      <c r="B1826" s="19">
        <v>7.75</v>
      </c>
    </row>
    <row r="1827" spans="1:2" x14ac:dyDescent="0.25">
      <c r="A1827" s="4">
        <v>63</v>
      </c>
      <c r="B1827" s="20">
        <v>43.9</v>
      </c>
    </row>
    <row r="1828" spans="1:2" x14ac:dyDescent="0.25">
      <c r="A1828" s="3">
        <v>8</v>
      </c>
      <c r="B1828" s="19">
        <v>40</v>
      </c>
    </row>
    <row r="1829" spans="1:2" x14ac:dyDescent="0.25">
      <c r="A1829" s="4">
        <v>75</v>
      </c>
      <c r="B1829" s="20">
        <v>7.75</v>
      </c>
    </row>
    <row r="1830" spans="1:2" x14ac:dyDescent="0.25">
      <c r="A1830" s="3">
        <v>28</v>
      </c>
      <c r="B1830" s="19">
        <v>45.6</v>
      </c>
    </row>
    <row r="1831" spans="1:2" x14ac:dyDescent="0.25">
      <c r="A1831" s="4">
        <v>39</v>
      </c>
      <c r="B1831" s="20">
        <v>18</v>
      </c>
    </row>
    <row r="1832" spans="1:2" x14ac:dyDescent="0.25">
      <c r="A1832" s="3">
        <v>47</v>
      </c>
      <c r="B1832" s="19">
        <v>9.5</v>
      </c>
    </row>
    <row r="1833" spans="1:2" x14ac:dyDescent="0.25">
      <c r="A1833" s="4">
        <v>51</v>
      </c>
      <c r="B1833" s="20">
        <v>53</v>
      </c>
    </row>
    <row r="1834" spans="1:2" x14ac:dyDescent="0.25">
      <c r="A1834" s="3">
        <v>63</v>
      </c>
      <c r="B1834" s="19">
        <v>43.9</v>
      </c>
    </row>
    <row r="1835" spans="1:2" x14ac:dyDescent="0.25">
      <c r="A1835" s="4">
        <v>8</v>
      </c>
      <c r="B1835" s="20">
        <v>40</v>
      </c>
    </row>
    <row r="1836" spans="1:2" x14ac:dyDescent="0.25">
      <c r="A1836" s="3">
        <v>21</v>
      </c>
      <c r="B1836" s="19">
        <v>10</v>
      </c>
    </row>
    <row r="1837" spans="1:2" x14ac:dyDescent="0.25">
      <c r="A1837" s="4">
        <v>40</v>
      </c>
      <c r="B1837" s="20">
        <v>18.399999999999999</v>
      </c>
    </row>
    <row r="1838" spans="1:2" x14ac:dyDescent="0.25">
      <c r="A1838" s="3">
        <v>44</v>
      </c>
      <c r="B1838" s="19">
        <v>19.45</v>
      </c>
    </row>
    <row r="1839" spans="1:2" x14ac:dyDescent="0.25">
      <c r="A1839" s="4">
        <v>7</v>
      </c>
      <c r="B1839" s="20">
        <v>30</v>
      </c>
    </row>
    <row r="1840" spans="1:2" x14ac:dyDescent="0.25">
      <c r="A1840" s="3">
        <v>12</v>
      </c>
      <c r="B1840" s="19">
        <v>38</v>
      </c>
    </row>
    <row r="1841" spans="1:2" x14ac:dyDescent="0.25">
      <c r="A1841" s="4">
        <v>24</v>
      </c>
      <c r="B1841" s="20">
        <v>4.5</v>
      </c>
    </row>
    <row r="1842" spans="1:2" x14ac:dyDescent="0.25">
      <c r="A1842" s="3">
        <v>27</v>
      </c>
      <c r="B1842" s="19">
        <v>43.9</v>
      </c>
    </row>
    <row r="1843" spans="1:2" x14ac:dyDescent="0.25">
      <c r="A1843" s="4">
        <v>31</v>
      </c>
      <c r="B1843" s="20">
        <v>12.5</v>
      </c>
    </row>
    <row r="1844" spans="1:2" x14ac:dyDescent="0.25">
      <c r="A1844" s="3">
        <v>63</v>
      </c>
      <c r="B1844" s="19">
        <v>43.9</v>
      </c>
    </row>
    <row r="1845" spans="1:2" x14ac:dyDescent="0.25">
      <c r="A1845" s="4">
        <v>75</v>
      </c>
      <c r="B1845" s="20">
        <v>7.75</v>
      </c>
    </row>
    <row r="1846" spans="1:2" x14ac:dyDescent="0.25">
      <c r="A1846" s="3">
        <v>38</v>
      </c>
      <c r="B1846" s="19">
        <v>263.5</v>
      </c>
    </row>
    <row r="1847" spans="1:2" x14ac:dyDescent="0.25">
      <c r="A1847" s="4">
        <v>7</v>
      </c>
      <c r="B1847" s="20">
        <v>30</v>
      </c>
    </row>
    <row r="1848" spans="1:2" x14ac:dyDescent="0.25">
      <c r="A1848" s="3">
        <v>43</v>
      </c>
      <c r="B1848" s="19">
        <v>46</v>
      </c>
    </row>
    <row r="1849" spans="1:2" x14ac:dyDescent="0.25">
      <c r="A1849" s="4">
        <v>13</v>
      </c>
      <c r="B1849" s="20">
        <v>6</v>
      </c>
    </row>
    <row r="1850" spans="1:2" x14ac:dyDescent="0.25">
      <c r="A1850" s="3">
        <v>57</v>
      </c>
      <c r="B1850" s="19">
        <v>19.5</v>
      </c>
    </row>
    <row r="1851" spans="1:2" x14ac:dyDescent="0.25">
      <c r="A1851" s="4">
        <v>16</v>
      </c>
      <c r="B1851" s="20">
        <v>17.45</v>
      </c>
    </row>
    <row r="1852" spans="1:2" x14ac:dyDescent="0.25">
      <c r="A1852" s="3">
        <v>24</v>
      </c>
      <c r="B1852" s="19">
        <v>4.5</v>
      </c>
    </row>
    <row r="1853" spans="1:2" x14ac:dyDescent="0.25">
      <c r="A1853" s="4">
        <v>36</v>
      </c>
      <c r="B1853" s="20">
        <v>19</v>
      </c>
    </row>
    <row r="1854" spans="1:2" x14ac:dyDescent="0.25">
      <c r="A1854" s="3">
        <v>11</v>
      </c>
      <c r="B1854" s="19">
        <v>21</v>
      </c>
    </row>
    <row r="1855" spans="1:2" x14ac:dyDescent="0.25">
      <c r="A1855" s="4">
        <v>20</v>
      </c>
      <c r="B1855" s="20">
        <v>81</v>
      </c>
    </row>
    <row r="1856" spans="1:2" x14ac:dyDescent="0.25">
      <c r="A1856" s="3">
        <v>76</v>
      </c>
      <c r="B1856" s="19">
        <v>18</v>
      </c>
    </row>
    <row r="1857" spans="1:2" x14ac:dyDescent="0.25">
      <c r="A1857" s="4">
        <v>77</v>
      </c>
      <c r="B1857" s="20">
        <v>13</v>
      </c>
    </row>
    <row r="1858" spans="1:2" x14ac:dyDescent="0.25">
      <c r="A1858" s="3">
        <v>7</v>
      </c>
      <c r="B1858" s="19">
        <v>30</v>
      </c>
    </row>
    <row r="1859" spans="1:2" x14ac:dyDescent="0.25">
      <c r="A1859" s="4">
        <v>43</v>
      </c>
      <c r="B1859" s="20">
        <v>46</v>
      </c>
    </row>
    <row r="1860" spans="1:2" x14ac:dyDescent="0.25">
      <c r="A1860" s="3">
        <v>72</v>
      </c>
      <c r="B1860" s="19">
        <v>34.799999999999997</v>
      </c>
    </row>
    <row r="1861" spans="1:2" x14ac:dyDescent="0.25">
      <c r="A1861" s="4">
        <v>7</v>
      </c>
      <c r="B1861" s="20">
        <v>30</v>
      </c>
    </row>
    <row r="1862" spans="1:2" x14ac:dyDescent="0.25">
      <c r="A1862" s="3">
        <v>62</v>
      </c>
      <c r="B1862" s="19">
        <v>49.3</v>
      </c>
    </row>
    <row r="1863" spans="1:2" x14ac:dyDescent="0.25">
      <c r="A1863" s="4">
        <v>6</v>
      </c>
      <c r="B1863" s="20">
        <v>25</v>
      </c>
    </row>
    <row r="1864" spans="1:2" x14ac:dyDescent="0.25">
      <c r="A1864" s="3">
        <v>11</v>
      </c>
      <c r="B1864" s="19">
        <v>21</v>
      </c>
    </row>
    <row r="1865" spans="1:2" x14ac:dyDescent="0.25">
      <c r="A1865" s="4">
        <v>41</v>
      </c>
      <c r="B1865" s="20">
        <v>9.65</v>
      </c>
    </row>
    <row r="1866" spans="1:2" x14ac:dyDescent="0.25">
      <c r="A1866" s="3">
        <v>21</v>
      </c>
      <c r="B1866" s="19">
        <v>10</v>
      </c>
    </row>
    <row r="1867" spans="1:2" x14ac:dyDescent="0.25">
      <c r="A1867" s="4">
        <v>34</v>
      </c>
      <c r="B1867" s="20">
        <v>14</v>
      </c>
    </row>
    <row r="1868" spans="1:2" x14ac:dyDescent="0.25">
      <c r="A1868" s="3">
        <v>55</v>
      </c>
      <c r="B1868" s="19">
        <v>24</v>
      </c>
    </row>
    <row r="1869" spans="1:2" x14ac:dyDescent="0.25">
      <c r="A1869" s="4">
        <v>61</v>
      </c>
      <c r="B1869" s="20">
        <v>28.5</v>
      </c>
    </row>
    <row r="1870" spans="1:2" x14ac:dyDescent="0.25">
      <c r="A1870" s="3">
        <v>2</v>
      </c>
      <c r="B1870" s="19">
        <v>19</v>
      </c>
    </row>
    <row r="1871" spans="1:2" x14ac:dyDescent="0.25">
      <c r="A1871" s="4">
        <v>70</v>
      </c>
      <c r="B1871" s="20">
        <v>15</v>
      </c>
    </row>
    <row r="1872" spans="1:2" x14ac:dyDescent="0.25">
      <c r="A1872" s="3">
        <v>76</v>
      </c>
      <c r="B1872" s="19">
        <v>18</v>
      </c>
    </row>
    <row r="1873" spans="1:2" x14ac:dyDescent="0.25">
      <c r="A1873" s="4">
        <v>72</v>
      </c>
      <c r="B1873" s="20">
        <v>34.799999999999997</v>
      </c>
    </row>
    <row r="1874" spans="1:2" x14ac:dyDescent="0.25">
      <c r="A1874" s="3">
        <v>29</v>
      </c>
      <c r="B1874" s="19">
        <v>123.79</v>
      </c>
    </row>
    <row r="1875" spans="1:2" x14ac:dyDescent="0.25">
      <c r="A1875" s="4">
        <v>41</v>
      </c>
      <c r="B1875" s="20">
        <v>9.65</v>
      </c>
    </row>
    <row r="1876" spans="1:2" x14ac:dyDescent="0.25">
      <c r="A1876" s="3">
        <v>59</v>
      </c>
      <c r="B1876" s="19">
        <v>55</v>
      </c>
    </row>
    <row r="1877" spans="1:2" x14ac:dyDescent="0.25">
      <c r="A1877" s="4">
        <v>51</v>
      </c>
      <c r="B1877" s="20">
        <v>53</v>
      </c>
    </row>
    <row r="1878" spans="1:2" x14ac:dyDescent="0.25">
      <c r="A1878" s="3">
        <v>60</v>
      </c>
      <c r="B1878" s="19">
        <v>34</v>
      </c>
    </row>
    <row r="1879" spans="1:2" x14ac:dyDescent="0.25">
      <c r="A1879" s="4">
        <v>42</v>
      </c>
      <c r="B1879" s="20">
        <v>14</v>
      </c>
    </row>
    <row r="1880" spans="1:2" x14ac:dyDescent="0.25">
      <c r="A1880" s="3">
        <v>32</v>
      </c>
      <c r="B1880" s="19">
        <v>32</v>
      </c>
    </row>
    <row r="1881" spans="1:2" x14ac:dyDescent="0.25">
      <c r="A1881" s="4">
        <v>46</v>
      </c>
      <c r="B1881" s="20">
        <v>12</v>
      </c>
    </row>
    <row r="1882" spans="1:2" x14ac:dyDescent="0.25">
      <c r="A1882" s="3">
        <v>52</v>
      </c>
      <c r="B1882" s="19">
        <v>7</v>
      </c>
    </row>
    <row r="1883" spans="1:2" x14ac:dyDescent="0.25">
      <c r="A1883" s="4">
        <v>24</v>
      </c>
      <c r="B1883" s="20">
        <v>4.5</v>
      </c>
    </row>
    <row r="1884" spans="1:2" x14ac:dyDescent="0.25">
      <c r="A1884" s="3">
        <v>61</v>
      </c>
      <c r="B1884" s="19">
        <v>28.5</v>
      </c>
    </row>
    <row r="1885" spans="1:2" x14ac:dyDescent="0.25">
      <c r="A1885" s="4">
        <v>74</v>
      </c>
      <c r="B1885" s="20">
        <v>10</v>
      </c>
    </row>
    <row r="1886" spans="1:2" x14ac:dyDescent="0.25">
      <c r="A1886" s="3">
        <v>75</v>
      </c>
      <c r="B1886" s="19">
        <v>7.75</v>
      </c>
    </row>
    <row r="1887" spans="1:2" x14ac:dyDescent="0.25">
      <c r="A1887" s="4">
        <v>41</v>
      </c>
      <c r="B1887" s="20">
        <v>9.65</v>
      </c>
    </row>
    <row r="1888" spans="1:2" x14ac:dyDescent="0.25">
      <c r="A1888" s="3">
        <v>51</v>
      </c>
      <c r="B1888" s="19">
        <v>53</v>
      </c>
    </row>
    <row r="1889" spans="1:2" x14ac:dyDescent="0.25">
      <c r="A1889" s="4">
        <v>77</v>
      </c>
      <c r="B1889" s="20">
        <v>13</v>
      </c>
    </row>
    <row r="1890" spans="1:2" x14ac:dyDescent="0.25">
      <c r="A1890" s="3">
        <v>4</v>
      </c>
      <c r="B1890" s="19">
        <v>22</v>
      </c>
    </row>
    <row r="1891" spans="1:2" x14ac:dyDescent="0.25">
      <c r="A1891" s="4">
        <v>24</v>
      </c>
      <c r="B1891" s="20">
        <v>4.5</v>
      </c>
    </row>
    <row r="1892" spans="1:2" x14ac:dyDescent="0.25">
      <c r="A1892" s="3">
        <v>77</v>
      </c>
      <c r="B1892" s="19">
        <v>13</v>
      </c>
    </row>
    <row r="1893" spans="1:2" x14ac:dyDescent="0.25">
      <c r="A1893" s="4">
        <v>7</v>
      </c>
      <c r="B1893" s="20">
        <v>30</v>
      </c>
    </row>
    <row r="1894" spans="1:2" x14ac:dyDescent="0.25">
      <c r="A1894" s="3">
        <v>22</v>
      </c>
      <c r="B1894" s="19">
        <v>21</v>
      </c>
    </row>
    <row r="1895" spans="1:2" x14ac:dyDescent="0.25">
      <c r="A1895" s="4">
        <v>46</v>
      </c>
      <c r="B1895" s="20">
        <v>12</v>
      </c>
    </row>
    <row r="1896" spans="1:2" x14ac:dyDescent="0.25">
      <c r="A1896" s="3">
        <v>55</v>
      </c>
      <c r="B1896" s="19">
        <v>24</v>
      </c>
    </row>
    <row r="1897" spans="1:2" x14ac:dyDescent="0.25">
      <c r="A1897" s="4">
        <v>13</v>
      </c>
      <c r="B1897" s="20">
        <v>6</v>
      </c>
    </row>
    <row r="1898" spans="1:2" x14ac:dyDescent="0.25">
      <c r="A1898" s="3">
        <v>35</v>
      </c>
      <c r="B1898" s="19">
        <v>18</v>
      </c>
    </row>
    <row r="1899" spans="1:2" x14ac:dyDescent="0.25">
      <c r="A1899" s="4">
        <v>42</v>
      </c>
      <c r="B1899" s="20">
        <v>14</v>
      </c>
    </row>
    <row r="1900" spans="1:2" x14ac:dyDescent="0.25">
      <c r="A1900" s="3">
        <v>55</v>
      </c>
      <c r="B1900" s="19">
        <v>24</v>
      </c>
    </row>
    <row r="1901" spans="1:2" x14ac:dyDescent="0.25">
      <c r="A1901" s="4">
        <v>1</v>
      </c>
      <c r="B1901" s="20">
        <v>18</v>
      </c>
    </row>
    <row r="1902" spans="1:2" x14ac:dyDescent="0.25">
      <c r="A1902" s="3">
        <v>40</v>
      </c>
      <c r="B1902" s="19">
        <v>18.399999999999999</v>
      </c>
    </row>
    <row r="1903" spans="1:2" x14ac:dyDescent="0.25">
      <c r="A1903" s="4">
        <v>52</v>
      </c>
      <c r="B1903" s="20">
        <v>7</v>
      </c>
    </row>
    <row r="1904" spans="1:2" x14ac:dyDescent="0.25">
      <c r="A1904" s="3">
        <v>26</v>
      </c>
      <c r="B1904" s="19">
        <v>31.23</v>
      </c>
    </row>
    <row r="1905" spans="1:2" x14ac:dyDescent="0.25">
      <c r="A1905" s="4">
        <v>76</v>
      </c>
      <c r="B1905" s="20">
        <v>18</v>
      </c>
    </row>
    <row r="1906" spans="1:2" x14ac:dyDescent="0.25">
      <c r="A1906" s="3">
        <v>1</v>
      </c>
      <c r="B1906" s="19">
        <v>18</v>
      </c>
    </row>
    <row r="1907" spans="1:2" x14ac:dyDescent="0.25">
      <c r="A1907" s="4">
        <v>59</v>
      </c>
      <c r="B1907" s="20">
        <v>55</v>
      </c>
    </row>
    <row r="1908" spans="1:2" x14ac:dyDescent="0.25">
      <c r="A1908" s="3">
        <v>1</v>
      </c>
      <c r="B1908" s="19">
        <v>18</v>
      </c>
    </row>
    <row r="1909" spans="1:2" x14ac:dyDescent="0.25">
      <c r="A1909" s="4">
        <v>29</v>
      </c>
      <c r="B1909" s="20">
        <v>123.79</v>
      </c>
    </row>
    <row r="1910" spans="1:2" x14ac:dyDescent="0.25">
      <c r="A1910" s="3">
        <v>8</v>
      </c>
      <c r="B1910" s="19">
        <v>40</v>
      </c>
    </row>
    <row r="1911" spans="1:2" x14ac:dyDescent="0.25">
      <c r="A1911" s="4">
        <v>29</v>
      </c>
      <c r="B1911" s="20">
        <v>123.79</v>
      </c>
    </row>
    <row r="1912" spans="1:2" x14ac:dyDescent="0.25">
      <c r="A1912" s="3">
        <v>42</v>
      </c>
      <c r="B1912" s="19">
        <v>14</v>
      </c>
    </row>
    <row r="1913" spans="1:2" x14ac:dyDescent="0.25">
      <c r="A1913" s="4">
        <v>24</v>
      </c>
      <c r="B1913" s="20">
        <v>4.5</v>
      </c>
    </row>
    <row r="1914" spans="1:2" x14ac:dyDescent="0.25">
      <c r="A1914" s="3">
        <v>36</v>
      </c>
      <c r="B1914" s="19">
        <v>19</v>
      </c>
    </row>
    <row r="1915" spans="1:2" x14ac:dyDescent="0.25">
      <c r="A1915" s="4">
        <v>60</v>
      </c>
      <c r="B1915" s="20">
        <v>34</v>
      </c>
    </row>
    <row r="1916" spans="1:2" x14ac:dyDescent="0.25">
      <c r="A1916" s="3">
        <v>7</v>
      </c>
      <c r="B1916" s="19">
        <v>30</v>
      </c>
    </row>
    <row r="1917" spans="1:2" x14ac:dyDescent="0.25">
      <c r="A1917" s="4">
        <v>24</v>
      </c>
      <c r="B1917" s="20">
        <v>4.5</v>
      </c>
    </row>
    <row r="1918" spans="1:2" x14ac:dyDescent="0.25">
      <c r="A1918" s="3">
        <v>58</v>
      </c>
      <c r="B1918" s="19">
        <v>13.25</v>
      </c>
    </row>
    <row r="1919" spans="1:2" x14ac:dyDescent="0.25">
      <c r="A1919" s="4">
        <v>71</v>
      </c>
      <c r="B1919" s="20">
        <v>21.5</v>
      </c>
    </row>
    <row r="1920" spans="1:2" x14ac:dyDescent="0.25">
      <c r="A1920" s="3">
        <v>19</v>
      </c>
      <c r="B1920" s="19">
        <v>9.1999999999999993</v>
      </c>
    </row>
    <row r="1921" spans="1:2" x14ac:dyDescent="0.25">
      <c r="A1921" s="4">
        <v>60</v>
      </c>
      <c r="B1921" s="20">
        <v>34</v>
      </c>
    </row>
    <row r="1922" spans="1:2" x14ac:dyDescent="0.25">
      <c r="A1922" s="3">
        <v>71</v>
      </c>
      <c r="B1922" s="19">
        <v>21.5</v>
      </c>
    </row>
    <row r="1923" spans="1:2" x14ac:dyDescent="0.25">
      <c r="A1923" s="4">
        <v>23</v>
      </c>
      <c r="B1923" s="20">
        <v>9</v>
      </c>
    </row>
    <row r="1924" spans="1:2" x14ac:dyDescent="0.25">
      <c r="A1924" s="3">
        <v>42</v>
      </c>
      <c r="B1924" s="19">
        <v>14</v>
      </c>
    </row>
    <row r="1925" spans="1:2" x14ac:dyDescent="0.25">
      <c r="A1925" s="4">
        <v>45</v>
      </c>
      <c r="B1925" s="20">
        <v>9.5</v>
      </c>
    </row>
    <row r="1926" spans="1:2" x14ac:dyDescent="0.25">
      <c r="A1926" s="3">
        <v>68</v>
      </c>
      <c r="B1926" s="19">
        <v>12.5</v>
      </c>
    </row>
    <row r="1927" spans="1:2" x14ac:dyDescent="0.25">
      <c r="A1927" s="4">
        <v>41</v>
      </c>
      <c r="B1927" s="20">
        <v>9.65</v>
      </c>
    </row>
    <row r="1928" spans="1:2" x14ac:dyDescent="0.25">
      <c r="A1928" s="3">
        <v>30</v>
      </c>
      <c r="B1928" s="19">
        <v>25.89</v>
      </c>
    </row>
    <row r="1929" spans="1:2" x14ac:dyDescent="0.25">
      <c r="A1929" s="4">
        <v>77</v>
      </c>
      <c r="B1929" s="20">
        <v>13</v>
      </c>
    </row>
    <row r="1930" spans="1:2" x14ac:dyDescent="0.25">
      <c r="A1930" s="3">
        <v>31</v>
      </c>
      <c r="B1930" s="19">
        <v>12.5</v>
      </c>
    </row>
    <row r="1931" spans="1:2" x14ac:dyDescent="0.25">
      <c r="A1931" s="4">
        <v>36</v>
      </c>
      <c r="B1931" s="20">
        <v>19</v>
      </c>
    </row>
    <row r="1932" spans="1:2" x14ac:dyDescent="0.25">
      <c r="A1932" s="3">
        <v>3</v>
      </c>
      <c r="B1932" s="19">
        <v>10</v>
      </c>
    </row>
    <row r="1933" spans="1:2" x14ac:dyDescent="0.25">
      <c r="A1933" s="4">
        <v>59</v>
      </c>
      <c r="B1933" s="20">
        <v>55</v>
      </c>
    </row>
    <row r="1934" spans="1:2" x14ac:dyDescent="0.25">
      <c r="A1934" s="3">
        <v>70</v>
      </c>
      <c r="B1934" s="19">
        <v>15</v>
      </c>
    </row>
    <row r="1935" spans="1:2" x14ac:dyDescent="0.25">
      <c r="A1935" s="4">
        <v>12</v>
      </c>
      <c r="B1935" s="20">
        <v>38</v>
      </c>
    </row>
    <row r="1936" spans="1:2" x14ac:dyDescent="0.25">
      <c r="A1936" s="3">
        <v>18</v>
      </c>
      <c r="B1936" s="19">
        <v>62.5</v>
      </c>
    </row>
    <row r="1937" spans="1:2" x14ac:dyDescent="0.25">
      <c r="A1937" s="4">
        <v>56</v>
      </c>
      <c r="B1937" s="20">
        <v>38</v>
      </c>
    </row>
    <row r="1938" spans="1:2" x14ac:dyDescent="0.25">
      <c r="A1938" s="3">
        <v>10</v>
      </c>
      <c r="B1938" s="19">
        <v>31</v>
      </c>
    </row>
    <row r="1939" spans="1:2" x14ac:dyDescent="0.25">
      <c r="A1939" s="4">
        <v>2</v>
      </c>
      <c r="B1939" s="20">
        <v>19</v>
      </c>
    </row>
    <row r="1940" spans="1:2" x14ac:dyDescent="0.25">
      <c r="A1940" s="3">
        <v>20</v>
      </c>
      <c r="B1940" s="19">
        <v>81</v>
      </c>
    </row>
    <row r="1941" spans="1:2" x14ac:dyDescent="0.25">
      <c r="A1941" s="4">
        <v>26</v>
      </c>
      <c r="B1941" s="20">
        <v>31.23</v>
      </c>
    </row>
    <row r="1942" spans="1:2" x14ac:dyDescent="0.25">
      <c r="A1942" s="3">
        <v>51</v>
      </c>
      <c r="B1942" s="19">
        <v>53</v>
      </c>
    </row>
    <row r="1943" spans="1:2" x14ac:dyDescent="0.25">
      <c r="A1943" s="4">
        <v>72</v>
      </c>
      <c r="B1943" s="20">
        <v>34.799999999999997</v>
      </c>
    </row>
    <row r="1944" spans="1:2" x14ac:dyDescent="0.25">
      <c r="A1944" s="3">
        <v>19</v>
      </c>
      <c r="B1944" s="19">
        <v>9.1999999999999993</v>
      </c>
    </row>
    <row r="1945" spans="1:2" x14ac:dyDescent="0.25">
      <c r="A1945" s="4">
        <v>69</v>
      </c>
      <c r="B1945" s="20">
        <v>36</v>
      </c>
    </row>
    <row r="1946" spans="1:2" x14ac:dyDescent="0.25">
      <c r="A1946" s="3">
        <v>7</v>
      </c>
      <c r="B1946" s="19">
        <v>30</v>
      </c>
    </row>
    <row r="1947" spans="1:2" x14ac:dyDescent="0.25">
      <c r="A1947" s="4">
        <v>43</v>
      </c>
      <c r="B1947" s="20">
        <v>46</v>
      </c>
    </row>
    <row r="1948" spans="1:2" x14ac:dyDescent="0.25">
      <c r="A1948" s="3">
        <v>26</v>
      </c>
      <c r="B1948" s="19">
        <v>31.23</v>
      </c>
    </row>
    <row r="1949" spans="1:2" x14ac:dyDescent="0.25">
      <c r="A1949" s="4">
        <v>33</v>
      </c>
      <c r="B1949" s="20">
        <v>2.5</v>
      </c>
    </row>
    <row r="1950" spans="1:2" x14ac:dyDescent="0.25">
      <c r="A1950" s="3">
        <v>65</v>
      </c>
      <c r="B1950" s="19">
        <v>21.05</v>
      </c>
    </row>
    <row r="1951" spans="1:2" x14ac:dyDescent="0.25">
      <c r="A1951" s="4">
        <v>71</v>
      </c>
      <c r="B1951" s="20">
        <v>21.5</v>
      </c>
    </row>
    <row r="1952" spans="1:2" x14ac:dyDescent="0.25">
      <c r="A1952" s="3">
        <v>1</v>
      </c>
      <c r="B1952" s="19">
        <v>18</v>
      </c>
    </row>
    <row r="1953" spans="1:2" x14ac:dyDescent="0.25">
      <c r="A1953" s="4">
        <v>13</v>
      </c>
      <c r="B1953" s="20">
        <v>6</v>
      </c>
    </row>
    <row r="1954" spans="1:2" x14ac:dyDescent="0.25">
      <c r="A1954" s="3">
        <v>18</v>
      </c>
      <c r="B1954" s="19">
        <v>62.5</v>
      </c>
    </row>
    <row r="1955" spans="1:2" x14ac:dyDescent="0.25">
      <c r="A1955" s="4">
        <v>51</v>
      </c>
      <c r="B1955" s="20">
        <v>53</v>
      </c>
    </row>
    <row r="1956" spans="1:2" x14ac:dyDescent="0.25">
      <c r="A1956" s="3">
        <v>24</v>
      </c>
      <c r="B1956" s="19">
        <v>4.5</v>
      </c>
    </row>
    <row r="1957" spans="1:2" x14ac:dyDescent="0.25">
      <c r="A1957" s="4">
        <v>62</v>
      </c>
      <c r="B1957" s="20">
        <v>49.3</v>
      </c>
    </row>
    <row r="1958" spans="1:2" x14ac:dyDescent="0.25">
      <c r="A1958" s="3">
        <v>55</v>
      </c>
      <c r="B1958" s="19">
        <v>24</v>
      </c>
    </row>
    <row r="1959" spans="1:2" x14ac:dyDescent="0.25">
      <c r="A1959" s="4">
        <v>59</v>
      </c>
      <c r="B1959" s="20">
        <v>55</v>
      </c>
    </row>
    <row r="1960" spans="1:2" x14ac:dyDescent="0.25">
      <c r="A1960" s="3">
        <v>56</v>
      </c>
      <c r="B1960" s="19">
        <v>38</v>
      </c>
    </row>
    <row r="1961" spans="1:2" x14ac:dyDescent="0.25">
      <c r="A1961" s="4">
        <v>63</v>
      </c>
      <c r="B1961" s="20">
        <v>43.9</v>
      </c>
    </row>
    <row r="1962" spans="1:2" x14ac:dyDescent="0.25">
      <c r="A1962" s="3">
        <v>2</v>
      </c>
      <c r="B1962" s="19">
        <v>19</v>
      </c>
    </row>
    <row r="1963" spans="1:2" x14ac:dyDescent="0.25">
      <c r="A1963" s="4">
        <v>5</v>
      </c>
      <c r="B1963" s="20">
        <v>21.35</v>
      </c>
    </row>
    <row r="1964" spans="1:2" x14ac:dyDescent="0.25">
      <c r="A1964" s="3">
        <v>29</v>
      </c>
      <c r="B1964" s="19">
        <v>123.79</v>
      </c>
    </row>
    <row r="1965" spans="1:2" x14ac:dyDescent="0.25">
      <c r="A1965" s="4">
        <v>59</v>
      </c>
      <c r="B1965" s="20">
        <v>55</v>
      </c>
    </row>
    <row r="1966" spans="1:2" x14ac:dyDescent="0.25">
      <c r="A1966" s="3">
        <v>1</v>
      </c>
      <c r="B1966" s="19">
        <v>18</v>
      </c>
    </row>
    <row r="1967" spans="1:2" x14ac:dyDescent="0.25">
      <c r="A1967" s="4">
        <v>13</v>
      </c>
      <c r="B1967" s="20">
        <v>6</v>
      </c>
    </row>
    <row r="1968" spans="1:2" x14ac:dyDescent="0.25">
      <c r="A1968" s="3">
        <v>24</v>
      </c>
      <c r="B1968" s="19">
        <v>4.5</v>
      </c>
    </row>
    <row r="1969" spans="1:2" x14ac:dyDescent="0.25">
      <c r="A1969" s="4">
        <v>64</v>
      </c>
      <c r="B1969" s="20">
        <v>33.25</v>
      </c>
    </row>
    <row r="1970" spans="1:2" x14ac:dyDescent="0.25">
      <c r="A1970" s="3">
        <v>71</v>
      </c>
      <c r="B1970" s="19">
        <v>21.5</v>
      </c>
    </row>
    <row r="1971" spans="1:2" x14ac:dyDescent="0.25">
      <c r="A1971" s="4">
        <v>36</v>
      </c>
      <c r="B1971" s="20">
        <v>19</v>
      </c>
    </row>
    <row r="1972" spans="1:2" x14ac:dyDescent="0.25">
      <c r="A1972" s="3">
        <v>38</v>
      </c>
      <c r="B1972" s="19">
        <v>263.5</v>
      </c>
    </row>
    <row r="1973" spans="1:2" x14ac:dyDescent="0.25">
      <c r="A1973" s="4">
        <v>59</v>
      </c>
      <c r="B1973" s="20">
        <v>55</v>
      </c>
    </row>
    <row r="1974" spans="1:2" x14ac:dyDescent="0.25">
      <c r="A1974" s="3">
        <v>53</v>
      </c>
      <c r="B1974" s="19">
        <v>32.799999999999997</v>
      </c>
    </row>
    <row r="1975" spans="1:2" x14ac:dyDescent="0.25">
      <c r="A1975" s="4">
        <v>69</v>
      </c>
      <c r="B1975" s="20">
        <v>36</v>
      </c>
    </row>
    <row r="1976" spans="1:2" x14ac:dyDescent="0.25">
      <c r="A1976" s="3">
        <v>21</v>
      </c>
      <c r="B1976" s="19">
        <v>10</v>
      </c>
    </row>
    <row r="1977" spans="1:2" x14ac:dyDescent="0.25">
      <c r="A1977" s="4">
        <v>44</v>
      </c>
      <c r="B1977" s="20">
        <v>19.45</v>
      </c>
    </row>
    <row r="1978" spans="1:2" x14ac:dyDescent="0.25">
      <c r="A1978" s="3">
        <v>61</v>
      </c>
      <c r="B1978" s="19">
        <v>28.5</v>
      </c>
    </row>
    <row r="1979" spans="1:2" x14ac:dyDescent="0.25">
      <c r="A1979" s="4">
        <v>1</v>
      </c>
      <c r="B1979" s="20">
        <v>18</v>
      </c>
    </row>
    <row r="1980" spans="1:2" x14ac:dyDescent="0.25">
      <c r="A1980" s="3">
        <v>35</v>
      </c>
      <c r="B1980" s="19">
        <v>18</v>
      </c>
    </row>
    <row r="1981" spans="1:2" x14ac:dyDescent="0.25">
      <c r="A1981" s="4">
        <v>42</v>
      </c>
      <c r="B1981" s="20">
        <v>14</v>
      </c>
    </row>
    <row r="1982" spans="1:2" x14ac:dyDescent="0.25">
      <c r="A1982" s="3">
        <v>54</v>
      </c>
      <c r="B1982" s="19">
        <v>7.45</v>
      </c>
    </row>
    <row r="1983" spans="1:2" x14ac:dyDescent="0.25">
      <c r="A1983" s="4">
        <v>13</v>
      </c>
      <c r="B1983" s="20">
        <v>6</v>
      </c>
    </row>
    <row r="1984" spans="1:2" x14ac:dyDescent="0.25">
      <c r="A1984" s="3">
        <v>59</v>
      </c>
      <c r="B1984" s="19">
        <v>55</v>
      </c>
    </row>
    <row r="1985" spans="1:2" x14ac:dyDescent="0.25">
      <c r="A1985" s="4">
        <v>70</v>
      </c>
      <c r="B1985" s="20">
        <v>15</v>
      </c>
    </row>
    <row r="1986" spans="1:2" x14ac:dyDescent="0.25">
      <c r="A1986" s="3">
        <v>40</v>
      </c>
      <c r="B1986" s="19">
        <v>18.399999999999999</v>
      </c>
    </row>
    <row r="1987" spans="1:2" x14ac:dyDescent="0.25">
      <c r="A1987" s="4">
        <v>52</v>
      </c>
      <c r="B1987" s="20">
        <v>7</v>
      </c>
    </row>
    <row r="1988" spans="1:2" x14ac:dyDescent="0.25">
      <c r="A1988" s="3">
        <v>71</v>
      </c>
      <c r="B1988" s="19">
        <v>21.5</v>
      </c>
    </row>
    <row r="1989" spans="1:2" x14ac:dyDescent="0.25">
      <c r="A1989" s="4">
        <v>2</v>
      </c>
      <c r="B1989" s="20">
        <v>19</v>
      </c>
    </row>
    <row r="1990" spans="1:2" x14ac:dyDescent="0.25">
      <c r="A1990" s="3">
        <v>63</v>
      </c>
      <c r="B1990" s="19">
        <v>43.9</v>
      </c>
    </row>
    <row r="1991" spans="1:2" x14ac:dyDescent="0.25">
      <c r="A1991" s="4">
        <v>44</v>
      </c>
      <c r="B1991" s="20">
        <v>19.45</v>
      </c>
    </row>
    <row r="1992" spans="1:2" x14ac:dyDescent="0.25">
      <c r="A1992" s="3">
        <v>61</v>
      </c>
      <c r="B1992" s="19">
        <v>28.5</v>
      </c>
    </row>
    <row r="1993" spans="1:2" x14ac:dyDescent="0.25">
      <c r="A1993" s="4">
        <v>11</v>
      </c>
      <c r="B1993" s="20">
        <v>21</v>
      </c>
    </row>
    <row r="1994" spans="1:2" x14ac:dyDescent="0.25">
      <c r="A1994" s="3">
        <v>62</v>
      </c>
      <c r="B1994" s="19">
        <v>49.3</v>
      </c>
    </row>
    <row r="1995" spans="1:2" x14ac:dyDescent="0.25">
      <c r="A1995" s="4">
        <v>12</v>
      </c>
      <c r="B1995" s="20">
        <v>38</v>
      </c>
    </row>
    <row r="1996" spans="1:2" x14ac:dyDescent="0.25">
      <c r="A1996" s="3">
        <v>32</v>
      </c>
      <c r="B1996" s="19">
        <v>32</v>
      </c>
    </row>
    <row r="1997" spans="1:2" x14ac:dyDescent="0.25">
      <c r="A1997" s="4">
        <v>35</v>
      </c>
      <c r="B1997" s="20">
        <v>18</v>
      </c>
    </row>
    <row r="1998" spans="1:2" x14ac:dyDescent="0.25">
      <c r="A1998" s="3">
        <v>1</v>
      </c>
      <c r="B1998" s="19">
        <v>18</v>
      </c>
    </row>
    <row r="1999" spans="1:2" x14ac:dyDescent="0.25">
      <c r="A1999" s="4">
        <v>5</v>
      </c>
      <c r="B1999" s="20">
        <v>21.35</v>
      </c>
    </row>
    <row r="2000" spans="1:2" x14ac:dyDescent="0.25">
      <c r="A2000" s="3">
        <v>68</v>
      </c>
      <c r="B2000" s="19">
        <v>12.5</v>
      </c>
    </row>
    <row r="2001" spans="1:2" x14ac:dyDescent="0.25">
      <c r="A2001" s="4">
        <v>2</v>
      </c>
      <c r="B2001" s="20">
        <v>19</v>
      </c>
    </row>
    <row r="2002" spans="1:2" x14ac:dyDescent="0.25">
      <c r="A2002" s="3">
        <v>12</v>
      </c>
      <c r="B2002" s="19">
        <v>38</v>
      </c>
    </row>
    <row r="2003" spans="1:2" x14ac:dyDescent="0.25">
      <c r="A2003" s="4">
        <v>76</v>
      </c>
      <c r="B2003" s="20">
        <v>18</v>
      </c>
    </row>
    <row r="2004" spans="1:2" x14ac:dyDescent="0.25">
      <c r="A2004" s="3">
        <v>43</v>
      </c>
      <c r="B2004" s="19">
        <v>46</v>
      </c>
    </row>
    <row r="2005" spans="1:2" x14ac:dyDescent="0.25">
      <c r="A2005" s="4">
        <v>61</v>
      </c>
      <c r="B2005" s="20">
        <v>28.5</v>
      </c>
    </row>
    <row r="2006" spans="1:2" x14ac:dyDescent="0.25">
      <c r="A2006" s="3">
        <v>18</v>
      </c>
      <c r="B2006" s="19">
        <v>62.5</v>
      </c>
    </row>
    <row r="2007" spans="1:2" x14ac:dyDescent="0.25">
      <c r="A2007" s="4">
        <v>32</v>
      </c>
      <c r="B2007" s="20">
        <v>32</v>
      </c>
    </row>
    <row r="2008" spans="1:2" x14ac:dyDescent="0.25">
      <c r="A2008" s="3">
        <v>64</v>
      </c>
      <c r="B2008" s="19">
        <v>33.25</v>
      </c>
    </row>
    <row r="2009" spans="1:2" x14ac:dyDescent="0.25">
      <c r="A2009" s="4">
        <v>24</v>
      </c>
      <c r="B2009" s="20">
        <v>4.5</v>
      </c>
    </row>
    <row r="2010" spans="1:2" x14ac:dyDescent="0.25">
      <c r="A2010" s="3">
        <v>25</v>
      </c>
      <c r="B2010" s="19">
        <v>14</v>
      </c>
    </row>
    <row r="2011" spans="1:2" x14ac:dyDescent="0.25">
      <c r="A2011" s="4">
        <v>51</v>
      </c>
      <c r="B2011" s="20">
        <v>53</v>
      </c>
    </row>
    <row r="2012" spans="1:2" x14ac:dyDescent="0.25">
      <c r="A2012" s="3">
        <v>57</v>
      </c>
      <c r="B2012" s="19">
        <v>19.5</v>
      </c>
    </row>
    <row r="2013" spans="1:2" x14ac:dyDescent="0.25">
      <c r="A2013" s="4">
        <v>7</v>
      </c>
      <c r="B2013" s="20">
        <v>30</v>
      </c>
    </row>
    <row r="2014" spans="1:2" x14ac:dyDescent="0.25">
      <c r="A2014" s="3">
        <v>55</v>
      </c>
      <c r="B2014" s="19">
        <v>24</v>
      </c>
    </row>
    <row r="2015" spans="1:2" x14ac:dyDescent="0.25">
      <c r="A2015" s="4">
        <v>60</v>
      </c>
      <c r="B2015" s="20">
        <v>34</v>
      </c>
    </row>
    <row r="2016" spans="1:2" x14ac:dyDescent="0.25">
      <c r="A2016" s="3">
        <v>70</v>
      </c>
      <c r="B2016" s="19">
        <v>15</v>
      </c>
    </row>
    <row r="2017" spans="1:2" x14ac:dyDescent="0.25">
      <c r="A2017" s="4">
        <v>60</v>
      </c>
      <c r="B2017" s="20">
        <v>34</v>
      </c>
    </row>
    <row r="2018" spans="1:2" x14ac:dyDescent="0.25">
      <c r="A2018" s="3">
        <v>77</v>
      </c>
      <c r="B2018" s="19">
        <v>13</v>
      </c>
    </row>
    <row r="2019" spans="1:2" x14ac:dyDescent="0.25">
      <c r="A2019" s="4">
        <v>17</v>
      </c>
      <c r="B2019" s="20">
        <v>39</v>
      </c>
    </row>
    <row r="2020" spans="1:2" x14ac:dyDescent="0.25">
      <c r="A2020" s="3">
        <v>41</v>
      </c>
      <c r="B2020" s="19">
        <v>9.65</v>
      </c>
    </row>
    <row r="2021" spans="1:2" x14ac:dyDescent="0.25">
      <c r="A2021" s="4">
        <v>53</v>
      </c>
      <c r="B2021" s="20">
        <v>32.799999999999997</v>
      </c>
    </row>
    <row r="2022" spans="1:2" x14ac:dyDescent="0.25">
      <c r="A2022" s="3">
        <v>55</v>
      </c>
      <c r="B2022" s="19">
        <v>24</v>
      </c>
    </row>
    <row r="2023" spans="1:2" x14ac:dyDescent="0.25">
      <c r="A2023" s="4">
        <v>68</v>
      </c>
      <c r="B2023" s="20">
        <v>12.5</v>
      </c>
    </row>
    <row r="2024" spans="1:2" x14ac:dyDescent="0.25">
      <c r="A2024" s="3">
        <v>16</v>
      </c>
      <c r="B2024" s="19">
        <v>17.45</v>
      </c>
    </row>
    <row r="2025" spans="1:2" x14ac:dyDescent="0.25">
      <c r="A2025" s="4">
        <v>19</v>
      </c>
      <c r="B2025" s="20">
        <v>9.1999999999999993</v>
      </c>
    </row>
    <row r="2026" spans="1:2" x14ac:dyDescent="0.25">
      <c r="A2026" s="3">
        <v>34</v>
      </c>
      <c r="B2026" s="19">
        <v>14</v>
      </c>
    </row>
    <row r="2027" spans="1:2" x14ac:dyDescent="0.25">
      <c r="A2027" s="4">
        <v>41</v>
      </c>
      <c r="B2027" s="20">
        <v>9.65</v>
      </c>
    </row>
    <row r="2028" spans="1:2" x14ac:dyDescent="0.25">
      <c r="A2028" s="3">
        <v>39</v>
      </c>
      <c r="B2028" s="19">
        <v>18</v>
      </c>
    </row>
  </sheetData>
  <autoFilter ref="A1:B2028" xr:uid="{BD614D4C-1C5F-4558-97F8-915E7E2D942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15ADE6-11AD-4B1F-A73D-064E8A7B47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northwind_orders</vt:lpstr>
      <vt:lpstr>northwind_order_details</vt:lpstr>
      <vt:lpstr>Price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God</cp:lastModifiedBy>
  <dcterms:created xsi:type="dcterms:W3CDTF">2026-03-07T20:37:53Z</dcterms:created>
  <dcterms:modified xsi:type="dcterms:W3CDTF">2026-03-08T17:00:49Z</dcterms:modified>
</cp:coreProperties>
</file>